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usuc\Tucson Housing Project\"/>
    </mc:Choice>
  </mc:AlternateContent>
  <xr:revisionPtr revIDLastSave="0" documentId="13_ncr:1_{715DF5A7-B12C-4CDF-AD03-1D4715220144}" xr6:coauthVersionLast="47" xr6:coauthVersionMax="47" xr10:uidLastSave="{00000000-0000-0000-0000-000000000000}"/>
  <bookViews>
    <workbookView xWindow="13155" yWindow="3195" windowWidth="16410" windowHeight="16290" xr2:uid="{2CC1CF55-EC13-4753-8983-27A79F887B1A}"/>
  </bookViews>
  <sheets>
    <sheet name="Resale" sheetId="1" r:id="rId1"/>
    <sheet name="New" sheetId="2" r:id="rId2"/>
    <sheet name="Market Summar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N2" i="2" l="1"/>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I218" i="2"/>
  <c r="AI217" i="2"/>
  <c r="AI216" i="2"/>
  <c r="AI215" i="2"/>
  <c r="AI214" i="2"/>
  <c r="AI213" i="2"/>
  <c r="AI212" i="2"/>
  <c r="AI211" i="2"/>
  <c r="AI210" i="2"/>
  <c r="AI209" i="2"/>
  <c r="AI208" i="2"/>
  <c r="AI207" i="2"/>
  <c r="AI206" i="2"/>
  <c r="AI205" i="2"/>
  <c r="AI204" i="2"/>
  <c r="AI203" i="2"/>
  <c r="AI202" i="2"/>
  <c r="AI201" i="2"/>
  <c r="AI200" i="2"/>
  <c r="AI199" i="2"/>
  <c r="AI197" i="2"/>
  <c r="AI196" i="2"/>
  <c r="AI195" i="2"/>
  <c r="AI194" i="2"/>
  <c r="AI193" i="2"/>
  <c r="AI192" i="2"/>
  <c r="AI191" i="2"/>
  <c r="AI190" i="2"/>
  <c r="AI189" i="2"/>
  <c r="AI188" i="2"/>
  <c r="AI187" i="2"/>
  <c r="AI186" i="2"/>
  <c r="AI185" i="2"/>
  <c r="AI184" i="2"/>
  <c r="AI183" i="2"/>
  <c r="AI182" i="2"/>
  <c r="AI181" i="2"/>
  <c r="AI180" i="2"/>
  <c r="AI179" i="2"/>
  <c r="AI178" i="2"/>
  <c r="AI177" i="2"/>
  <c r="AI176" i="2"/>
  <c r="AI175" i="2"/>
  <c r="AI174" i="2"/>
  <c r="AI173" i="2"/>
  <c r="AI172" i="2"/>
  <c r="AI171" i="2"/>
  <c r="AI170" i="2"/>
  <c r="AI169" i="2"/>
  <c r="AI168" i="2"/>
  <c r="AI167" i="2"/>
  <c r="AI166" i="2"/>
  <c r="AI165" i="2"/>
  <c r="AI163" i="2"/>
  <c r="AI162" i="2"/>
  <c r="AI161" i="2"/>
  <c r="AI160" i="2"/>
  <c r="AI159" i="2"/>
  <c r="AI158" i="2"/>
  <c r="AI157" i="2"/>
  <c r="AI156" i="2"/>
  <c r="AI155" i="2"/>
  <c r="AI154" i="2"/>
  <c r="AI153" i="2"/>
  <c r="AI152" i="2"/>
  <c r="AI151" i="2"/>
  <c r="AI150" i="2"/>
  <c r="AI149" i="2"/>
  <c r="AI148" i="2"/>
  <c r="AI147" i="2"/>
  <c r="AI145" i="2"/>
  <c r="AI144" i="2"/>
  <c r="AI143" i="2"/>
  <c r="AI142" i="2"/>
  <c r="AI141" i="2"/>
  <c r="AI140" i="2"/>
  <c r="AI139" i="2"/>
  <c r="AI138" i="2"/>
  <c r="AI137" i="2"/>
  <c r="AI136" i="2"/>
  <c r="AI135" i="2"/>
  <c r="AI134" i="2"/>
  <c r="AI133" i="2"/>
  <c r="AI132" i="2"/>
  <c r="AI131" i="2"/>
  <c r="AI130" i="2"/>
  <c r="AI129" i="2"/>
  <c r="AI128" i="2"/>
  <c r="AI127" i="2"/>
  <c r="AI126" i="2"/>
  <c r="AI125" i="2"/>
  <c r="AI124" i="2"/>
  <c r="AI123" i="2"/>
  <c r="AI122" i="2"/>
  <c r="AI121" i="2"/>
  <c r="AI120" i="2"/>
  <c r="AI119" i="2"/>
  <c r="AI118" i="2"/>
  <c r="AI117" i="2"/>
  <c r="AI116" i="2"/>
  <c r="AI115" i="2"/>
  <c r="AI114" i="2"/>
  <c r="AI113" i="2"/>
  <c r="AI112" i="2"/>
  <c r="AI111" i="2"/>
  <c r="AI110" i="2"/>
  <c r="AI109" i="2"/>
  <c r="AI108" i="2"/>
  <c r="AI107" i="2"/>
  <c r="AI106" i="2"/>
  <c r="AI105" i="2"/>
  <c r="AI104" i="2"/>
  <c r="AI103" i="2"/>
  <c r="AI102" i="2"/>
  <c r="AI101" i="2"/>
  <c r="AI100" i="2"/>
  <c r="AI99" i="2"/>
  <c r="AI98" i="2"/>
  <c r="AI97" i="2"/>
  <c r="AI96" i="2"/>
  <c r="AI95" i="2"/>
  <c r="AI94" i="2"/>
  <c r="AI93" i="2"/>
  <c r="AI92" i="2"/>
  <c r="AI91" i="2"/>
  <c r="AI90" i="2"/>
  <c r="AI89" i="2"/>
  <c r="AI88" i="2"/>
  <c r="AI87" i="2"/>
  <c r="AI86" i="2"/>
  <c r="AI85" i="2"/>
  <c r="AI84" i="2"/>
  <c r="AI83" i="2"/>
  <c r="AI82" i="2"/>
  <c r="AI81" i="2"/>
  <c r="AI80" i="2"/>
  <c r="AI79" i="2"/>
  <c r="AI78" i="2"/>
  <c r="AI77" i="2"/>
  <c r="AI76" i="2"/>
  <c r="AI75" i="2"/>
  <c r="AI74" i="2"/>
  <c r="AI73" i="2"/>
  <c r="AI72" i="2"/>
  <c r="AI71" i="2"/>
  <c r="AI70" i="2"/>
  <c r="AI69" i="2"/>
  <c r="AI68" i="2"/>
  <c r="AI67" i="2"/>
  <c r="AI66" i="2"/>
  <c r="AI65" i="2"/>
  <c r="AI64" i="2"/>
  <c r="AI63" i="2"/>
  <c r="AI62" i="2"/>
  <c r="AI61" i="2"/>
  <c r="AI60" i="2"/>
  <c r="AI59" i="2"/>
  <c r="AI58" i="2"/>
  <c r="AI57" i="2"/>
  <c r="AI56" i="2"/>
  <c r="AI54" i="2"/>
  <c r="AI53" i="2"/>
  <c r="AI52" i="2"/>
  <c r="AI51" i="2"/>
  <c r="AI50" i="2"/>
  <c r="AI49" i="2"/>
  <c r="AI48" i="2"/>
  <c r="AI47" i="2"/>
  <c r="AI46" i="2"/>
  <c r="AI45" i="2"/>
  <c r="AI44" i="2"/>
  <c r="AI43" i="2"/>
  <c r="AI42" i="2"/>
  <c r="AI41" i="2"/>
  <c r="AI40" i="2"/>
  <c r="AI39" i="2"/>
  <c r="AI38" i="2"/>
  <c r="AI37" i="2"/>
  <c r="AI36" i="2"/>
  <c r="AI35" i="2"/>
  <c r="AI34" i="2"/>
  <c r="AI33" i="2"/>
  <c r="AI32" i="2"/>
  <c r="AI31" i="2"/>
  <c r="AI30" i="2"/>
  <c r="AI29" i="2"/>
  <c r="AI28" i="2"/>
  <c r="AI27" i="2"/>
  <c r="AI26" i="2"/>
  <c r="AI25" i="2"/>
  <c r="AI24" i="2"/>
  <c r="AI23" i="2"/>
  <c r="AI22" i="2"/>
  <c r="AI21" i="2"/>
  <c r="AI20" i="2"/>
  <c r="AI19" i="2"/>
  <c r="AI18" i="2"/>
  <c r="AI17" i="2"/>
  <c r="AI16" i="2"/>
  <c r="AI15" i="2"/>
  <c r="AI14" i="2"/>
  <c r="AI13" i="2"/>
  <c r="AI12" i="2"/>
  <c r="AI11" i="2"/>
  <c r="AI10" i="2"/>
  <c r="AI9" i="2"/>
  <c r="AI8" i="2"/>
  <c r="AI7" i="2"/>
  <c r="AI6" i="2"/>
  <c r="AI5" i="2"/>
  <c r="AI4" i="2"/>
  <c r="AI3" i="2"/>
  <c r="AI2" i="2"/>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2" i="1"/>
</calcChain>
</file>

<file path=xl/sharedStrings.xml><?xml version="1.0" encoding="utf-8"?>
<sst xmlns="http://schemas.openxmlformats.org/spreadsheetml/2006/main" count="7283" uniqueCount="1888">
  <si>
    <t>List Number</t>
  </si>
  <si>
    <t>Agency Name</t>
  </si>
  <si>
    <t>Agency Phone</t>
  </si>
  <si>
    <t>List Agent Full Name</t>
  </si>
  <si>
    <t>Property Type</t>
  </si>
  <si>
    <t>Card Format</t>
  </si>
  <si>
    <t>List Date</t>
  </si>
  <si>
    <t>Close of Escrow Date</t>
  </si>
  <si>
    <t>Under Contract Date</t>
  </si>
  <si>
    <t>Status</t>
  </si>
  <si>
    <t>Status Change</t>
  </si>
  <si>
    <t>Original List Price</t>
  </si>
  <si>
    <t>Current List Price</t>
  </si>
  <si>
    <t>Close Price</t>
  </si>
  <si>
    <t>Price/SqFt</t>
  </si>
  <si>
    <t>House Number</t>
  </si>
  <si>
    <t>Compass</t>
  </si>
  <si>
    <t>Street Name</t>
  </si>
  <si>
    <t>City/Location</t>
  </si>
  <si>
    <t>State Or Province</t>
  </si>
  <si>
    <t>Zip Code</t>
  </si>
  <si>
    <t>Geo Lat</t>
  </si>
  <si>
    <t>Geo Lon</t>
  </si>
  <si>
    <t>Approx SqFt</t>
  </si>
  <si>
    <t>Year Built</t>
  </si>
  <si>
    <t>Bedrooms</t>
  </si>
  <si>
    <t>Baths Total</t>
  </si>
  <si>
    <t>Construction Status</t>
  </si>
  <si>
    <t>Stories</t>
  </si>
  <si>
    <t>Legal Description (Abbrev)</t>
  </si>
  <si>
    <t>Public Remarks</t>
  </si>
  <si>
    <t>Assessor Number</t>
  </si>
  <si>
    <t>Builder Name</t>
  </si>
  <si>
    <t>Model</t>
  </si>
  <si>
    <t>Approx Lot SqFt</t>
  </si>
  <si>
    <t>Subdivision</t>
  </si>
  <si>
    <t>Dwelling Styles</t>
  </si>
  <si>
    <t>C</t>
  </si>
  <si>
    <t>S</t>
  </si>
  <si>
    <t>Desert Sky</t>
  </si>
  <si>
    <t>Saddlebrooke</t>
  </si>
  <si>
    <t>Exists</t>
  </si>
  <si>
    <t>Saddlebrooke Unit 43 Lot 25 Sec 24-10S-14E 12010 Sq Ft 0.28 Ac</t>
  </si>
  <si>
    <t>Perfectly positioned on a premium golf course lot on a quiet cul-de-sac in SaddleBrooke Preserve, this sought-after Canyon model captures what today's buyers are searching for-but rarely find in one home: stunning Catalina Mountain views from a south-facing patio, a thoughtfully designed layout, and a rare 4-car showroom-style garage. Enter through a gated courtyard to soaring ceilings, dramatic floor-to-ceiling view windows and neutral décor. Upgrades include travertine-look ceramic tile, plantation shutters, and motorized sunscreens to effortlessly enclose the patio, creating a true indoor-outdoor Arizona room for year-round living. The well-designed floor plan offers two ensuite bedrooms with ideal separation for owner and guest, a third flex-room/bedroom, powder room and multi-use den.</t>
  </si>
  <si>
    <t>Saddlebrooke Preserve</t>
  </si>
  <si>
    <t>Tucson</t>
  </si>
  <si>
    <t>Saddlebrooke Unit 43 Lot 35 Sec 24-10S-14E 12000 Sq Ft 0.28 Ac</t>
  </si>
  <si>
    <t>Curb appeal, luxurious designer touches &amp; majestic mtn views above the golf course - a territorial-style gem in The Preserve at SaddleBrooke. This SABINO offers 3 bedroom suites, including casita, plus a den, w/tile flooring throughout. Private backyard oasis, features multiple outdoor living spaces, gas fireplace, jetted salt water spool w/waterfall, &amp; fruit trees. Gated courtyard &amp; copper sconces lead to custom mesquite wood/glass front door &amp; matching den doors. Chef's kitchen w/large island, granite counters, Viking &amp; Bosch appliances, solar tubes, and elegant Italian light fixture. The primary bathroom offers a retreat with split vanities, quartz counters, walk-in shower, &amp; plumbed for a tub. With its private casita, guests enjoy their space while you relax &amp; entertain in style.</t>
  </si>
  <si>
    <t>E</t>
  </si>
  <si>
    <t>Willow Canyon</t>
  </si>
  <si>
    <t>Lot 43 Of Saddlebrooke Unit Forty-Four A, According To The Plat O F Record In The Office Of The Pinal County Recorder,</t>
  </si>
  <si>
    <t>2020 Sonrisa, located in The Preserve, offers mountain &amp; golf course views, surrounded by nature. Courtyard has Italian stone pavers, fountain, &amp; glass entry door. Inside, great room showcases a dramatic rolling wall of glass &amp; floating media wall. Kitchen features quartz counters, stainless steel appliances, gas cooktop, R/O system, waterfall island, butler pantry &amp; dry bar with wine cooler. Den has Barn Door &amp; Murphy bed system. Owner's Suite has Patio Door. Ensuite Bathroom with quartz counters, soak tub, shower, &amp; 2 WIC. Powder Room. Guest bedroom has WIC &amp; ensuite bathroom. Luxury vinyl flooring thru-out &amp; Electric blackout blinds. 3 Car Garage is EV ready with W/S &amp; sink. Covered patio has Italian stone pavers, 4 electric rolling shades, gas firepit, lovely landscaping &amp; gated yard!</t>
  </si>
  <si>
    <t>Desert Sun</t>
  </si>
  <si>
    <t>Saddlebrooke Unit 42 Lot 43 Sec 24-10S-14E 12500 Sq Ft .29 Ac</t>
  </si>
  <si>
    <t>Experience luxury living in this stunning Sonoran model 2BD/2BA main home (3265 SF) with detached 1BD/1BA casita (426 SF) in SaddleBrooke Preserve, an exclusive 55+ active adult community. The home features a highly upgraded chef's kitchen with premium finishes, spacious open living areas and elegant design throughout. Custom den/office and owner's suite closet built-ins. Step into your private resort-style backyard complete with sparkling solar heated pool, outdoor kitchen, fireplace and lush landscaping perfect for entertaining or relaxing. Home has two new HVAC units ($26,000) with transferable warranty and a brand new irrigation system. Enjoy the best of desert living with access to community amenities including golf, fitness and social clubs. This is Arizona retirement at its finest!</t>
  </si>
  <si>
    <t>Basin Camp</t>
  </si>
  <si>
    <t>Lot 35 Of Saddlebrooke Unit Forty-Four A, According To The Plat O F Record In The Office Of The Pinal County Recorder,</t>
  </si>
  <si>
    <t>Experience casual elegance in this stunning home located in the Preserve at Saddlebrooke.  Set on a premium golf course lot, this home showcases panoramic views of the Catalina Mtn's.  Open concept FP features 3 ensuite BR, large den, hobby room and powder room. Exquisite finishes &amp; upgrades create a refined yet comfortable ambiance. Expansive AZ room seamlessly blends indoor/outdoor living. Offering dramatic views &amp; resort-style backyard, ideal for entertainment and relaxation. A garden like courtyard welcomes you into an exceptional retreat, where luxury meets the beauty of the Sonoran Desert beyond your private oasis, enjoy world class amenities, including a championship golf course, upscale clubhouse, dining, fitness and endless opportunities for recreation &amp; social engagement</t>
  </si>
  <si>
    <t>Ventana</t>
  </si>
  <si>
    <t>Saddlebrooke Unit 43 Lot 57 Sec 24-10S-14E 14289 Sq Ft 0.33 Ac</t>
  </si>
  <si>
    <t>Located in The Preserve at SaddleBrooke, this refined Paloma model offers exceptional indoor and outdoor living on a spacious lot with a true resort-style setting. The backyard is designed for entertaining and relaxation, featuring a pool and spa with attached umbrellas and gas heater (2021), gas firepit, multiple patio seating areas, an extended covered patio with TV, and dramatic outdoor lighting. Inside, the home showcases a bright great room layout with kitchen, living, and dining spaces flowing seamlessly together beneath high ceilings and large Milgard windows. The chef's kitchen is highlighted by black slate Café appliances, a custom vent hood (gas range), stylish backsplash and a custom pantry. Two bedrooms feature private ensuites, complemented by a stylish updated powder room.</t>
  </si>
  <si>
    <t>Lot 24 of SaddleBrooke Unit Forty-Four A, According To The Plat Of Record In The County Recorder, Arizona, Recorded In</t>
  </si>
  <si>
    <t>Extraordinary SaddleBrooke Preserve luxury home backing to golf and mountain views. Wolf, Sub-Zero, &amp; Asko appliances in chef's kitchen with butler &amp; walk-in pantries. Great room features retractable glass wall, custom built-ins in living &amp; dining, and seamless indoor-outdoor entertaining. Primary suite offers soaking tub, split vanities, his-and-her closets, and stunning mountain views. Fabulous casita for family and friends w/kitchenette adjacent to front courtyard with fountain and private sitting area. Back patio offers endless views, fireplace, heated pool &amp; spa, cornhole or bocce. Owned solar. Extended garage w/epoxy floor &amp; cabinets, Tesla charger, water filtration &amp; zoned HVAC. Beautiful landscaping &amp; travertine pavers surround the fabulous home on a private, wide cul-de-sac lot.</t>
  </si>
  <si>
    <t>Lot 23 Of Saddlebrooke Unit Forty-Four A,</t>
  </si>
  <si>
    <t>Discover the ultimate blend of elegance, comfort, and breathtaking views in this 3,484sf 2BR/2BA Sonrisa model w/den &amp; bonus room, perfectly situated on a premium .47-acre cul-de-sac pool-sized lot in The Preserve at SaddleBrooke. Built in 2021, this one-story stunner offers sweeping golf course and mountain vistas, a gated front courtyard, features timeless Travertine stone, adding a touch of elegance and sophistication to the home's entrance. Step inside to a grand open-concept floor plan with soaring 10' and 12' ceilings, tile flooring throughout. The spacious Great Room features a tray ceiling, media alcove, walk-up dry bar, and a large sliding glass door that opens to over 690sf of covered outdoor living space, perfect for entertaining or relaxing with a view.</t>
  </si>
  <si>
    <t>Cypress</t>
  </si>
  <si>
    <t>SADDLEBROOKE UNIT 43 LOT 79 SEC 24-10S-14E 17840 SQ FT 0.41 AC</t>
  </si>
  <si>
    <t>Stunning Catalina Model in The Preserve - An Oasis in the Desert. This beautifully upgraded and priced to sell home offers refined living and an impressive list of updates completed since 2022. The gourmet kitchen features double ovens, a new gas cooktop, new sink &amp; faucet, new garbage disposal, and a new dishwasher. The kitchen also boasts a walk-in pantry, and a butler's pantry with bar sink. The upgraded laundry room showcases quartz counters and decorative tile.   Major system updates include a brand-new HVAC system installed in 2023; a new water heater also installed in 2023, a mini-split HVAC system in the golf-cart garage, and new double garage door with openers.   The split-bedroom floor plan offers two private suites and multiple living areas for endless options.</t>
  </si>
  <si>
    <t>Catalina Hills</t>
  </si>
  <si>
    <t>Saddlebrooke Unit 42 Lot 84 Sec 23-10S-14E 12052 Sq Ft .28 Ac</t>
  </si>
  <si>
    <t>Experience Luxury Desert Living in SaddleBrooke Preserve. Discover the ultimate resort-style retreat in the prestigious SaddleBrooke Preserve, where breathtaking mountain vistas meet unparalleled privacy and community excellence. This stunning Santa Fe-style residence welcomes you through a charming courtyard entrance into 2,578 square feet of thoughtfully designed living space on a generous quarter-acre lot that backs to protected common area. Interior Highlights include an open-concept floor plan flooded with natural light, inviting great room with fireplace and built-in surround sound, gourmet kitchen featuring center island, granite countertops, breakfast bar, and casual dining nook. A flexible office/den space perfect for work or hobbies.</t>
  </si>
  <si>
    <t>Overlook</t>
  </si>
  <si>
    <t>SaddleBrooke Lot 075, Unit 45, Section24, 10S-14E, CAB G-SLD158</t>
  </si>
  <si>
    <t>Panoramic, Unobstructed Mountain Views from this Exceptional Home on a $400,000 Premium Lot in The Preserve in SaddleBrooke! The perfect home for the outdoor enthusiast who enjoys hiking, ATVs, &amp; riding dirt bikes on scenic trails right outside the back door!  The Custom-Built, Self-Cleaning Pool  features automatic pool covers, spacious SPA, &amp;  regulation lap lanes for great exercise or for relaxing evenings under the stars. The interior boasts high-end custom finishes: Island Kitchen w/Butler Pantry, Wolf &amp; Sub-Zero Appliances, &amp; attached Casita w/Private entrance to Courtyard. With the Pool  &amp; Premium Lot included, it has over 1 million $ in Upgrades! For peaceful retreats or epic events, this home has it all.  Come see one of the best locations in the Preserve!</t>
  </si>
  <si>
    <t>Peregrine</t>
  </si>
  <si>
    <t>Lot 009 Saddlebrooke Unit Forty-Five Cab G - Sld 158 Secs 13 &amp; 24 10S -14E</t>
  </si>
  <si>
    <t>Beautifully appointed and landscaped 2022 home in The Preserve at SaddleBrooke featuring large ¼ acre lot. Avalon floor plan with gas fireplace in the great room - light and bright living, dining, and kitchen spaces leading out to pool, desert and mountains out back. The backyard is an oasis with a saltwater pool - baja ledge and in-floor cleaning; hot tub, travertine paver patio, and artificial turf. Gourmet kitchen offers a large island, honed marble counters, Wolf, Sub-Zero, and Miele appliances, wine room, butler and walk-in pantries. Large den with plenty of space for relaxing, TV viewing, and desk area. Primary suite boasts a zero-grade shower and large walk-in closet. Guest room with ensuite bath and walk-in closet. Garage has utility sink, epoxy, and smart access door.</t>
  </si>
  <si>
    <t>Desert Rise</t>
  </si>
  <si>
    <t>Saddlebrooke Unit 16: Lt 6 Por Of N1/2 Of Sec 26 &amp; S1/2 Sec 23-10 S-14E .21 Ac Cab B Sld 78</t>
  </si>
  <si>
    <t>Price Reduced. HUD Home Save thousands. Great value at a modest price. Bright open feeling home. Spacious great room concept floor plan. 2 large bedrooms. 2 full baths Single story,  Kitchen has a big island a breakfast nook, granite counter tops.  Living area  offers Catalina Mountain Views, vaulted ceilings, &amp; large windows create a light and airy ambiance.. Family room off kitchen, plus a separate den. Covered patio, nicely landscaped back yard with awesome mountain views. 2 car garage. plus  golf cart garage. 2nd home and investor buyers are welcome to bid 15 days from list date. Buyers are responsible for utility turn-on and any required permits for utility connect and re-winterization fee. Buyer to verify all info.</t>
  </si>
  <si>
    <t>Mesa Ridge</t>
  </si>
  <si>
    <t>SaddleBrooke Unit 17 Lot 71</t>
  </si>
  <si>
    <t>Views! Gorgeous renovation! Enjoy 2 master bedrooms in a split plan, plus an additional bonus room which can serve as a 3rd bedroom, craft room, yoga or exercise room, etc. The kitchen boasts an 8 burner 48'' professional range with dual fuel with a pot filler above the stove. Roof replaced in last 5 years.  HVAC &amp; HWH replaced in 2017. Bright and sunny location with fantastic mountain views.  Totally enclosed yard for dogs.  Formerly the Miramonte model but reconfigured for open concept. Enjoy the Saddlebrooke 55+ community.  If you are looking for a wonderful home to age in place with all the support necessary within minutes, you will not be disappointed.  Neighbors are friends and activity options are nonstop. This is a must see! Owner/Agent.</t>
  </si>
  <si>
    <t>Border Rock</t>
  </si>
  <si>
    <t>Saddlebrooke Unit 48 Lot 105</t>
  </si>
  <si>
    <t>Enjoy mountain views from this Laredo with guest house &amp; owned solar! Paver-lined driveway &amp; walkway leads to custom front door. Spacious great room with slider to patio. Kitchen features granite counters, stainless steel appliances, island, pantry, &amp; cabinets with slide-outs plus dining area. Owner's suite offers mountain views Ensuite bath with executive-height vanity, walk-in shower, &amp; walk-in closet. Den/office. Guest bedroom with closet &amp; nearby guest bath. Laundry room includes W/D &amp; cabinets. Detached guest house includes mini split, service station with sink, closet, &amp; bath with walk-in shower-ideal for guests. 2 car garage with 2020 W/H &amp; cabinets. Covered patio &amp; extended paver patio for great entertaining space. Backyard with fruit trees, lovely landscaping &amp; mountain views!</t>
  </si>
  <si>
    <t>Hollywood</t>
  </si>
  <si>
    <t>Subd Saddlebrooke Unit 47 Sec 33-10S-14E Cab D Sld 163 Lot 100 95 35 Sq Ft .22 Ac</t>
  </si>
  <si>
    <t>Updated SaddleBrooke Cimarron w/casita - true Arizona living. Remodeled kitchen open to great room showcasing granite &amp; updated appliances. Great room features wood floors, gas fireplace, and slider to patio. Primary suite w/patio access, tile flooring, and updated bath (2023). Den/fitness room with doors, guest room w/walk-in closet, and refreshed guest bath. Gated courtyard has fountain and paver patio. Casita includes wood-look tile, fridge, shower, closet, mini-split, and dedicated water heater. Private oasis w/saltwater self-cleaning pool, waterfalls, mountain views, built-in BBQ, ramada with lighting, retractable screens for AZ room, citrus, and open space beyond. Also includes dual-zone AC (2024), casita roof (2023), inspected windows repaired (2026), and 3-car garage w/built-ins.</t>
  </si>
  <si>
    <t>Silkwood</t>
  </si>
  <si>
    <t>Lot 131 Saddlebrooke Unit Forty Nine In Sec 33 &amp; 34-10S-14E Cab H Sld 027 8692 Sq Ft .20 Ac</t>
  </si>
  <si>
    <t>An entertainer's delight!  Experience stunning mountain views from this upgraded and meticulously maintained Chaparral model. The property features two bedrooms, two full bathrooms, and a separate den equipped with custom French doors; for convenient additional guest accommodation. The master bedroom offers an en-suite bath, dual vanities, a walk-in shower, and a spacious walk-in closet. The kitchen is appointed with upgraded cabinets, granite countertops, and newer matching appliances.</t>
  </si>
  <si>
    <t>Ironwood</t>
  </si>
  <si>
    <t>Subd Saddlebrooke Unit 47 Sec 33-10S-14E Cab D Sld 163 Lot 43 8400 Sq Ft .19 Ac</t>
  </si>
  <si>
    <t>Spectacular 3BD/2BA (1,976 sq ft) Extended Laredo Model with Catalina Mountain Views in SaddleBrooke Active Adult Community. Fabulous SE facing yard offers an extended covered patio, outer paver patio with Kiva fireplace flanked by banco seating, flowering shrubs &amp; citrus trees plus awe inspiring views. Gated front porch flows to an open concept plan w/ soaring vaulted ceilings &amp; art/media wall. Extended Chef's kitchen hosts Silestone counters, maple cabinets w/ undercabinet lighting, center island &amp; spacious breakfast nook w/ plantation shutters. Private Owner's Suite with bay window views hosts dual sink vanity, walk-in shower, custom walk-in closet. Front guest room has Cherrywood Murphy bed. Rear bedroom has bay window views. A true desert retreat.</t>
  </si>
  <si>
    <t>Clubhouse</t>
  </si>
  <si>
    <t>Saddlebrooke Unit 48 Lot 66</t>
  </si>
  <si>
    <t>This gorgeous 2-bed, 2-bath home ? plus a den ? with a private 1-bed/1-bath casita in Saddlebrooke, Arizona has it all: beautiful curb appeal, low-care landscaping, and a 3-car garage. Step inside to a bright, open great room with tile floors, a neutral palette, and a cozy fireplace. The chef's kitchen boasts wood cabinetry, granite counters, tile backsplash, built-in appliances, a pantry, and a two-tier island with breakfast bar. The primary suite offers outdoor access, dual sinks, and a walk-in closet. The den adds flexible space for work or reading. Sitting on one of the largest cul-sac lots, this home offers privacy, mountain views, and resort-style living with golf, pools, fitness, pickleball, and more!  Price range $599,900-$629,900</t>
  </si>
  <si>
    <t>Sand Crest</t>
  </si>
  <si>
    <t>Saddlebrooke Ulnit 48, Lot 71</t>
  </si>
  <si>
    <t>Gorgeous Well Maintained Home with Mountain views!  This move-in ready home has 2bedrooms plus a den.  Lots of upgrades throughout, low E vinyl windows and high quality marble counters in both bathrooms, lots of storage.  Beautiful granite counters in the kitchen and on the island.  Large back yard with beautiful mountain views.  A close walk to club house, pickle ball courts, dog park, and ball park.  Enjoy all that Saddlebrooke has to offer.  Furnishings offered for sale in separate bill.</t>
  </si>
  <si>
    <t>SaddleBrooke Unit 47 Lot 121</t>
  </si>
  <si>
    <t>Updated Laredo with Guest House on a corner lot with mountain views! Paver courtyard welcomes you into this maintained home. Spacious Great Room with gas fireplace &amp; slider to patio. Kitchen offers granite countertops, stainless steel appliances, gas range, nutmeg shaker cabinets with slide-outs, &amp; dining area. Owner's Suite with bay window. En suite bath has quartz counter, privacy door, walk-in shower, &amp; walk-in closet. Den/office. Guest bedroom with closet &amp; nearby bath. Laundry room includes w/d, sink, cabinets, &amp; desk system. Large tile &amp; tigerwood natural wood floors thru-out. Guest house has serving station with sink, closet, &amp; bath with walk-in shower. Extended 2 car garage with sink &amp; cabinets. Covered patio, 4 rolling shades, extended paver patio, gated yard, &amp; mountain views!</t>
  </si>
  <si>
    <t>Subd Saddlebrooke Unit 47 Sec 33-10S-14E Cab D Sld 163 Lot 50 970 2 Sq Ft .22 Ac</t>
  </si>
  <si>
    <t>Prepare to be amazed! Check out this fantastic 2 bed, 2 bath with a den property now for sale in Saddlebrooke! Nestled on a premium corner lot and featuring great curb appeal, a low-maintenance desert landscape, a 2-car garage, and a paver driveway. Step inside to discover a spacious great room with a custom palette throughout--perfect for entertaining. The fabulous kitchen is equipped with ample cabinetry, granite countertops, recessed lighting, built-in appliances, a center island, serving window, and a cozy breakfast nook. You'll love the primary suite, boasting elegant wood-look flooring, a carpeted walk-in closet, and a private bath with dual vanities.</t>
  </si>
  <si>
    <t>Saddlebrook HOA Two Unit 49 Lot 148</t>
  </si>
  <si>
    <t>Pristine and beautifully cared for, this Talavera model with a private casita sits in one of Saddlebrook's most desirable enclaves. The moment you step inside, the great room design opens up around you ? warm, inviting, and anchored by a stunning new stacked stone electric fireplace wall that instantly feels like home. The kitchen is designed for gathering, with a generous breakfast bar, rich Alderwood cabinetry, granite counters, stainless appliances, &amp; a gas range that makes cooking a pleasure. The spacious primary suite offers a peaceful retreat w a soaking tub, separate shower, and dual vanities.Tile flooring throughout the main areas, plantation shutters, and thoughtful upgrades add comfort and style. The added Arizona room e</t>
  </si>
  <si>
    <t>Winding Trail</t>
  </si>
  <si>
    <t>Subd Saddlebrooke Unit 47 Sec 33-10S-14E Cab D Sld 163 Lot 61 121 79 Sq Ft .28 Ac</t>
  </si>
  <si>
    <t>Remodeled &amp; Updated Laredo on a Corner Lot with Pool &amp; Mountain Views! Inviting curb appeal welcomes you into a spacious great room with slider to patio. Kitchen features granite countertops, stainless steel appliances, gas range, cabinets with slide-outs, &amp; dining area. Owner's suite offers a bay window. En suite bathroom with dual vanity, custom walk-in shower, &amp; custom-organized walk-in closet. Guest quarters includes large bedroom with en suite bath with dual vanity, walk-in shower, &amp; private access to den with oversized closet?ideal for guests or flexible living. Laundry room with W/D &amp; storage. Extended 2.5-car garage has 2023 W/H 2022 HVAC, cabinets, &amp; storage closet. Enjoy the backyard Oasis with covered patio, heated pool, lovely landscaping, gated yard, &amp; mountain views!</t>
  </si>
  <si>
    <t>Sandlewood</t>
  </si>
  <si>
    <t>Lot 181 SaddleBrooke Unit Forty Nine in Sec 33 &amp; 34 10S-14E Cab H Sld 027 8441 Sq Ft .19 Ac</t>
  </si>
  <si>
    <t>2009 Strada with Mountain Views! Freshly Painted Exterior 12/2025! Open Concept Living! Great Room with Gas Fireplace &amp; Patio Door. Kitchen has Quartz Counters, 2025 Stainless Steel Appliances, Tiled Front Island, Pendant Lights, Cabinets with pull-outs, &amp; Serving Station. Dining Room to entertain. Powder Room. Owner's Suite has Bathroom with Walk-in Tiled Shower &amp; Walk-in Closet. Den/Office. Guest Bedroom with Closet &amp; EnSuite Bathroom. Laundry Room has W/D &amp; Cabinets. Tile Flooring &amp; Plantation Shutters Thru-out! Irrigation System Replaced in 2024. Extended 2 Car Garage (32 ft. Left bay &amp; 24 ft. Right bay) has 2024 HVAC, Utility Sink &amp; Cabinets. Covered Patio with extended Paver Patio. Gated Yard, Lovely Landscaping with Nature Behind &amp; Mountain Views! Just the place to call home!</t>
  </si>
  <si>
    <t>Lot 175 Saddlebrooke Unit Forty Nine In Sec 33 &amp; 34-10S-14E Cab H Sld 027 8231 Sq Ft .19 Ac</t>
  </si>
  <si>
    <t>Talavera with Guest House, Owned Solar &amp; Mountain Views! Great curb appeal with cactus fountain &amp; inviting entry. Great room with gas fireplace &amp; dining area with patio slider. Kitchen has quartz counters, gas cooktop, stainless appliances, knotty alder cabinets, &amp; wine cooler. Powder room for guests. Owner's suite has patio door. Ensuite bath has soaking tub, walk-in shower, &amp; walk-in closet. Den with French doors &amp; custom built-in office system. Guest bedroom has closet &amp; nearby bath. Tile flooring thru-out &amp; 4 solar tubes. Laundry room with W/D, sink &amp; cabinets. Guest house with Murphy bed system, closet, &amp; bath with walk-in shower. Extended 3-car garage with 2019 W/H, sink, &amp; side door. Covered flagstone patio with BBQ station, hot tub, gated yard, lovely landscaping, &amp; mountain views!</t>
  </si>
  <si>
    <t>Subd Saddlebrooke Unit 47 Sec 33-10S-14E Cab D Sld 163 Lot 112 92 59 Sq Ft .21 Ac</t>
  </si>
  <si>
    <t>Charming Chaparral model move-in-ready situated on a spacious corner lot with common area behind, offering the privacy you've been searching for. Enjoy mountain views from the welcoming front courtyard?perfect for morning coffee. This 2-bedroom plus den home features an open-concept great room ideal for entertaining. Neutral tones flow throughout with tile and complementary LVP flooring (no carpet), stylish window coverings, and modern lighting and fans. The kitchen offers SS appliances, granite countertops, quality cabinetry with pull-outs, a center island, and opens seamlessly to the great room with a slider leading outdoors. The extended 2-car garage includes space for a golf cart and a utility sink. Major updates include HVAC and irrigation replaced in 2019 and roof recoated in 2023.</t>
  </si>
  <si>
    <t>Windwood</t>
  </si>
  <si>
    <t>Saddlebrooke Unit 48 Lot 58</t>
  </si>
  <si>
    <t>Located in the highly sought-after SaddleBrooke 55+ active adult community, this stunning 2,369 sq ft property offers the perfect blend of comfort, functionality, and Arizona lifestyle living. The main home features 2BD/2.5BA, plus a detached 1BD/1BA casita--ideal for guests, a private studio, or hobby space. Step inside to an inviting open-concept floor plan that seamlessly connects the living and dining areas to a chef's kitchen, complete with granite countertops, abundant cabinetry, and newer appliances, including an induction cooktop. The spacious owner's suite provides a relaxing retreat with a large walk-in closet and an oversized walk-in shower. A private guest room with ensuite bath ensures comfort and privacy for visitors, while the den--featuring custom built-in wall units--offer</t>
  </si>
  <si>
    <t>Lot 005 Saddlebrooke Unit Forty Nine In Sec 33 &amp; 34-10S-14E Cab H Sld 027 9867 Sq Ft .23 Ac</t>
  </si>
  <si>
    <t>*RANGE PRICED - Now accepting offers from $599,900-$609,900* A MUST SEE! 2014 Cortez model with recent upgrades, located in SaddleBrooke TWO near the clubhouse with convenient golf cart access. Enjoy golf, clubhouse amenities, fitness facilities, tennis, pickleball, dining, and an active adult lifestyle. Open-concept floor plan with high ceilings and seamless flow from the gourmet kitchen to the great room and dining area. Spacious primary suite with large walk-in closet plus private guest suite with en-suite bath. Wood plantation shutters throughout. Kitchen features Café French Door refrigerator (09/2024), Café double drawer dishwasher (04/2024), GE 36'' gas cooktop (03/2024), granite countertops (07/2024), abundant cabinetry, and custom built-in buffet.</t>
  </si>
  <si>
    <t>Lot 009 Saddlebrooke Unit Forty Nine In Sec 33 &amp; 34-10S-14E Cab H Sld 027 9042 Sq Ft .21 Ac</t>
  </si>
  <si>
    <t>Welcome to resort-style living in the SaddleBrooke Active Adult Community! This popular Dolce model offers a thoughtful blend of comfort, style, and convenience, complete with a golf cart garage and inviting front courtyard. Enjoy seamless indoor/outdoor living with a covered back patio, additional patio space, and a spacious backyard highlighted by mature landscaping and beautiful trees?ideal for relaxing or entertaining. Inside, the kitchen features granite countertops, staggered cabinets, tile backsplash, crown molding, and updated appliances (2019 &amp; 2022). Bathrooms include executive-height vanities, while practical upgrades such as a H2O water system, exterior paint (2019), washer &amp; dryer (2024), Tesla EV charger, and sink in the garage add everyday ease.</t>
  </si>
  <si>
    <t>Briarwood</t>
  </si>
  <si>
    <t>Subd SaddleBrooke Unit 47 Sec 33-10S-14E  Cab D Sld 163 Lot 192 94 04 Sq Ft .22 A</t>
  </si>
  <si>
    <t>Beautiful Cimarron w/casita in SaddleBrooke with rear mountain views. Kitchen features granite countertops, GE CafÃ© gas range, new sink, faucet, disposer. Motorized shades in great room with wood flooring, gas fireplace, tray ceiling, and patio slider. Primary suite with patio access, room-darkening shades, shutters, and updated bath with granite, tile shower, and tiled closet. Den doubles as a fitness room, and guest room w/walk-in closet with updated bath. Enjoy the private backyard with mountain views, cactus water fountain, and wrought iron/snake fencing. Gated entry with paver courtyard, updated casita bath, wood and tile flooring throughout (no carpet), fresh interior paint (2024), extended garage, Kinetico water system, recent roof inspection, and new front irrigation.</t>
  </si>
  <si>
    <t>Subd Saddlebrooke Unit 47 Sec 33-10S-14E Cab D Sld 163 Lot 195 10 880 Sq Ft .25 Ac</t>
  </si>
  <si>
    <t>This beautiful home has it all! Casita, golf cart garage and mountain views. Featuring an open concept floorplan, 3 bedrooms, 3 full-bathrooms, three solar tubes for additional light, den with murphy bed, spacious covered patio, kitchen island, SS appliances, and Stonite countertop compliment the beautiful cabinetry. This home is set up for entertaining. Start enjoy the SaddleBrooke lifestyle today!</t>
  </si>
  <si>
    <t>Thunder Rock</t>
  </si>
  <si>
    <t>Lot 76 Saddlebrooke Unit Fifty, Being A Replat Of Saddlebrooke Ph Ase II Unit Fifty And Replat Of Lot 3 Of Saddlebrooke</t>
  </si>
  <si>
    <t>Discover the ease of refined desert living in this exceptionally appointed home, ideally located in Saddlebrooke's premier Unit 50. Set on a private, no-rear-neighbor lot, this home offers effortless lock-and-leave convenience?all within minutes of SaddleBrooke's world-class amenities.    Step inside to a bright, open layout designed for both comfort and style. Stone-look tile flows throughout the main living spaces, complementing the home's clean, modern lines. The spacious great room opens to a designer kitchen featuring soft-close cabinetry, quartz countertops, matching stainless steel appliances, a gas range, deep undermount sink, and a generous island perfect for cooking, gathering, and entertaining. The private owner's suite feels like a retreat, complete with dual vanities,</t>
  </si>
  <si>
    <t>Wind Song</t>
  </si>
  <si>
    <t>Lot 35 SaddleBrooke Unit Fifty, Being A Replat of SaddleBrooke Ph Ase II Unit Fi t 2 Of SaddleBrooke Unit Forty Nine</t>
  </si>
  <si>
    <t>Fabulous 2019 LAGO villa in SaddleBrooke featuring 2 bedrooms, 2 bathrooms plus den/office, on a premium lot backing southeast w/unobstructed Catalina Mtn views. Kitchen impresses with quartz counters, SS appliances, gas range, staggered soft-close cabinets w/crown, and open flow to great room. The primary suite offers a zero-grade walk-in shower with door, double vanity, generous storage, and space for desk/sitting area. Upgrades including tray ceilings, electric fireplace, interior window &amp; door trim and sun screens. Extras include water softener loop, utility sink, attic stair and light. Outdoor living shines with motorized sun screens, covered patio, grilling space, watering system for pots, pony wall, and endless unobstructed mountain views. Exterior maintained by villa HOA. Enjoy!</t>
  </si>
  <si>
    <t>Subd Saddlebrooke Unit 47 Sec 33-10S-14E Cob D Sld 163 Lot 23 840.0 Sq Ft .19 AC</t>
  </si>
  <si>
    <t>Discover a rare blend of privacy, serenity, and opportunity in this beautifully cared for SaddleBrooke home, perfectly positioned along the quiet stretch of Winding Trail. With no home directly behind you, the property opens to wide open desert space, offering a sense of calm and connection to nature that's increasingly hard to find.  The setting feels like your own desert retreat as you wake up to mountain silhouettes, unwind to painted-sky sunsets, and enjoy the peaceful stillness that comes from having unobstructed natural space behind the home. Whether you're sipping morning coffee on the patio or hosting friends for an evening under the stars, the setting elevates every moment.  This home has been exceptionally well maintained, reflecting pride of ownership at every turn.</t>
  </si>
  <si>
    <t>Redwood</t>
  </si>
  <si>
    <t>Subd Saddlebrooke Unit 47 Sec 33-10S-14E Cab D Sld 163 Lot 157 11 242 Sq Ft .26 Ac</t>
  </si>
  <si>
    <t>Expanded 3 Bedroom Laredo with Mountain Views from Front Courtyard!  Custom Wrought Iron Door leads to Spacious Great Room with Slider to Patio. Updated Kitchen has Quartz Counters, New Stainless Steel Appliances, Gas Range, Birch Cabinets with Slide Outs &amp; Expanded Kitchen Dining Area. Owner's Suite has Bay Window. Owner's Bathroom  with Dual Vanity, Walk-in Shower &amp; Walk-in Closet. Front Guest Bedroom with Closet can be Office/Den/Flex room. Back Guest Bedroom has Bay Window &amp; Closet. Guest Bathroom nearby. Laundry Room has W/D, Sink &amp; Cabinets. Plantation Shutters &amp; Blinds thru out. Extended 2 Car Garage with 2021 HVAC &amp; 2021 Water Heater with Cabinets. Enjoy Covered Patio with extended Flagstone Patio. Private, Spacious, Gated Yard to enjoy with Lemon Tree &amp; Lovely Landscaping!</t>
  </si>
  <si>
    <t>Summerwood</t>
  </si>
  <si>
    <t>Lot 15 Saddlebrooke Unit Fifty, Being A Replat Of Saddlebrooke Ph Ase II Unit Fifty And Replat Of Lot 3 Of Saddlebrooke</t>
  </si>
  <si>
    <t>Upgraded 2020 Lago Villa in SaddleBrooke with Nature Behind. Custom Front Entry Door leads to Open Concept Living! Kitchen has Quartz Counters, Tile Backsplash, Stainless Steel Appliances, Gas Cooktop, Large Island, Wine Cooler, Pantry, &amp; 42'' Cabinets with Soft Close &amp; Slide-outs. Spacious Great Room. Dining Room has Slider to Patio. Owner's Suite has Bathroom with Roll-in Shower &amp; Custom Organized Walk-in Closet. Den/Office. Guest Wing offers Guest Bedroom with Closet &amp; Bathroom nearby. Laundry Room has W/D &amp; Cabinets. Wood Look Tile in Main Living Areas &amp; Plantation Shutters. 2 Car Garage with Sink, Epoxy Floor &amp; Cabinets. Covered Paver Patio with Electric Rolling Shade &amp; Gated Extended Paver Patio. Unit 50 Villa Assoc. responsible for maintaining Landscaping, Irrigation, Pest, &amp; Roof!</t>
  </si>
  <si>
    <t>Northwood</t>
  </si>
  <si>
    <t>Saddlebrooke Unit 46 Lot 139 Sec 33-10S-14E 8050 Sq Ft 0.18 Ac</t>
  </si>
  <si>
    <t>Welcome to this beautifully maintained 3BD/2BA home plus den, offering 2,399 sq. ft. of elegant living space in the desirable SaddleBrooke community. Designed with a thoughtful split floor plan, this residence features both a separate living and family room, providing the perfect blend of comfort and functionality. The chef's kitchen is a true showpiece, complete with granite countertops, stainless steel appliances, and abundant cabinetry, ideal for both everyday living and entertaining. The spacious owner's suite offers private patio access, a luxurious ensuite bath with a walk-in shower, and a generous walk-in closet. Enjoy serene outdoor living in the tranquil backyard featuring a covered patio, built-in BBQ, and gas fireplace?all set against spectacular mountain views.</t>
  </si>
  <si>
    <t>McHaney</t>
  </si>
  <si>
    <t>Saddlebrooke Unit 46 Lot 36 Sec 33-10S-14E 10248 Sq Ft 0.24 Ac</t>
  </si>
  <si>
    <t>Experience refined desert living in this beautifully remodeled Cimarron model with private casita, perfectly positioned to capture stunning mountain views. This thoughtfully designed home offers three bedrooms and three bathrooms, blending modern style with comfort and functionality. The chef's kitchen opens seamlessly to the spacious living and dining areas, creating a bright, open-concept layout ideal for both everyday living and entertaining. Fresh interior paint, updated finishes, and a recently replaced roof underlayment provide peace of mind and a truly move-in-ready experience. Step outside to your own resort-style retreat featuring a covered patio for effortless indoor-outdoor living, a sparkling in-ground pool, tranquil water feature, and inviting front courtyard--perfect for</t>
  </si>
  <si>
    <t>Lot#23 Unit 50 SaddleBrooke</t>
  </si>
  <si>
    <t>Carefree living in Unit #50 Villas at SaddleBrooke. Popular Lago model is highly upgraded featuring a guest bedroom with private bath plus a hall 1/2 bath. Master bedroom suite includes a large curbless shower with tile surround to the ceiling, dual sink vanity and walk-in closet. Backing to open space with some mountain views. Beautiful bright great room with electric fireplace. Tile floors throughout, quartz counters in kitchen &amp; baths. Upgraded cabinets with roll-out shelves, full height tile backsplash, energy star appliances &amp; gas cooking. Den with double doors.  Paver patio with full enclosure of remote controlled screens. Water treatment system.  Garage features ample built-in storage, utility sink and epoxy floor coating. HOA maintains landscaping, exterior &amp; roof for easy living.</t>
  </si>
  <si>
    <t>SaddleBrooke Unit 46 Lot 30, Sec 33-10S 10637 Sq Ft 0.24 Ac</t>
  </si>
  <si>
    <t>Welcome to this beautifully updated &amp; maintained Laredo model, perfectly sited on a premium corner lot with lovely mountain views. Kitchen showcases cherry finish cabs, gorgeous granite counter tops, convenient island, 5 burner gas range, SS appls, large pantry, countertop seating &amp; bright adjacent breakfast nook. Primary suite offers a large, completely remodeled master bath with oversized walk-in closet. Versatile den provides space for an office or reading retreat. Attractively updated guest bath. Handsome wood look plank flooring throughout, plus high-end window treatments. Back yard is perfect for entertaining with gas firepit, concrete cactus water feature, patio pavers &amp; misting system. New water heater 2024, drip sys 2025, extended garage w/sink &amp; storage cabs, welcoming courtyard!</t>
  </si>
  <si>
    <t>SaddleBrooke Unit 46 Lot 21 Sec 33-10S-14E  8050 Sq Ft 0.18 Ac</t>
  </si>
  <si>
    <t>Experience the SaddleBrooke lifestyle in this sought-after Laredo model. The split bedroom layout offers two bedrooms, two bathrooms, and a conveniently situated den. The island kitchen features plenty of cabinetry, granite countertops, a pantry, stainless steel appliances, and opens to a dining area with beautiful bay windows overlooking the mountain views. The primary suite boasts an en-suite bathroom with a double vanity and an upgraded shower plus a walk-in closet. Additional highlights include a guest bedroom and bath, a den with a built-in desk, and an inviting Arizona room. Step outside to a private yard with gas firepit designed for expanded entertaining, or enjoying the best of the SaddleBrooke lifestyle rounding out this exceptional home.</t>
  </si>
  <si>
    <t>Saddlebrooke Unit 46 Lot 25 Sec 33-10S-14E 8050 Sq Ft 0.18 Ac</t>
  </si>
  <si>
    <t>Enjoy comfort, privacy, and peaceful surroundings in this beautifully maintained 2 BD/BA Laredo with 1,884 sq ft of living space. Built in 2003, the home features new windows, granite countertops in the kitchen, and an inviting Arizona room-perfect for relaxing or entertaining year-round. The tranquil backyard backs to a common area, offering a sense of openness and privacy, while the extended garage provides extra space for storage or hobbies. An owned water softener adds everyday convenience. Thoughtfully designed and move-in ready, this home is ideal for those seeking a quiet, low-maintenance lifestyle in a serene setting in beautiful Saddlebrooke. Most furniture available on a separate Bill of of Sale.  New roof underlayment completed in 2018.</t>
  </si>
  <si>
    <t>Amberwood</t>
  </si>
  <si>
    <t>SADDLEBROOKE UNIT THIRTY-SIX LOT 85 CAB C SLD 143 SEC 28,33 &amp; 34-10S-14E 9114 SQ FT .21 AC</t>
  </si>
  <si>
    <t>DO NOT MISS THIS OPPORTUNITY TO OWN A HOME WITH ONE OF THE MOST INCREDIBLE VIEWS YOU'LL EVER FIND AT AN INCREDIBLE NEW PRICE! Montana floorplan. Located within an Active 55+ Adult community that comes with plenty of amenities including world class golfing, 4 clubhouses with ballrooms, meeting rooms and fitness centers, 6 pools including lap pools and 2 activity centers in the community as well as about 200 clubs to join, dining options, fitness facilities, tennis, pickleball, health &amp; wellness activities, and much more!  This home has been well loved and it shows!  Bright, airy and open floorplan with big windows that look at the mountains.  Three bedrooms/2 bathrooms plus a den.  Multiple living spaces.  High ceilings. Tile in all living spaces.  This home is truly a must see</t>
  </si>
  <si>
    <t>Saddlebrooke Unit Thirty-Six Lot 93 Cab C Sld 143 Sec 28,33 &amp; 34 -10S-14E 7392 Sq Ft .17 Ac</t>
  </si>
  <si>
    <t>Montana with Mountain Views! Paver pathway leads to entry gate &amp; courtyard. Inside, Great Room features wall of windows, built-in media wall with TV, gas fireplace, &amp; slider to patio. Kitchen offers granite countertops, black appliances, gas range, island, pantry &amp; kitchen nook. Owner's Suite captures mountain views &amp; features en suite bath with walk-in shower &amp; custom-organized walk-in closet. Den has custom office system with dual desks &amp; shelving. 2 guest bedrooms with closets (1 with Murphy system) share nearby guest bath. Laundry room has W/D, cabinets &amp; walk-in pantry. Tile flooring thru-out, plantation shutters, &amp; 5 solar tubes. Extended 2.5-car garage with sink, water softener &amp; cabinets. Covered patio, extended patio, water feature, lovely landscaping, gated yard &amp; mountain views!</t>
  </si>
  <si>
    <t>Lake Crest</t>
  </si>
  <si>
    <t>SaddleBrooke Unit Thirty-Six Lot 120 Cab C Sld 143 Sec 28, 33 &amp; 34 -10S-14E  7784</t>
  </si>
  <si>
    <t>Beautiful unobstructed view from this ponderosa with casita.</t>
  </si>
  <si>
    <t>Saddlebrooke Unit Thirty-Six Lot 204 Cab C Sld 143 Sec 28, 33 &amp; 34 -10S-14E 7811</t>
  </si>
  <si>
    <t>Spectacular home on golf course in the SaddleBrooke Active Adult community affords resort style living. This elegant home boasts 2,668 sq ft of living area encompassing dual ensuite bedrooms, 3 baths, Library, Den/Office, split 3-car garage plus peeks of the Catalina mountains. Greeted by a large, gated courtyard with fountain and stacked stone accents, enter to find an impressive Gathering room ideal for entertaining with soaring, recessed tin ceiling and fireplace/media center with marble surround. Striking Gourmet Kitchen with granite &amp; stainless amenities is well equipped for meal prep while dining at the large breakfast nook or enjoying a beverage at the outer breakfast bar. Primary suite #1 hosts a luxury, dual vanity bath with shower and expansive custom closet. Primary suite #2</t>
  </si>
  <si>
    <t>Subd Saddlebrooke Unit 47 Sec 33-10S-14E Cab D Sld 163 Lot 9 1260 1 Sq Ft .29 Ac</t>
  </si>
  <si>
    <t>''Casa Del Sol'' is a beautifully cared-for Sundance model backing to private desert on a quiet cul-de-sac. This inviting home offers 4 bedrooms and 3.5 baths, including a welcoming guest casita. The kitchen features GE Cafe appliances, double ovens, gas cooktop, granite counters, and a bar with wine cooler, open to the family room for entertaining. Tile and engineered wood flooring enhance the main-level living areas, den, and primary suite, while the second floor offers plush carpet. Enjoy the indoor gas fireplace or the patio's natural gas kiva fireplace on cool evenings. Outdoor living includes retractable screens for an enclosed AZ room, a hot tub for stargazing, and fabulous landscape. Additional highlights include custom iron gate, updated fixtures, and a water filtration system.</t>
  </si>
  <si>
    <t>Harmony</t>
  </si>
  <si>
    <t>SADDLEBROOKE UNIT THIRTY-SIX LOT 183 CAB C SLD 143 SEC 28,33 &amp; 34-10S-14E 12223 SQ FT 0.28 AC</t>
  </si>
  <si>
    <t>Your desert oasis awaits on Harmony Drive. A dreamy private courtyard welcomes you to this sought-after Cimarron model. This exceptional residence includes a main house, a guest house, a 2car garage &amp; an additional third-car garage w/ built in work bench. Beautifully designed den w/ French doors. Crown molding &amp; window shutters throughout. Chef's kitchen with granite countertops, high end custom cabinets, SS appliances &amp; gas cooktop. An expansive great room w/gas fireplace opens to inviting outdoor living &amp; entertaining areas.  Impressive rear yard w/ built-in BBQ, water feature, outdoor FP &amp; expanded rear terrace w/cobblestone pavers to enjoy stunning mountain view. An exceptional property w/ many custom features. SaddleBrooke is an award winning 55+. Call for your private showing today.</t>
  </si>
  <si>
    <t>Vacation</t>
  </si>
  <si>
    <t>Lot 129 Saddlebrooke Unit 35 Amended Cab C Sld 56 Sec 34-10S-14E 4174.84 Sq Ft 0.10 Ac</t>
  </si>
  <si>
    <t>Catalina Mountain views from this gorgeous Verona model Villa. Designer touches include a slate gas fireplace, porcelain tile, kitchen with granite counters, ss appliances included. Large picture windows with built in UV protection flood the kitchen and breakfast nook with natural light. Primary suite has large slider leading to the backyard, remodeled bathroom and custom closet. Guest bedroom features murphy bed. Tranquil outdoor setting with extended brick paver patio, auto sun shade &amp; breathtaking desert and mountain views. Epoxy-finished 2-car garage, sensor lighting, newer HVAC &amp; water heater and whole house filtration system. HOA covers exterior maintenance.Saddlebrooke offers including golf, pickleball, tennis, pools, restaurants, fitness, clubs and more.</t>
  </si>
  <si>
    <t>Lot 124 Saddlebrooke Unit 35 Amended Cab C Sld 56 Sec 34-10S-14E 4645.19 Sq Ft 0.11 Ac</t>
  </si>
  <si>
    <t>Amazing find, 180 degree mountain and desert views-unobstructed.  Backs to desert and private land.  Very well maintained, very clean, no pets.  See through from the front door to the back view windows.  Kitchen has almost never been used, Granite counter-stainless appliances.  Fully furnished, 100% turnkey, all furniture goes with the sell. Villa-Naples Model,  AZ is truly at your back door.  Close as quickly as you wish.</t>
  </si>
  <si>
    <t>Saddlebrooke Unit 35 A Amended Lot 10 Cabinet C Slide 057 34-10S- 14E 3894 Sq Ft 0.09 Ac</t>
  </si>
  <si>
    <t>Panoramic, unobstructed southeast-facing mountain views from this terrific VERONA villa floor plan! Two bedroom/two bath + den/office and a bright open kitchen make this the perfect choice for a lock-n-leave Villa in SaddleBrooke.  Step into a wonderful tiled round front entry plus great room with elevated gas fireplace. Nice sized primary bedroom has en-suite bath and direct access to your screened in patio.  Backyard beyond is private and quiet with only gorgeous mountain views in sight. Kitchen includes maple cabinets, tile countertops and huge picture window. Ceiling fans in the Living Room &amp; both bedrooms. This home can be sold turnkey with furniture included making it the perfect home for full or part time living. Water heater and HVAC replaced in 2023.</t>
  </si>
  <si>
    <t>Saddlebrooke Unit Thirty-Six Lot 131 Cab C Sld 143 Sec 28,33 &amp; 34 -10S-14E 7392 Sq Ft 0.17 Ac</t>
  </si>
  <si>
    <t>Beautifully updated Montana backing to open space with no homes behind, offering nature &amp; unobstructed mountain views. Great curb appeal with freshly painted exterior &amp; paver path leading to front door. Inside, spacious great room with wall of windows &amp; slider to patio. Kitchen offers Quartzsite countertops, stainless steel appliances, gas range, custom cabinetry, pantry, island, &amp; kitchen nook. Owner's suite has bay window, custom walk-in shower, &amp; custom organized walk-in closet. Den/flex room, guest bedroom with nearby bathroom, &amp; laundry room with W/D, sink, &amp; cabinets. Enviro house filtration system &amp; newer irrigation system. Extended 2.5 car garage with 2021 W/H &amp; cabinets. Outdoor living with covered paver patio, built-in BBQ, extended pavers, lovely landscaping &amp; mountain views!</t>
  </si>
  <si>
    <t>Saddlebrooke Unit Thirty-Six Lot 149 Cab C Sld 143 Sec 28,33 &amp; 34 -10S-14E 7392 Sq Ft 0.17 Ac</t>
  </si>
  <si>
    <t>Montana with Mountain Views &amp; Great Curb Appeal! Paver driveway leads to inviting paver courtyard with fountain. Freshly painted exterior (3/2026). Inside, spacious Great Room with wall of windows, beehive gas fireplace &amp; slider to patio for indoor/outdoor living. Kitchen offers quartzite counters, 42'' cabinets with slide-outs, R/O system, island, desk, &amp; kitchen nook. Den has custom built-in desk system. Owner's Suite includes bay window &amp; patio access. EnSuite has dual vanity, walk-in shower, &amp; walk-in closet. Guest bedroom with closet &amp; nearby bath. Laundry room with W/D &amp; cabinets. Plantation shutters thru-out. Extended 2-car garage with 2023 W/H, utility sink, &amp; storage. Enjoy the covered paver patio with paver extension, 2 rolling shades, water feature, gated yard, &amp; mountain views!</t>
  </si>
  <si>
    <t>Saddlebrooke Unit 35 A Amended Lot 18 Cabinet C Slide 057 34-10S- 14E 4958 Sq Ft</t>
  </si>
  <si>
    <t>Robson Designed Naples Style Home with 3rd Bedroom. Spacious great room concept with split floor plan and gracious entryway offering room for seating/additional dining, or an office area. Features include plantation shutters, granite countertops, recent HVAC and appliances, and 18'' diagonal tile. Screened private patio backs to the golf course and common area, providing a peaceful setting and beautiful views</t>
  </si>
  <si>
    <t>Lot 33 Saddlebrooke Unit 35 Amended Cab C Sld 56 Sec 34-10S-14E 4651.28 Sq Ft 0.11 Ac</t>
  </si>
  <si>
    <t>Fully Furnished, Turn Key. Resort-style living in SaddleBrooke's premier 55+ master-planned community! This 2BD/2BA villa is in brand-new condition and offers an open great room, bright kitchen, and a spacious primary suite with walk-in closet. Enjoy peaceful relaxation on the covered patio. HOA covers exterior maintenance and landscaping for true lock and leave convenience. Two gorgeous golf courses, pools, fitness centers, restaurants, pickleball, dog park, community theater, and clubhouses. A perfect low-maintenance home in one of Arizona's top active adult communities.</t>
  </si>
  <si>
    <t>SaddleBrooke Unit Thirty-Six Lot 154 Cab C Sld 143 Sec 28, 33 &amp; 34 -10S-14E  7722</t>
  </si>
  <si>
    <t>Turnkey property with all furnishings included this well maintained Chaparral model is site on a generous lot with no homes behind.  With two bedrooms, 2 bathrooms, and a den you have plenty of room for hosting out of town guest.   The open concept floorplan is ideal for entertaining.  Don't wait come and see it today!</t>
  </si>
  <si>
    <t>Haven</t>
  </si>
  <si>
    <t>Lot 41 Saddlebrooke, Unit 36 Amended</t>
  </si>
  <si>
    <t>Elegantly Upgraded Naples Villa w/Private, Paved Extended Patio &amp; Light, New Engineered Wood Floors Thru-out.  Great Room Features Plantation Shutters, Updated Fan. w/ Sliders to Patio is Open to Kitchen  which Features Maple Cabinetry, Quartz Counters, SS Farmhouse Sink, Newer SS Appliances, Tile Backsplash &amp; Additional Storage.  Spacious Main Bedroom w/Plantation Shutters &amp; Fan, Opens to Updated Ensuite Bath.  Executive Height Granite Counter w/Dual Sinks, Plus Updated Custom, Tiled Walk-in Shower.  Den/Office also w/Plantation Shutters Boasts French Doors.  Guest Rm is Adjacent to Upgraded Guest Bath also with Exec. Height Granite Counters &amp; Newly Tiled Walk-in Shower. Interior is Newly Painted. Laundry Rm w/Whirlpool Washer &amp; Dryer.  Epoxy Coating on Driveway, Walkway &amp; 2 Car Garage.</t>
  </si>
  <si>
    <t>Riverwood</t>
  </si>
  <si>
    <t>Lot 24 SaddleBrooke Unit Thirty-Two ''A'' Sec 33-10S-14E  10189 Sq F T 0.23 Ac</t>
  </si>
  <si>
    <t>Luxurious updates shine throughout this cul-de-sac home on a deep and wide lot. New LVP flooring (Nov 2023) flows through the main areas, with cozy carpet in the primary bedroom. Enjoy gorgeous sunrise mountain views from the beautifully expanded, low-maintenance patio featuring an epoxy finish and built-in firepit. The updated kitchen offers rich wood cabinets, granite counters, and stainless appliances. French doors enclose the den, and plantation shutters add elegance throughout the home. The primary suite includes an updated tile shower, granite double vanity, and large walk-in closet. A 2.5-car garage provides golf cart space, workbench, and storage. HVAC approx. 1-2 years old.</t>
  </si>
  <si>
    <t>Casual</t>
  </si>
  <si>
    <t>SaddleBrooke Unit 35 A Amended Lot 28 Cabinet C Slide 057 34-10S- 14E 4167 Sq Ft 0.09 Ac</t>
  </si>
  <si>
    <t>This beautifully renovated Capri Villa offers 2 bedrooms and 2 bathrooms. The spacious gathering room is ideal for entertaining or spending cool SaddleBrooke evenings relaxing by the Kiva fireplace. The inviting dining area provides excellent views of the open space and golf course behind the Villa and connects seamlessly to a kitchen equipped with stainless appliances and ample counter and cabinet space. The primary suite features an upgraded en-suite bathroom with a double vanity, step-in shower, and walk-in closet. The second bedroom can also serve as a den or office and is conveniently located just steps away from the second bathroom. Enjoy comfortable outdoor living in the cozy Arizona room which leads out to an extended paver patio and unobstructed views.</t>
  </si>
  <si>
    <t>Moonwood</t>
  </si>
  <si>
    <t>Lot 94 Unit 32 HOA #2 SaddleBrooke</t>
  </si>
  <si>
    <t>Welcome Home! This move-in-ready Cheyenne with a desirable split floor plan is waiting for you to make it your own. Step onto the back patio and take in the peaceful surroundings?no rooftops in sight, just nature at its finest. Enjoy the sights and sounds of birds, deer, owls, and even an occasional bobcat, all from your own private retreat (see owner's pictures). The front patio offers mountain views, perfect for morning coffee or evening relaxation.    Inside, the spacious primary suite is a true haven, featuring two large walk-in closets, split vanities, and a soaking tub for ultimate comfort.     Updates include: roof underlayment replaced (2024), one HVAC unit replaced (2022), and a water heater (2020)?this home is truly move-in ready and stress-free. All that's missing is you!</t>
  </si>
  <si>
    <t>Tranquil</t>
  </si>
  <si>
    <t>Lot 106 Saddlebrooke Unit 35 Cab B Sld 141 Sec 34-10S-14E 4245.45 Sq Ft 0.10 Ac</t>
  </si>
  <si>
    <t>VIEWS!  Fully furnished, turnkey 2bd/2ba SaddleBrooke Villa updated &amp; ready for new owners! Split bedroom San Remo floorplan is beautifully tiled throughout w/great room, granite &amp; stainless clad kitchen, updated baths + views from primary &amp; great room. Enjoy the Catalinas from your private back patio (w/roll down shade). Spacious primary suite features dual closets &amp; granite counters while secondary bath a new walk-in shower.  Gorgeous kitchen has newer appliances &amp; cabinets are packed with everything you need. Just unpack your suitcases &amp; start living the life! Newer HVAC &amp; appliances + roof replaced in 2024.  Villas 2 HOA maintains roof (incl replacement), ext paint, blanket insurance policy, landscaping, irrigation, termite + pest control &amp; more! Move-in ready, carefree living awaits</t>
  </si>
  <si>
    <t>Lot 95 Saddlebrooke Unit Thirty-Two Cab C Sld 89 Sec 33-10S-14E 8 400 Sq Ft .19 Ac</t>
  </si>
  <si>
    <t>If privacy speaks to you, look no further. Surrounded by natural desert with elevation between neighbors, this home offers a serene backyard oasis framed by a gently positioned hillside and mature shade trees. Start your mornings in the front courtyard, watching the sun rise over the mountains?an ideal spot to enjoy your coffee and take in the peaceful surroundings. This desirable Durango model features thoughtfully updated finishes and design elements throughout. Enter through the elegant iron door to discover a contemporary fireplace, stylish lighting and fans, neutral tile flooring in the main living areas, and custom den built-ins along with many additional upgrades. The primary bedroom is conveniently located on the main level, while two spacious guest bedrooms and a full bath</t>
  </si>
  <si>
    <t>Serenity</t>
  </si>
  <si>
    <t>Saddlebrooke Unit 35 A Amended Lot 64 Cabinet C Slide 057 34-10S- 14E 4979 Sq Ft 0.11 Ac</t>
  </si>
  <si>
    <t>Welcome to this charming SaddleBrooke 2 Villa featuring the ever-popular Portofino model, designed for easy, comfortable living. This thoughtfully laid-out home offers two bedrooms, a separate laundry room conveniently located off the garage, and a security screen front door to enjoy fresh desert breezes.    Recent updates provide peace of mind, including new carpet installed November 2025, a new water heater, and a new garbage disposal?also completed in November 2025.    One of the greatest benefits of villa living is freedom. Villa fees cover roof maintenance, exterior maintenance, pest control, and landscaping, allowing you to truly relax and enjoy life without the worry of yard work or exterior upkeep.    This is your opportunity to embrace the active SaddleBrooke lifestyle.</t>
  </si>
  <si>
    <t>Flower Ridge</t>
  </si>
  <si>
    <t>SADDLEBROOKE UNIT 32, LOT 46</t>
  </si>
  <si>
    <t>HUGE PRICE REDUCTION! NEW INTERIOR PAINT. Discover luxury living in SaddleBrooke with this sought after Montana floorplan w/ two-bedroom plus den. The bright, open floor plan features spacious rooms for entertaining, a gorgeous kitchen with a large island, and a serene primary suite . Step outside to your private backyard oasis with a covered patio, tranquil fountain, and stunning mountain views. Located in a premier active adult community, this home offers elegant style, modern amenities, and spectacular outdoor living?your perfect retreat awaits!</t>
  </si>
  <si>
    <t>Stone Wood</t>
  </si>
  <si>
    <t>Lot 25 SaddleBrooke Unit 22 Sec 34-10S-14E Cab C Slide 38  9725.6 7 Sq Ft 0.22 Ac</t>
  </si>
  <si>
    <t>Live the SaddleBrooke lifestyle in this popular Laredo model with 2 Bedrooms + Den, perfectly located within walking distance of Mountain View Clubhouse and amenities. Bright and inviting, this home features an open great room, den and split bedroom floorplan. Enjoy brand-new kitchen appliances, new counters, an extra-large SS sink with cabinet pullouts, plus fresh interior paint and new bedroom carpet. Plantation shutters and ceiling fans add comfort throughout. Relax on the covered patio overlooking a private backyard with lush landscaping and numerous citrus trees. HVAC new in 2018 and garage refrigerator included.</t>
  </si>
  <si>
    <t>Rock Wood</t>
  </si>
  <si>
    <t>Lot 28 Saddlebrooke Unit 22 Sec 34-10S-14E Cab C Slide 38 8775.0 3 Sq Ft 0.20 Ac</t>
  </si>
  <si>
    <t>Expanded Laredo with Mountain Views! Roof underlayment &amp; irrigation system replaced in 2023. Extended 2-car garage with 2020 HVAC, 2025 W/H, sink, cabinets, &amp; epoxy floor. Welcoming front courtyard. Spacious great room features built-in entertainment wall &amp; slider to patio. Kitchen offers granite counters, black stainless appliances, cabinets with slide-outs, island, &amp; dining area. Owner's suite with bay window. En Suite Bathroom has walk-in shower, &amp; walk-in closet. Den/office with French doors. Guest bedroom with closet &amp; nearby guest bath. Laundry room with W/D, pantry, &amp; cabinets. Whole-house water filtration system. Luxury vinyl plank flooring in great room, den &amp; owner's suite.  Covered patio, built-in BBQ, water fountain, lovely landscaping, lemon tree, gated yard, &amp; mountain views!</t>
  </si>
  <si>
    <t>Flower Ridge Dr</t>
  </si>
  <si>
    <t>SADDLEBROOKE UNIT THIRTY-TWO LOT 06 CAB C SLD 89 SEC 33-10S-14E 9954 SQ FT .23 AC</t>
  </si>
  <si>
    <t>Welcome to this clean and well-maintained home, featuring a thoughtful split floor plan with two spacious bedrooms, a versatile den, and close proximity to community amenities. The heart of the home is a generously sized kitchen with a large island, stainless appliances, and a charming dining nook. The bright living room has a fireplace and wood flooring, while the owner's suite has peaceful views from the bay window, an ensuite bath with a walk-in shower &amp; dual vanity, and a large walk-in closet. The separate den offers wood  flooring and built-in shelving with a desk, making it an ideal space for a home office or study.  The attached two garage features built-in cabinets and a utility sink. Serene backyard with variety of citrus trees.</t>
  </si>
  <si>
    <t>Valley Crest</t>
  </si>
  <si>
    <t>Lot 41 Saddlebrooke Unit Thirty-Six</t>
  </si>
  <si>
    <t>Updated Santa Fe Dakota Located on Quiet Cul-de-sac street with Solar, Golf Course &amp; Mountain Views. Spacious Great Room with Dining Area/Flex Area. Kitchen has Granite Counters, Stainless Steel Appliances, Cabinets, Island, &amp; Desk. Family Room with Gas Fireplace &amp; Slider to Patio. Owner's Suite has Slider to Patio &amp; Ensuite with Dual Vanity, Custom Walk-in Shower &amp; 2 Closets. 2 Guest Bedrooms with Closets, 1 Bedroom has built-in Bookcase for Office/Den. Guest Bathroom near by. Laundry Room has W/D &amp; Cabinets. 2019 Exterior Painted &amp; 2023 Irrigation Replaced. Extended 2 Car Garage with 2022 HVAC, 2018 W/H, Utility Sink, Cabinets &amp; Epoxy Coating. Screened &amp; Covered Patio with extended Pergola with Hot Tub, Built-in BBQ, Kiva Fireplace,  Fruit Trees, Garden, Gated Yard &amp; Mountain Views</t>
  </si>
  <si>
    <t>Lot 44 SaddleBrooke Unit 36</t>
  </si>
  <si>
    <t>Durango Model with Panoramic Golf Course &amp; Mountain Views located on private cul-de-sac street. 2026 Minisplit with Air/Heat for Arizona Room/Studio with Large Windows &amp; Golf Course Views. Epoxy Driveway &amp; Walkway trimmed with Pavers to front door. Wrought Iron Custom Entry Door. Painted Interior 9/2025 &amp; Roof Underlayment Replaced 2022 ! Living Room &amp; Dining Area. Den/Office with French Doors for privacy. Kitchen offers Quartz Counters, White Appliances, Upgraded Maple Cabinets &amp; Kitchen Dining Area. Family Room has Slider to Arizona Room / Studio. Powder Room &amp; 1 Solar Tube. Owner's Suite has Bathroom with Walk-in Shower, Jet Tub, &amp; Walk-in Closet. Laundry Room with W/D, Sink &amp; Cabinets. Upstairs has 2 Bedrooms with Closets &amp; Bathroom. Extended 3 Car Garage with Cabinets &amp; Side Door.</t>
  </si>
  <si>
    <t>Lot 27 SaddleBrooke Unit Thirty-Six Cab C Sld 143 Sec 28, 33&amp;34-10S-14E 8886 Sq Ft .2 Ac</t>
  </si>
  <si>
    <t>Montana located on corner lot! Enjoy mountain views from front courtyard. Interior painted (2026), roof underlayment replaced (2022), irrigation system updated (2021), Renewal by Andersen windows thru-out, plus recently painted exterior &amp; WaterTec system. Custom entry gate opens to Great Room with see-through gas fireplace shared with family room &amp; patio slider. Kitchen features stainless steel appliances, island, pantry, &amp; cabinets with slide-outs &amp; kitchen nook. Owner's Suite has bay window. EnSuite with walk-in shower &amp; walk-in closet. Guest bedroom has closet &amp; nearby bath. Laundry room with W/D &amp; cabinets. 2 Car garage has 2022 W/H, sink, &amp; storage cabinets. Enjoy covered patio with extended patio, built-in BBQ, cactus fountain, fruit trees, Astroturf, lovely landscaping &amp; gated yard!</t>
  </si>
  <si>
    <t>Desert Bluff</t>
  </si>
  <si>
    <t>Saddlebrooke Unit 23 Lot 88 Cabinet B Slide 162 Sec 27-10S-14E 11 090 Sq Ft .25 Ac</t>
  </si>
  <si>
    <t>Stunning views in a tight knit community against the Catalinas? Welcome to the highly desirable SaddleBrooke! This beautiful two bedroom two bathroom home is in the heart of it all! Large, open formal and living rooms allow for lots of room for grandkids or friends to gather. Beautiful desert-scape front and back yards to enjoy the incredible AZ winters! Spacious master bedroom with backyard access! Cozy kitchen with eat in dining and formal dining. Plantation shutters add a bonus element of sophistication to the space. Carpet where it counts and tile everywhere else. With resort-style amenities including clubhouse, creative arts&amp; tech center, pools, dining, fitness, sports and social gathering facilities you are practically on vacation every day! We cannot WAIT to welcome you to the club</t>
  </si>
  <si>
    <t>Mountain Crest</t>
  </si>
  <si>
    <t>Lot 6, Unit 25, SaddleBrooke, Cabinet C Slide 27, Sec-34-10S-14E</t>
  </si>
  <si>
    <t>Breathtaking views of Catalina mountains overlooking the 9th Hole of the Mountainview Golf Course makes this Sundance model a must see!  This property offers unparalleled comfort, thoughtful upgrades, and a lifestyle that feels like a permanent vacation. The kitchen is a chef's dream updated with black stainless-steel appliances, including a Bosch dishwasher, GE Advantium oven, gas cooktop, Elkay Quartz Luxe kitchen sink, and natural granite countertops. A water filtration system ensures pristine hydration. The Casita, complete with a Murphy bed and full bath, is perfect for visitors or multi-generational living.  A Jack &amp; Jill bathroom adds functionality and privacy for additional bedrooms upstairs. Primary suite includes: Blackout blinds, walk out to patio, and serene views.</t>
  </si>
  <si>
    <t>Desert Peak</t>
  </si>
  <si>
    <t>Lt 46 Saddlebrooke Unit 30 Sec 34-10S-14E Cab C Slide 44 7800.00 Sq Ft 0.18 Ac</t>
  </si>
  <si>
    <t>Welcome to this popular Montana model with 2 bedrooms, 2 baths plus a den backing to open space &amp; boasting lots of privacy. A brick walkway &amp; front patio invite you into this move-in ready home. The expansive living room provides views of the backyard and the desert beyond. The dining room is perfect for hosting gatherings and flows seamlessly into the spacious island kitchen, which features ample cabinetry, counter space, a large pantry, &amp; a cozy breakfast nook. The owner's retreat features a bay window &amp; an en-suite bathroom w double vanity, a shower, &amp; a spacious walk-in closet. The guest room &amp; bath, as well as a convenient den, complete this home. The fully covered patio leads to a spacious and private yard that backs onto the desert, making it ideal for hosting gatherings.</t>
  </si>
  <si>
    <t>Canyon Shadows</t>
  </si>
  <si>
    <t>SaddleBrooke Unit Three Phase 4: Lt 9 Sec 26-10S-14E 7,363 Sq Ft</t>
  </si>
  <si>
    <t>Enjoy breathtaking mountain views as you enter this renovated Borgata model, where the scenery immediately captures your attention. The inviting gathering room features a custom gas fireplace, ideal for hosting guests or relaxing during cool SaddleBrooke nights. The spacious dining area flows into the heart of the home, where a wall of windows in the family room and breakfast nook highlights the stunning vistas and connect seamlessly with the modern kitchen. This kitchen provides plenty of white cabinetry, stainless steel appliances, granite countertops, and a wet bar.</t>
  </si>
  <si>
    <t>Iron Crest</t>
  </si>
  <si>
    <t>Saddlebrook Unit 29 Lot 68 cab c sid 81 sec 28-10s-14e 8484 sq ft .19 ac</t>
  </si>
  <si>
    <t>Welcome to the distinguished Durango model in SaddleBrooke Two, a community repeatedly honored as ''Best Retirement Community.'' This exceptional residence is perfectly sited on an elevated lot, providing sweeping, unobstructed views of the Catalina Mountains and the adjacent golf course. . Inside the home features three bedrooms 2.5 baths plus a den/ office, All primary living on the first floor! the heart of the home is the eat-in kitchen, beautifully appointed and ideal for casual dining. A brand-new roof brings peace of mind &amp; durability. The attached three-car garage accommodates multiple vehicles and includes extra space for storage or workshop use. This home is designed to capture and celebrate its surroundings: Picture perfect views from your back yard covered patio too!</t>
  </si>
  <si>
    <t>Saddlebrooke Unit 25 Lot 83 Cabinet C Slide 27 Sec 34-10S-14E 822 0Sq Ft 0.19 Ac</t>
  </si>
  <si>
    <t>Located in the highly desirable active adult community of SaddleBrooke, this spacious 2,298 sq ft home sits on a fabulous view lot and offers exceptional indoor-outdoor living. The open-concept floor plan welcomes you with lovely living and family rooms, perfect for relaxing or entertaining, all designed to take advantage of the stunning views. The home flows seamlessly into a very large kitchen featuring abundant cabinetry and expansive countertops ? truly a chef's dream. The generous owner's suite offers beautiful views, private patio access, and a well-appointed ensuite bath with double vanities, walk-in shower, and walk-in closet. A split floor plan ensures privacy for guests, while the additional den provides a flexible space for work or hobbies.</t>
  </si>
  <si>
    <t>Canyon</t>
  </si>
  <si>
    <t>Saddlebrooke Unit Five: Lt 3 Sec 26-10S-14E 7245 Sq Ft Cab B Sld 38</t>
  </si>
  <si>
    <t>NEW PRICE!! Spectacular Saddlebrooke Home! MOVE-IN READY! READY TO GO! Stunning Mountain and Golf Course Views! Sparkling Pool/Spa, Extended Flagstone Patio and OWNED Solar!!  Impressive Interior with Beautiful Saltillo Tile throughout, all the Extras and Sweeping Mountain Views across the back of the home.  Relaxing Family Room and Living Room, both with fireplace. Spacious Cook's Kitchen with lots of cabinets and granite counters! SS Appliances and Induction Cooktop. Primary Suite is owner's oasis with back patio access, VIEWS, Jetted Tub, Walk-In Shower and LARGE Walk-In Closet! Great Office/Den Space with all the Built-Ins! 2.5 Car Garage with space for Golf Cart(s)! Epoxy Flooring and Work Bench! Plus Enjoy Saddlebrooke Resort Style Living; Golf, Pools, Fitness Center, Dining and More</t>
  </si>
  <si>
    <t>Sld 143 Saddlebrooke Unit Thirty-Six Lot 11 Cab C Sec 28,33 &amp; 34 -10S-14E 8816 Sq Ft .2 Ac</t>
  </si>
  <si>
    <t>Beautiful energy-efficient 2-bed, 2-bath home is the one you've been waiting for! Providing owned solar, covering most of the electric bill. Interior features vaulted ceilings, Travertine tile flooring and throughout the bathrooms, fresh neutral paint. Spacious open floor plan, filled w/natural light, creates an airy ambiance &amp; effortless flow. Upscale kitchen displays recessed lighting, oak cabinets with custom slide outs, upgraded SS appliances, tile backsplash, granite counters, an island, &amp; a cozy dining area w/a bay window. Large main retreat offers double door entry, an ensuite w/two vanities, soaking tub, &amp; a walk-in closet. Make the open den a formal dining room or office. Enjoy privacy and wildlife from the full-length covered patio. Full yard is on auto drip system and lighting.</t>
  </si>
  <si>
    <t>Saddlebrooke Unit 29 Lot 63</t>
  </si>
  <si>
    <t>Versatile Laredo Floor plan featuring 2 bedrooms, 2 baths &amp; an office  or 3rd bedroom. Virtually every surface was redone in 2023/2024. New cabinets, new LVP flooring, new bathrooms, and freshly painted. Light , bright, and airy throughout the entire home. The beveled glass inserts in the front door are just a glimpse of quality that awaits inside. Dining area features built in serving area with 2 built in wine coolers. Adjacent kitchen features quartz waterfall breakfast bar, center island, new stainless steel appliances and a kitchen nook with its expansive mountain views making it a great place to enjoy your morning coffee.The primary suite features dual vanities, a large walk in closet, and a new doorwall which you can use to exit to the rear patio or the viewing perch.</t>
  </si>
  <si>
    <t>Skyblue</t>
  </si>
  <si>
    <t>Saddlebrooke Unit 9: Lot 121 Sec 26-10S-14E 0.23 Ac</t>
  </si>
  <si>
    <t>Charming 2 Bedroom/2 Bath enlarged Diego floor plan in the highly desirable community of Saddlebrooke One. Situated on a corner lot, this home enjoys wonderful privacy and great mountain views. The open kitchen with vaulted ceilings features newer cabinets, granite countertops and stainless steel appliances and is truly the heart of the home opening directly to the great room - ideal for entertaining family and/or guests. Great room, kitchen, and the office/den all feature 20 inch ceramic tile flooring. New carpet installed in both bedrooms. Primary suite features tiled walk in shower, double vanity, granite countertops and 2 closets. The large backyard features a flagstone covered patio - a great place to enjoy the outdoors after the days activiites are complete. With resort-style</t>
  </si>
  <si>
    <t>Desert Mesa</t>
  </si>
  <si>
    <t>Saddlebrooke Unit 23 Lot 116 Cabinet B Slide 162 Sec 27-10S-14E 8 760 Sq Ft .20 Ac</t>
  </si>
  <si>
    <t>Durango located on Quiet Cul-de-Sac Lot &amp; Mountain Views. Exterior Freshly Painted 7/2025 &amp; Interior Painted 10/2025. Leaded Glass Double Door Entry. Living Room has Gas Fireplace &amp; Dining Area. Kitchen has Corian Counters, Stainless Appliances, Cabinets with Slide Outs, Island, Desk &amp; Kitchen Dining Area. Family Room with Slider to Patio. Powder Room. Owner's Suite has Slider to Patio. Owner's Bathroom offers Walk-in Shower, Soak Tub, Dual Vanity &amp; Walk-in Closet. 2 Bedrooms with Closets perfect for flex rooms on 1st floor. Upstairs has 2 Bedrooms with Closets &amp; Guest Bathroom nearby. Laundry Room with W/D, Sink &amp; Cabinets. 3 Car Garage has 2024 W/H, newer HVAC's &amp; Cabinets. Enjoy the Covered Flagstone Patio with Built-in BBQ Station, Gas Firepit with Seating, &amp; Mountain Views!</t>
  </si>
  <si>
    <t>Lot 13 Saddlebrooke Unit Thirty-Six Cab C Sld 143 Sec 28,33, &amp; 34- 10S-14E 7471 Sq Ft .17Ac</t>
  </si>
  <si>
    <t>Lovely Laredo with Nature &amp; No Homes Behind! Great Curb Appeal! Wrought Iron Entry Door. Freshly Painted Interior 10/2025 &amp; Roof Underlayment Replaced 2024. Great Room has Media Wall with Gas Fireplace &amp; Slider to Patio. Kitchen offers Corian Countertops, Birch Cabinets with slide-outs, Double Door Pantry, Island &amp; Dining Area. Owner's Suite has Bay Window. Updated Owner's Bathroom has Granite Counter, Executive Height Cabinet, Walk-in Shower &amp; Walk-in Closet. Den/Office. Guest Bedroom with Closet has Bathroom nearby. Plantation Shutter's &amp; Blinds. Laundry Room has W/D &amp; extra Cabinets. Extended 2.5 Car Garage has 2019 HVAC, 2019 W/H, Utility Sink, Kinetico Water System, Cabinets &amp; 2 Hanging Racks. Screen Covered Patio &amp; Paver Path to Pergola Patio to enjoy nature behind. Welcome Home!</t>
  </si>
  <si>
    <t>Saddlebrooke Unit Four: Lot 53 Sec 26-10S-14E 11,585 Sq Ft Cab B Sld 29</t>
  </si>
  <si>
    <t>Stunning remodeled Galleria with mountain views. Enter the front door into a bright, light filled living room and formal dining with brand new LVP flooring throughout. A dream gourmet kitchen with new two tone cabinets, large island, quartz countertops, stainless steel appliances, tons of storage, a huge pantry and family room with gas fireplace. The large primary suite includes a sitting area, two walk-in closets, remodeled bath with gorgeous walk in shower, soaking tub and dual vanity. Also includes nice office plus powder bath.  Laundry room with storage and utility sink leads to 3 car garage. 2 bed/1 bath upstairs ''casita'' perfect for guests.  New interior/exterior paint.</t>
  </si>
  <si>
    <t>Saddlebrook Unit 29 Lot 60 Cab C Sld 81 Sec 28-10S-14E 10836 Sq F T .25 Ac</t>
  </si>
  <si>
    <t>Charming Laredo plan resides on a spacious lot offering front Catalina views. New Roof Underlayment (2024), Windows (2019), HVAC/Water Heater (2015). Epoxy drive/walkway flows to Courtyard with Stone Cactus Water Feature. Enter to find an open concept plan with soaring vaulted ceilings, rear patio slider, plantation shutters and solar tubes. Kitchen hosts Granite counters, Stainless appliances, Island &amp; Dining Nook. Primary suite offers Granite dual sink vanity, custom walk-in shower &amp; closet. Built-in workstation in Den with Views. Guest Room with Views accesses hall bath. Laundry Room with cabinets and Extended 2-Car Garage with Utility Sink/Cabinets. Rear covered patio has Pergolas at each end for added shade. Pristine Landscape with 2 Orange Trees. SaddleBrooke Active Adult Community.</t>
  </si>
  <si>
    <t>Apache View</t>
  </si>
  <si>
    <t>Saddlebrooke Unit Three Phase 1: Lt 87 Sec 26-10S-14E 8,600 Sq Ft Cab B Sld 15</t>
  </si>
  <si>
    <t>Beautifully Updated Coronado with Mountain Views! Epoxy Coated Driveway &amp; Paver Walkway to Custom Entry Door. Living/Dining Room has Built-in Accent Wall with Electric Fireplace &amp; Slider to Patio. Kitchen has Black Appliances, Gas Cooktop, Island with Prep Sink, Pantry &amp; Desk. Family Room has Gas Fireplace &amp; Slider to Patio. Owner's Suite has Slider to Patio &amp; Electric Security Screen on Window. Owner's Bathroom with Quartz Counter, Walk-in Shower &amp; Closet. Guest Bedroom with Closet. Guest Bathroom with Walk-in Shower. Laundry Room with W/D, Sink, &amp; Cabinets. 2025 Roof Underlayment Replaced &amp; 2019 Irrigation System. Extended 2.5 Car Garage with 2021 HVAC's, 2025 W/H, &amp; Epoxy Coated Floor. Covered Patio has BBQ Station &amp; 4 Electric Rolling Shades. Extended Patio, Fruit Trees &amp; Gated Yard!</t>
  </si>
  <si>
    <t>Solarwind</t>
  </si>
  <si>
    <t>Saddlebrooke Unit 9: Lot 124 Sec 26-10S-14E 0.48 Ac</t>
  </si>
  <si>
    <t>Experience breathtaking Catalina Mountain views from this unique SaddleBrooke retreat! Nestled on a peaceful cul-de-sac, this inviting home features a bright open layout, 2 Bedrooms, plus office, spacious great room, and large windows framing panoramic vistas. Enjoy outdoor living on the covered patio surrounded by lush desert landscaping. While the home awaits your personal touch,  its setting, views, and location within the highly sought-after SaddleBrooke active-adult community make it an outstanding opportunity.</t>
  </si>
  <si>
    <t>SADDLEBROOK UNIT 29 LOT 42 CAB C SLD 81 SEC 28-10S-14E 7768 SQ FT .18 AC</t>
  </si>
  <si>
    <t>The Arizona lifestyle awaits at this well cared for home in Saddlebrooke. Sitting on a North facing lot that backs up to open space, there is excellent privacy and lovely desert flora &amp; critters to enjoy. This functional layout (the Dakota) includes a 3-car garage and 2,428 sq ft of living space with 3 bedrooms, 2 bathrooms and 2 living spaces. Vaulted ceilings are found throughout (an upgrade at the point of construction), providing a light, airy quality, as well as large windows providing visual pathways to the greenery outside. Recently, the kitchen appliances have been updated, as well as the HVAC system.</t>
  </si>
  <si>
    <t>Round Robin</t>
  </si>
  <si>
    <t>SaddleBrooke Unit Three Phase 1; Lt 36</t>
  </si>
  <si>
    <t>Charming 2BR/2BA with ~300 sq. ft. enclosed Arizona room (not included in SF) featuring portable AC and heating?perfect as an entertainment space, home office, cozy den, or extra guest room. Backyard oasis offers quiet serenity, with a low-maintenance cascading waterfall flowing into a pond, creating a peaceful retreat despite backing a less-traveled through street. Kitchen shines with abundant tongue-and-groove cabinetry, multiple pullouts, and a breakfast nook with Catalina views. Recent upgrades include HVAC (2025), water heater (2023), and garage door opener (2024) (ask your agent for the list of additional improvements). Lovingly maintained with improvements galore?move-in ready for your Arizona lifestyle!</t>
  </si>
  <si>
    <t>Golf Course</t>
  </si>
  <si>
    <t>SaddleBrooke Unit 9 Lot 21</t>
  </si>
  <si>
    <t>Views! Gorgeous and completely renovated.  Fantastic mountain and golf course views. Oversized lot can accommodate a golf cart garage or casita. Enjoy the gourmet kitchen with a dual 8 burner range with a pot filler. No interior steps, no main floor to shower step transitions.  Open bright floor plan with high ceilings are great for entertaining. Enjoy the captivating impeccable location of Saddlebrooke, highly coveted 55+ community. Must see! Seller is a licensed AZ Realtor.</t>
  </si>
  <si>
    <t>Saddlebrook Unit 29 Lot 39 Cab C Sld 81 Sec 28-10S-14E 7773 Sq F T .18 Ac</t>
  </si>
  <si>
    <t>Spacious Cheyenne model situated on a very private lot with open desert behind, creating an ideal setting for outdoor living. This popular floorplan offers 3 bedrooms plus a den and 3 bathrooms, including a conveniently located powder room for guests. The chef's kitchen features a large island, double ovens, wet bar, and opens seamlessly to the family room with a cozy fireplace. The den showcases extensive built-in shelving for art, books, and memorabilia, providing a quiet retreat for a home office or hobbies. A bright and airy front living room with high ceilings and large windows offers additional space for entertaining or games. The 3-bay garage provides ample room for a golf cart, storage, or a hobby area. Pride of ownership shines throughout this well-maintained home?come see it!</t>
  </si>
  <si>
    <t>SADDLEBROOKE ONE UNIT 3, LOT 41</t>
  </si>
  <si>
    <t>Completely updated Paloma floorplan! This 2-bed + den, 2.5-bath beauty offers soaring ceilings, big picture windows, and an open living area with wet bar. NEW interior/exterior paint, tile flooring, appliances, HVAC, water heater, countertops, fixtures &amp; more?just move right in! Split en-suite bedrooms provide privacy. Enjoy views from the expansive covered patio and frontyard. Access to BOTH HOA 1 &amp; 2 amenities: golf, tennis, pickleball, pools, clubhouses &amp; more. The BEST home around?showing like new!</t>
  </si>
  <si>
    <t>Canada Del Oro</t>
  </si>
  <si>
    <t>Saddlebrooke Unit 9: Lot 65 Sec 26-10S-14E 0.24 Ac</t>
  </si>
  <si>
    <t>Step into a welcoming courtyard that leads you into this Shalimar model featuring 2 bedrooms and 2 bathrooms. The inviting great room, illuminated by generous windows, flows seamlessly into the center of the home, where large sliding glass doors provide views of both the private side and backyards. An open-concept kitchen serves as the hub, offering plenty of cabinetry and counterspace, along with a roomy nook and family area suited for all your activities. The primary suite boasts LVP flooring and convenient access to the Arizona room and yard. Its en-suite bathroom features a walk-in tiled shower, executive height double vanity and a generous closet. A comfortable guest room and full bath plus a laundry room round out the interior. If you love entertaining or just want to embrace the</t>
  </si>
  <si>
    <t>Arroyo</t>
  </si>
  <si>
    <t>Saddlebrooke Unit 21 Lot 060 Sec 25-10S-14E 10800 Sq Ft 0.25 Ac</t>
  </si>
  <si>
    <t>Stylish Montana model blends comfort &amp; charm in Saddlebrooke's scenic enclave. Spacious 3BR/2BA + den features vaulted ceilings, quartz counters, stainless appliances &amp; large picturesque windows in great room. Kitchen boasts beautiful cabinetry, backsplash ('23); island &amp; breakfast nook &amp; new Maytag dishwasher ('23) ?ideal for entertaining. Primary suite offers dual vanities, walk-in closet &amp; updated fixtures. Backyard backs to mountainy desert area &amp; has a long covered patio, new fence with 3 gates ('23), low-care landscaping &amp; paver walkways. New roof w/ 50-yr underlayment ('25). Owner carryback available?don't miss this move-in ready gem! Now Get to know the SaddleBrooke Lifestyle: Welcome to SaddleBrooke One an established, beautifully maintained neighborhood nestled in the</t>
  </si>
  <si>
    <t>Stone Ridge</t>
  </si>
  <si>
    <t>SaddleBrooke Unit 10A: Lot 17 Por Sec 26-10S-14E  13092 Sq Ft Cab B Sld 95</t>
  </si>
  <si>
    <t>Fabulous retreat in SaddleBrooke One - a unique entertainer's paradise! With 3,578 SF (per prior appraisal), this home offers 2 bedrooms plus an office, 2 full and 2 half baths. The chef's kitchen impresses with Sub-Zero fridge, Wolf cooktop and wall ovens, pot filler, warming drawer, ice maker, wine fridge, and large granite island with prep sink. Entertaining spaces abound?wet bar off the kitchen and family room, recreation room with fireplace, pool table, bar, and Arizona room access. The backyard is spectacular with mountain views, heated salt pool and spa, outdoor kitchen, fireplace, and citrus trees. The luxurious primary suite features its own fireplace, reading area, and spa-like steam shower. Living room &amp; library greet you at front of house. Owned solar for home and pool!</t>
  </si>
  <si>
    <t>Saddlebrooke Unit 9: Lot 68 Sec 26-10S-14E 0.20 Ac</t>
  </si>
  <si>
    <t>This rare Pinnacle model offers an excellent option for full-time or seasonal living, situated on a premium lot within SaddleBrooke HOA #1 and providing clear mountain views from the front of the home. The inviting living room flows seamlessly into the dining area, creating a well-suited space for entertaining. The updated kitchen plus large laundry room featuring ample storage, provides functionality and convenience. A bright den or family room connects to the backyard and patio, enhancing both comfort and access to outdoor spaces. The owner's suite includes a walk-in closet, en-suite bathroom with dual vanity, and a spacious shower. Additionally, there is a guest bedroom and bath for visitors.</t>
  </si>
  <si>
    <t>Samaniego Dr</t>
  </si>
  <si>
    <t>SADDLEBROOKE UNIT 3 PHASE TWO: LT 115 SEC 26-10S-14E 10,500 SQ FT CAB B SLD 18</t>
  </si>
  <si>
    <t>Enveloped in serenity, this beautifully updated Hermosa design in the well-regarded active adult community of SaddleBrooke offers a tranquil desert retreat with breathtaking mountain views and ultimate privacy. Freshly painted and updated, this move-in-ready home is designed for both relaxation and effortless entertaining. A secluded side yard is a true private oasis, featuring a sparkling pool and spa, lush mature landscaping with graceful palm and pine trees, and an expansive terrace ideal for soaking in the stunning mountain backdrop. The recently relandscaped rear yard showcases beautiful desert plantings and multiple serene lounging areas, perfect for enjoying Arizona's spectacular sunsets.</t>
  </si>
  <si>
    <t>Saddlebrooke Unit 23 Lot 134 Cabinet B Slide 162 Sec 27-10S-14E 8 520 Sq Ft .20 Ac</t>
  </si>
  <si>
    <t>Beautifully appointed Madera with gorgeous views, private backyard,lots of natural light.2 car + golf cart garage.   Luxurious kitchen features upgraded cabinetry, granite countertops, SS appliances. Granite and cabinetry continue through adjacent nook and washroom. Grand living area is bright and open with vaulted ceilings. 2nd BR w/ Mt. views and separate bath w/ full-size shower and quartz countertops. Office/flex space includes queen size Murphy bed. Owner's Suite full of natural light and has slider access to the expansive and secluded back patio where you'll enjoy views of the Catalina mountains, mature landscaping and space for outdoor living. Remote-control patio shades keep you cool in summer. Sweeping mountain views from front patio constructed 2022.  Convenient to HOA1 and HOA2</t>
  </si>
  <si>
    <t>Eagle</t>
  </si>
  <si>
    <t>Saddlebrooke Unit Five: Lt 76 Sec 26-10S-14E 10,041 Sq Ft Cab B S Ld 38</t>
  </si>
  <si>
    <t>One-of-a-Kind Oasis Home in SaddleBrooke! Rio Grande with Casita on elevated corner lot offering panoramic mountain views. Gated entry opens to flagstone courtyard. Great room features beehive fireplace &amp; dining area with expansive windows framing the scenery. Kitchen with black appliances, mountain-view sink, &amp; dining nook. Powder room. Owner's suite includes Arizona room &amp; private bath with dual vanity, soaking tub, walk-in shower, &amp; walk-in closet. Guest bedroom with closet &amp; built-in cabinetry; guest bath nearby. Laundry room with W/D, &amp; cabinets. Casita has glass French doors, closet, &amp; private bath. 2018 HVAC &amp; 2025 W/H. Two car garage. Backyard highlights flagstone patio, pergola, fireplace with built-in seating, mature fruit trees, &amp; serene, private gated yard with mountain views!</t>
  </si>
  <si>
    <t>Terrace Wind</t>
  </si>
  <si>
    <t>Saddlebrooke Unit 31 Lot 64 Cab D Sld 9 Sec 28-10S-14E 8678 .32 Sq Ft 0.2 Ac</t>
  </si>
  <si>
    <t>SPECTACULAR DESERT LIVING at this stunning, well cared for and highly updated Durango plan in SaddleBrooke's 55+ Active Adult Community. Boasting panoramic golf course and mountain views, you'll enjoy 3,157 sq ft of formal &amp; informal living space. Elegant Owner's suite, office/2nd bedroom and full hall bath on main level plus two additional guest rooms and full bath on upper level. Plantation shutters and granite countertops throughout plus woodgrain ceramic plank tile with plush carpet interspersed. Entertain in the formal living space off foyer or relax in the open concept gathering room at rear of home highlighted by wall-to-wall entertainment center, ceiling speakers, 8' wide patio slider and Pella view windows with built-in blinds. Gourmet kitchen hosts large, curved island with bar</t>
  </si>
  <si>
    <t>Saddlebrooke Unit 31 Lot 60 Cab D Sld 9 Sec 27-10S-14E 7800 Sq Ft 0.18 Ac</t>
  </si>
  <si>
    <t>Absolutely stunning Sundance Model situated on an elevated $250k Premium Lot overlooking the Golf Course with Panoramic Mountain Views. This exquisite desert retreat offers 3 bedrooms, 2.5 baths, den/office, formal living/dining plus open concept Great room affording ample space to relax or entertain. Commanding front entry flows to a grand foyer with winding wood banister staircase. Luxurious Primary Suite with spa worthy bath resides on main level with 2 upper level guest rooms hosting Jack N Jill baths. Thoughtful upgrades and amenities including Energy Star Construction, customized patio and view windows, gourmet island kitchen with Quartz countertops, Stainless appliances and upgraded Hickory cabinets, built-in media center with pivoting TV and surround plus wired sound throughout,</t>
  </si>
  <si>
    <t>Rolling Hills</t>
  </si>
  <si>
    <t>SaddleBrooke Unit Four: Lot 16 Sec 26-10S-14E  7,602 Sq Ft Cab B S Ld 29</t>
  </si>
  <si>
    <t>Tranquil, elevated golf course lot offers beautiful views and exceptional privacy. This popular Sonora model features an open-concept floorplan with high ceilings and large windows that fill the home with natural light. A casita added in 2019 expands the home to 3 bedrooms and 3 bathrooms, providing flexible space for guests, a craft room, or a private office. Indoor-outdoor living is seamless with doorwalls from both the great room and primary bedroom. Mohawk LVP flooring throughout adds warmth and easy care, while subtle Southwest details bring character without overwhelming. Recent updates include roof underlayment replaced in 2022, exterior paint in 2022, and a brand-new garage door. Located in SaddleBrooke's resort-style 55+ community, turnkey available with furnishings on a BOS.</t>
  </si>
  <si>
    <t>Saddlebrooke Unit 10A: Lot 10 Por Sec 26-10S-14E 8518 Sq Ft Cab B Sld 95</t>
  </si>
  <si>
    <t>Phenomenal Mountain and elevated golf course views define this Estacia model, overlooking 3rd fairway of the Tucson course. This 2BR, 2BA plus den home offers generous storage throughout, with a spacious owners suite showcasing stunning scenery. Dramatic vaulted ceilings soaring up to 20 feet -a bright open feel. Enjoy newer luxury laminate in most rooms. A breathtaking 8 x 8 foot custom picture window in the great room perfectly frames the expansive mountain vistas, visible from nearly every room. Located in a quiet, highly desirable neighborhood the home captures sunrise and sunset views. Backyard is designed for relaxation, and entertaining featuring extensive hardscape, abundant shade, built in barbecue, and designer fountain creating a true resort style atmospher. Priced to sel</t>
  </si>
  <si>
    <t>Birdie</t>
  </si>
  <si>
    <t>SaddleBrooke Unit Five: Lt 74 Sec 26-10S-14E  7942 Sq Ft Cab B Sld 38</t>
  </si>
  <si>
    <t>Catalina Mountain views from front patio of this Diego floor plan in SaddleBrooke. HVAC (2025), roof underlayment (2022), updated bathrooms w/granite (2025), front patio &amp; landscaping (2025), &amp; exterior paint (2025). 2 bed, 2 bath plus den/office. Beautifully updated kitchen - granite counters, a counter-height breakfast bar with stools, opens to family room. The living room &amp; front patio offer beautiful views. Primary suite features luxury vinyl flooring, dual vanities, two closets, &amp; generous bedroom space. Guest room includes large walk-in closet &amp; cozy carpet. Step out back to cozy, private backyard w/full-length covered patio, extended paver patio, citrus &amp; elevated planter w/lush bougainvillea. Lovingly maintained. Move in and enjoy!</t>
  </si>
  <si>
    <t>Star Crest</t>
  </si>
  <si>
    <t>Saddlebrook Unit 29 Lot 23 Cab C Sld 81 Sec 28-10S-14E 9600 Sq F T .22 Ac</t>
  </si>
  <si>
    <t>Popular 2BD/2BA+Den (1,824 sf) Laredo plan is situated on a corner lot capturing panoramic mountain views from inside &amp; out. Newer HVAC (2023) and water heater (2017). Open concept plan for modern living showcases vaulted ceilings, walls of windows, new quartz countertops and fixtures in kitchen &amp; baths, plus ceramic tile with carpeted guest room. Sleek chef's kitchen offers outer breakfast bar, center island, breakfast nook w/ views, plus new SS appliances and countertops w/ decorative backsplash. Owner's Suite hosts dual sink vanity, tiled walk-in shower and walk-in closet. Split guest room accesses hall bath. Den with double door entry offers striking Catalina views. Laundry room w/ storage, new ceiling fans, lighting fixtures &amp; window coverings throughout. Extended garage houses</t>
  </si>
  <si>
    <t>Saddlebrooke HOA 1, Unit 5, Lot 79</t>
  </si>
  <si>
    <t>Embrace authentic Southwest charm in this inviting SaddleBrooke retreat. Rich Saltillo tile floors and custom Southwestern bathroom, kitchen and living room designs create an unmistakable sense of place, while the warm kiva fireplace anchors the living area. A new cooktop and large picture windows enhance the home's comfort and style. Outside, enjoy tranquil views, covered patio, paver pathways, and a cozy firepit?perfect for desert evenings. Located in a sought-after SaddleBrooke community with amenities galore, this home is an ideal full-time haven or the perfect annual escape. Located in a sought-after community with amenities galore, this home is an ideal full-time haven or the perfect annual escape</t>
  </si>
  <si>
    <t>SADDLEBROOKE UNIT 9: LT 3 SEC 26-10S-14E .17 AC</t>
  </si>
  <si>
    <t>Located in the highly sought-after HOA 1, Unit 9, this beautifully renovated large Topaz model sits on an elevated lot just above the Catalina Golf Course, offering breathtaking panoramic views. The redesigned floor plan showcases modern upgrades throughout, including new interior and exterior paint, all-new concrete flooring, and a chef's kitchen with custom cabinets featuring pullouts, a pot filler, and brand-new stainless steel kitchen appliances. Additional highlights include a washer and dryer, 3.5 fully renovated bathrooms, a newly added optional office/bedroom, a newer HVAC system, a new roof installed in 2025, 2x6 outer wall construction, and added attic insulation. A split floor plan for added privacy and a serene waterfall feature outback complete this truly move-in-ready gem.</t>
  </si>
  <si>
    <t>Saddlebrooke Unit 23 Lot 140 Cabinet B Slide 162 Sec 27-10S-14E 9 504 Sq Ft .22 Ac</t>
  </si>
  <si>
    <t>Huge potential and amazing opportunity for someone to come in and put their own personal touches on this original owner Cambria.  New carpet and paint would do wonders.  Floorplan features 2 bed + den, 2 ½ baths with spacious kitchen, huge peninsula and open family room. Enclosed flagstone patio for year round enjoyment.   Stunning views from the front flagstone patio and peaceful serene backyard borders open space with natural desert. 2.5 car garage allows for plenty of space and designated golf cart parking.  Condition is reflected in the price but a little elbow grease and this house will shine.  Run comps...you'll see it's a bargain. Home sold as-is.</t>
  </si>
  <si>
    <t>Elbow Bend</t>
  </si>
  <si>
    <t>Saddlebrooke Unit Five: Lt 129 Sec 26-10S-14E 7095 Sq Ft Cab B Sl D 38</t>
  </si>
  <si>
    <t>This desirable Diego model home has a series of thoughtful updates to enhance comfort and style. This well-maintained home features 2 bedrooms, 2 bathrooms, a spacious great room, a separate living room, and a dining area conveniently located off the kitchen.The kitchen was beautifully updated with granite countertops, a new stainless-steel oven and stove, refrigerator, microwave, dishwasher, and a sleek Delta faucet sink. New tile and carpet were installed throughout the home, at the time of purchase.  Home is a turn key rental, also. All furniture, Coffee Maker, Toaster, China, Silverware, Bedding, Sheets, Towels Etc. Will be included in any accepted offer.</t>
  </si>
  <si>
    <t>Saddlebrooke Unit Five: Lt 38 Sec 26-10S-14E 7245 Sq Ft Cab B Sld 38</t>
  </si>
  <si>
    <t>This gorgeous Shawnee model sits on the golf course with wonderful mountain views.  This 2 bed/2 bath home feels light, bright and is move-in ready. Follow the upgraded brick paver walkway through a welcoming grand arched entrance continuing to the double door entry. Updated kitchen features views of golf course with newer cabinets and stainless-steel appliances. Primary Suite is extended and features updated bath with dual vanity, tiled shower, tons of countertop space &amp; slider with direct access to the backyard. Additional upgrades include HVAC (3 years old), newer water heater, new irrigation, new architectural pop-outs, perimeter wall stuccoed and painted, exterior recently painted, and newer carpet (2 years old). Relax in your north facing backyard with extended covered patio plus</t>
  </si>
  <si>
    <t>SaddleBrooke Unit 21 Lot 100 Sec 25-10S-14E  43785 Sq Ft 1.01 Ac</t>
  </si>
  <si>
    <t>A private courtyard welcomes you to this sought-after Cimarron model, styled with southwest accents. The home includes three bedrooms?one being a secluded guest Casita?three bathrooms, and a beautifully designed den equipped with built-ins and a wall bed. An expansive great room opens to inviting outdoor living and entertaining areas. The island kitchen features elegant dark wood cabinetry, providing ample storage and workspace. The spacious primary suite boasts an en-suite bathroom with double vanities, a large tiled shower, and a roomy walk-in closet. This exceptional residence includes a main house guest bedroom and bathroom, a two-car garage, and an additional third-car garage with storage space. The extended flagstone patio featuring a kiva fireplace offers privacy and</t>
  </si>
  <si>
    <t>Silverwood</t>
  </si>
  <si>
    <t>Lot 149 Saddlebrooke Unit 1 Cab A Sld 186 Sec 26 &amp; 27-10S-14E 11, 500 Sq Ft</t>
  </si>
  <si>
    <t>Seller Highly Motivated! Turnkey Ventana model with 1,878 sq ft, 2 bedrooms, 2 baths on a desirable corner lot with mountain views. Recently added Arizona Room enhances living space and natural light. Updated kitchen features granite countertops, breakfast bar, and breakfast nook. Tile and LVP flooring throughout, soaring ceilings, skylights, and plantation shutters add style and brightness. Guest room includes a Murphy bed. Primary suite offers patio access with remote screens. Spacious 2.5-car garage with golf cart space and cedar closet. Citrus trees include grapefruit and pomegranate. Roof underlayment replaced in 2024, HVAC 2019, Kinetica water softener system, and updated irrigation system.</t>
  </si>
  <si>
    <t>Granite Crest</t>
  </si>
  <si>
    <t>Saddlebrook Unit 29 Lot 19 Cab C Sld 81 Sec 28-10S-14E 8190 Sq F T .19 Ac</t>
  </si>
  <si>
    <t>Experience the best of SaddleBrooke living with this well maintained home perfectly positioned in a quiet cul-de-sac, showcasing breathtaking Catalina Mountain views. The backyard opens to a stunning panorama, while the front overlooks the peaceful rolling hills of SaddleBrooke, offering exceptional views from every angle. The spacious and light-filled kitchen and family room flow seamlessly together, creating an ideal space for entertaining or relaxing while enjoying the scenery. The primary bedroom and office are conveniently located down stairs. Upstairs features two bedrooms and a full bath, providing a perfect in-home casita or guest retreat. Pride of ownership is evident throughout this well cared for home in one Tucson's most desirable active adult communities.</t>
  </si>
  <si>
    <t>Samaniego</t>
  </si>
  <si>
    <t>Saddlebrooke Unit 1 Lot 33 Sec 26 &amp; 27-10S-14E 9,000 Sq Ft A-186</t>
  </si>
  <si>
    <t>Great opportunity to own a HUD Home, save thousands! Don't miss this Paloma model on one of SaddleBrooke's premier lots, backing to holes 2 &amp; 9 of The Tucson Nine with stunning Catalina Mountain views. This home offers expansive living space, a wet bar, two primary suites plus den, &amp; mountain views from living &amp; family rooms. Updated kitchen with granite counters, gas cooktop, &amp; stainless appliances. Saltillo floor w/ custom inlays, updated bathroom in 1st primary suite, extended flagstone patio, built-in BBQ, &amp; 2-car plus golf cart garage. Owner occupant bidders only for the first 15 days on market. Please see attached MLS Addenda for property specific disclosures &amp; repairs. Bidding on a HUD Home is quick &amp; easy! Buyers or agents please call for help with any part of the bidding process.</t>
  </si>
  <si>
    <t>SADDLEBROOKE UNIT FOUR: LT 9 SEC 26-10S-14E 8,383 SQ FT CAB B SLD 29</t>
  </si>
  <si>
    <t>Are you looking for the ultimate Saddlebrooke home that offers views, privacy and contemporary style...then don't miss this home. Absolutely stunning Galleria has been completely remodeled from top to bottom. Situated on the 3rd green of the Tucson nine of the 27-hole Saddlebrooke Golf Course, this home is a rare find. Watch the wildlife go by as you take advantage of golf course and lake views, multiple outdoor living areas, large covered patio, new electric sunshades and outdoor firepit with flagstone patio. Home is safely distanced from the large green so you can relax and enjoy golfers line up and drain their putts. As you step inside you are greeted by a bright airy interior with vaulted ceilings, concrete floors throughout, and large pictures windows that flood the home with light.</t>
  </si>
  <si>
    <t>Boulder Wind</t>
  </si>
  <si>
    <t>SaddleBrooke, Unit 31, Lot 27</t>
  </si>
  <si>
    <t>Charming 2 bedroom + den Montana model with vaulted ceilings and a bright, open layout. Primary suite offers comfort and privacy, large walk-in closet, and a beautifully, updated master bathroom and brand-new luxury vinyl flooring. Welcoming entry leads to a versatile den, perfect for an office or study. Kitchen features gray counter tops, large two door pantry, breakfast bar and sunny breakfast nook with plenty of natural light. Neutral finishes throughout, including all new light beige carpeting. 2.5 car extended garage with 5 large storage cabinets. Extended brick patio with easy care desert landscaping ensures a peaceful outdoor retreat-ideal for relaxing or entertaining. Conveniently located close to the SaddleBrooke HOA#2 Clubhouse and all the amenities!</t>
  </si>
  <si>
    <t>Boulder Ridge</t>
  </si>
  <si>
    <t>Saddlebrooke Unit 10A: Lot 32 Por Sec 26-10S-14E 9894 Sq Ft Cab B Sld 95</t>
  </si>
  <si>
    <t>Stunning 180° panoramic Catalina Mountain views from the elevated east facing view lot! This 3 bedroom/2.5 bath Madera model features an office with built-ins, two living areas, and a very private backyard with Pebble Tec saltwater pool, solar heating, raised rose garden, and decorative boulders. Enjoy a full-length covered patio with flagstone flooring, ceiling fans, and electric sun shades.    Kitchen offers granite countertops, neutral tile flooring, GE induction cooktop, new dishwasher, microwave/oven combo, garden window, and breakfast bar. Beautifully remodeled primary bath. Built-in cabinets in living area, Berber carpet, and panel draperies. Oversized 2.5-car garage with built-in cabinetry, utility sink, and extra refrigerator/freezer. Newer HVAC and water heater.</t>
  </si>
  <si>
    <t>Spoon</t>
  </si>
  <si>
    <t>Saddlebrooke Unit Eleven: Lot 18 Prt Of Sec 26-10S-14E 12,794 Sq Ft Cab B Sld 60</t>
  </si>
  <si>
    <t>SPECTACULAR DESERT LIVING at SaddleBrooke's Premiere Active Adult Community. This phenomenal property ideally situated for maximum privacy boasts uncompromising GOLF COURSE and CATALINA MOUNTAIN VIEWS. Large RESORT STYLE YARD boasts a Solar-heated LAP POOL with remote cover, private HOT TUB, Outdoor Kitchen, covered &amp; uncovered paver patios including a shaded Pergola Patio with propane Kiva Fireplace, and even a Greenhouse. Extensively Updated two-story home offers a main level Owner's Suite and Office plus two upper Guest Rooms with updated hall bath. This elegant 3,311 sq ft residence welcomes you with a paver driveway &amp; courtyard plus gated front porch.</t>
  </si>
  <si>
    <t>Brassie</t>
  </si>
  <si>
    <t>Saddlebrooke Unit Eleven:  Lt 29 Prt Of Sec 26-10S-14E 8563 Sq Ft Cab B Sld 60</t>
  </si>
  <si>
    <t>Beautiful mountain and golf course views highlight this inviting SaddleBrooke One home. The Topaz floor plan offers a living room, family room, 2 bedrooms plus a den, and 2 baths. The updated kitchen features granite countertops and rich cabinetry. The spacious primary suite includes patio access and a beautifully remodeled bath with granite counters, shaker cabinets, and a tile shower. Guest bath is similarly updated. Large diagonal floor tile, gas fireplace, and carpeted areas add comfort. Enjoy outdoor living on the paver patio with built-in grill overlooking the golf course with peaceful privacy. Extended garage, 2015 HVAC, and roof underlayment replaced 2 years ago. Laundry with front-load washer/dryer and storage. Enjoy SaddleBrooke's premier active adult amenities!</t>
  </si>
  <si>
    <t>Saddlebrooke Unit 1A: Lot 85 Sec 26 &amp; 27-10S-14E 8206 + Or - Sq F T Cab B Slide 51</t>
  </si>
  <si>
    <t>This exquisitely updated home in Saddlebrooke One is what all Alameda models should aspire to be. This 3 bedroom 2 bath home showcases an upscale custom kitchen featuring high-end cabinetry, top of the line appliances and sleek quartz countertops. A curated design that continues seamlessly into the bathrooms, laundry room and whole house. The spacious primary suite features a stunningly remodeled bathroom highlighted by a custom roll-in dual shower, blending luxury with functionality.  Step outside to the front patio and take in stunning views of the Catalina Mountains - the perfect setting to enjoy morning coffee or evening sunsets. Ideal location with everything you need for an active and social lifestyle right at your doorstep.</t>
  </si>
  <si>
    <t>Saddlebrooke Unit 23 Lot 15 Cabinet B Slide 162 Sec 27-10S-14E 79 20 Sq Ft .18 Ac</t>
  </si>
  <si>
    <t>Experience the best of Saddlebrooke living in this beautifully updated 3-bedroom home perfectly positioned on a golf course lot with breathtaking sunset views. The open-concept floor plan features soaring vaulted ceilings and stylish concrete floors throughout.  The custom kitchen is a chef's dream, showcasing leathered granite countertops, dovetail cabinetry, a pot filler, and high-end appliances including Beko and ZLine. The spacious living area centers around a cozy gas fireplace?ideal for relaxing or entertaining.The primary suite offers a spa-like bath with a curbless walk-in shower, quartz countertops, and a large walk-in closet. Updated lighting and ceiling fans enhance the home's modern appeal.  Step outside to the covered patio complete with a built-in BBQ and fire pit.</t>
  </si>
  <si>
    <t>Saddlebrooke Unit 31 Lot 36 Cab D Sld 9 Sec 27-10S-14E 9173.54 Sq Ft 0.21 Ac</t>
  </si>
  <si>
    <t>Perfectly positioned on a premium golf course lot, this elegant home showcases breathtaking Catalina Mountain views. This beautiful home has an open, light-filled floor plan, split bedrooms, large kitchen and a versatile den that is a perfect space for whatever your lifestyle needs- office, hobby room, sitting room, etc. Outside you can enjoy the views of the mountains from the front courtyard or take in the peaceful, sunset-filled evenings from the full-length covered back patio and beautifully landscaped backyard overlooking the golf course and lake. Experience luxury desert living in SaddleBrooke, Tucson's premier active adult golf community with amenities galore.</t>
  </si>
  <si>
    <t>Hill Side</t>
  </si>
  <si>
    <t>Saddlebrooke Unit 27 Lot 44 Cab C Sld 116 Sec 27-10S-14E 12060 Sq Ft .28 Ac</t>
  </si>
  <si>
    <t>Gorgeous, upgraded Cimarron floorplan w/Casita, mountain views + golf cart garage! Beautiful landscaping &amp; gated courtyard welcome guests. Inside, you'll find updated fixtures &amp; finishes, elegant tray ceilings &amp; custom plantation shutters. Enjoy abundant natural light in great room &amp; spacious, remodeled kitchen w/maple cabs (w/pull-outs!), island, SS appliances + pass-thru to dining -- a culinary dream! Tranquil owner's suite w/slider to patio, dual vanities, custom closet &amp; lg shower. Outside, find a covered patio that encloses with automated shades, built-in BBQ, fruit trees + mtn views! Den features built-ins for perfect home office. Private entrance to Casita w/counter, desk &amp; beautiful bath. Epoxied 2.5-car garage w/cabinets. Enjoy the active adult lifestyle in 55+ SaddleBrooke!</t>
  </si>
  <si>
    <t>Skyline</t>
  </si>
  <si>
    <t>SaddleBrooke Unit 28 Lot 77</t>
  </si>
  <si>
    <t>Nicely Upgraded Montana with Golf Course, Lake &amp; Mountain Views! Pride in Ownership! Great Room has Built-in Entertainment Wall with Gas Fireplace &amp; Dining Area with Slider to Patio. Kitchen has Stainless Steel Appliances, Granite Counters, Knotty Alder Cabinets with pull-out drawers, Island, Kitchen Dining Area &amp; Desk. Den  offers Built-in Office System. Owner's Suite has Bay Window. Owner's Bathroom with Modern Barn Door, Quartz Counter, soft Gray Cabinet, Walk-in Shower &amp; Organized Walk-in Closet. 2 Guest Bedrooms with Closets. Guest Bathroom with Walk-in Shower near by. Newer Windows thru home! Laundry Room with W/D &amp; Cabinets. Extended 2 Car Garage has Utility Sink &amp; House Water Filter System. Covered Flagstone Patio &amp; extended Patio with Cactus Water Fountain &amp; Mountain Views!</t>
  </si>
  <si>
    <t>SaddleBrooke Unit 21 Lot 186 Sec 25-10S-14E 8756 Sq Ft 0.20 Ac</t>
  </si>
  <si>
    <t>Situated on an elevated lot with stunning mountain views and exceptional privacy, this home truly has it all. The thoughtfully designed Dakota floorplan showcases refined designer finishes and a timeless Southwest-inspired aesthetic. Enjoy breathtaking views from the extended patio featuring multiple seating areas?perfect for relaxing or entertaining. Extensive upgrades include a beautifully enhanced kitchen with an expanded island, cabinet pull-outs, granite countertops, and new appliances (2025). Bathrooms have been remodeled with spacious showers, while additional features include three solar tubes, large unobstructed windows with custom leather window treatments, travertine flooring, designer paint tones and lighting, and a relocated gas fireplace in the family room that opens</t>
  </si>
  <si>
    <t>High Point</t>
  </si>
  <si>
    <t>Saddlebrooke Unit Seven: Lot 19 Cent Por W1/2 E1/2 Sec 27-10S-14E 7705 Sq Ft Cab B Sld 63</t>
  </si>
  <si>
    <t>Newly reduced price!  This charming 2-bedroom, 2-bath SONORA retreat tucked away on a peaceful street in SaddleBrooke! Thoughtfully updated with a replaced roof underlayment (2024), replaced carpet (2024), and replaced attic insulation 2025, this 1,449 sq. ft. home is move-in ready. Enjoy mountain views from the front patio and relax in the shaded backyard beneath two mature trees. The wall across the street adds a sense of privacy and quiet on a street with no through traffic. Perfect for downsizing or beginning your next chapter in comfort and style!</t>
  </si>
  <si>
    <t>Saddlebrooke Unit 18, Lot 20</t>
  </si>
  <si>
    <t>Welcome Home to this beautiful Saddlebrooke property. The home sits on a tastefully landscaped, elevated lot that backs to a desert belt which offers tons of privacy. It has a sparkling, pebble tec pool, a large covered patio with pavers, great for entertaining and lovely mountain views. This Topaz model has 3 bedrooms and 2 full bathrooms. The roomy kitchen is tastefully done with light counters, contrasting with dark cabinetry. You will love the 20'' travertine floors and freshly painted interior with warm neutral paint colors.  Recent upgrades include, exterior and interior paint. (2024) a complete replumbing (2023), 18 Seer American Standard HVAC in 2020,and much more. you won't want to miss this one!</t>
  </si>
  <si>
    <t>Niblick</t>
  </si>
  <si>
    <t>Saddlebrooke Unit Eleven: Lt 56 Prt Of Sec 26-10S-14E 14,857 Sq F T Cab B Sld 60</t>
  </si>
  <si>
    <t>Excellent pie-shaped lot on a premium corner location with no neighbors behind and ready to move in! Featuring a 2-car garage and low-care landscaping. Inside, you'll find cozy living areas with endless entertainment possibilities, ample bedrooms, and a fully equipped kitchen for all your cooking needs. The backyard is very private with a covered patio for al fresco dining and enough play space. Take advantage of the community amenities such as a pool, tennis courts, golf course, gym, and more. You don't want to miss this incredible deal!</t>
  </si>
  <si>
    <t>Saddlebrooke Unit Eleven: Lt 54 Prt Of Sec 26-10S-14E 10,267 Sq F T Cab B Sld 60</t>
  </si>
  <si>
    <t>Welcome Home to a Loma located on a .24-acre lot in SaddleBrooke! Great room &amp; dining area with French door to patio for easy indoor/outdoor living. Kitchen features stainless &amp; white appliances, freshly painted white cabinets, &amp; breakfast nook. Owner's suite with walk-in closet. Ensuite bath has dual vanity &amp; walk-in shower. Guest bedroom with closet &amp; nearby guest bath. Laundry room with washer, dryer, &amp; storage. Two-car garage includes 2021 HVAC, 2020 water heater, utility sink, &amp; cabinets. Covered patio &amp; gated yard with mature trees. Expansive lot offers endless possibilities-add a pool, golf cart garage, workshop, or guest house! Relax &amp; enjoy SaddleBrooke lifestyle with 3 clubhouses, restaurants, pools, fitness centers, golf courses, pickleball courts, tennis, plus 100's of clubs!</t>
  </si>
  <si>
    <t>Edgeview</t>
  </si>
  <si>
    <t>Saddlebrooke Unit Seven: Lot 55 Cent Por W1/2 E1/2 Sec 27-10S-14E 7800 Sq Ft Cab B Sld 63</t>
  </si>
  <si>
    <t>Welcome home to this spacious 2-bedroom plus den residence offering 2,050 sq ft and endless potential to make it your own. Soaring ceilings and a bright, open floor- plan create an inviting atmosphere with generous living spaces throughout. Ideal for a lock-and-leave lifestyle, the home features a cozy, private backyard and a screened-in patio-perfect for enjoying Arizona's indoor-outdoor living year-round. Enjoy mountain views from the front patio, and a large kitchen with stainless appliances and abundant counter: space for the cook. The grand primary suite includes both a soaking tub  and separate shower. Distinctive architectural details throughout make this home a must-see opportunity.</t>
  </si>
  <si>
    <t>Canyon Side</t>
  </si>
  <si>
    <t>SaddleBrooke Unit Seven:  Lot 11 Cent Por W1/2 1/2 Sec 27-10S-14E  7253 Sq Ft</t>
  </si>
  <si>
    <t>This well located, move in ready 2 Bd/2 Bath Topaz with den offers gorgeous mountain views &amp; easy access to nearby amenities. Major updates include a NEW 2025 HVAC, 2021 W/H, roof underlayment replaced in 2022, closet organizers, Advantium microwave. The extended patio with a tranquil fountain creates the perfect setting for relaxing or entertaining. A wonderful opportunity to own a view home with valuable upgrades. The spacious flagstone patio with a relaxing fountain and fire pit is perfect for outdoor living and entertaining. Extended garage fits golf cart &amp; 2 cars and includes: storage cabinets, utility sink &amp; an access door. Murphy beds in Den and Guest Room.  A must-see home with great views and smart updates!</t>
  </si>
  <si>
    <t>Wind Ridge</t>
  </si>
  <si>
    <t>SaddleBrooke Unit 20 Lot 12</t>
  </si>
  <si>
    <t>RARE HOA#1 VILLA ON GOLF COURSE SIDE! This is a Beautiful RIVIERA Model Villa, Bright, Clean, and VERY CLOSE to SaddleBrooke Club amenities- walk out your front door, cross the cul-de-sac, and then you are almost walking right into the main doors of the clubhouse! Well-maintained, Split bedrooms, Double car garage with storage cabinets, Furniture included if desired by Buyer.</t>
  </si>
  <si>
    <t>Saddlebrooke Unit Twenty: (Amd) Lot 13 Sec 26 &amp; 27-10S-14E .0961 Ac Cab B Sl 112</t>
  </si>
  <si>
    <t>Priced to sell with motivated sellers! This well-sought-after, private, and largest floorplan, Naples model Villa, is steps away from the clubhouse and all Saddlebrooke HOA 1, and its amenities have to offer! Location, location, location!  Situated ON the GOLF COURSE with MOUNTAIN VIEWS, and north/south orientation, and a primary bedroom with the same views with patio access. This open, split 2-bedroom floorplan, and 2 bath Villa with a DEN and flex space  boasts soaring ceilings, a spacious floorplan, and 3.5'' lifetime warrentied wood plantation shutters throughout. 5-year-old roof and additional HOA includes ALL exterior maintenance. Comes tastefully furnished, down to the linen,  dishes, and your own GOLF CART! Move-in ready, just grab your suitcase and welcome home! MUST SEE in person</t>
  </si>
  <si>
    <t>Mountain Sage</t>
  </si>
  <si>
    <t>SaddleBrooke Unit Seven: Lt 28 Cent Por W 1/2 E1/2 Sec 27-10S-14E 7752 Sq Ft Cab B Sld 63</t>
  </si>
  <si>
    <t>Topaz located on Corner Lot with Solar &amp; Guest House. Freshly Painted Interior &amp; New Carpet 11/2025! Gated Courtyard with Wrought Iron Entry leads to custom Front Door. Living Room &amp; Dining Room. Kitchen with Quartz Counters, White Appliances, R/O Water System, LED Lighting, Cabinets with slide-outs, Desk Area, Kitchen Dining &amp; Family Room. Owner's Suite has Bathroom with Shower &amp; Walk-in Closet. Guest Bedroom with Murphy Bed System &amp; Closet. Guest Bathroom nearby. Laundry Room has W/D &amp; Cabinets. Newer Windows. Guest House has Solid Redwood Paneling, Kitchenette, Bathroom with Shower &amp; Closet. 2 Car Garage with 2022 HVAC &amp; Cabinets. Solid Redwood Paneling Arizona Room with Sliding Glass &amp; Screened Doors. Yard full of Roses, Fruit Trees, Lovely Landscaping &amp; Gated Yard with Mountain Views</t>
  </si>
  <si>
    <t>SaddleBrooke Unit Twenty: (Amd) Lot 30 Sec 26 &amp; 27-10S-14E  .0916 Ac Cab B Sl 112</t>
  </si>
  <si>
    <t>Enjoy great golf course views from this popular Portofino Villa. Warm wood flooring welcomes you to this bright &amp; sunny villa featuring a great room w/ abundant natural light &amp; views overlooking the golf course. The kitchen offers ample cabinetry and counter space, opening to a spacious breakfast nook. The owner's suite is generously sized, leading to an en-suite bathroom with a double vanity, upgraded tile shower, &amp; a walk-in closet. A conveniently located den includes a wall bed and can be utilized as a guest room. The covered patio provides scenic views of the golf course. Furthermore, the clubhouse, fitness center, and other HOA amenities are conveniently located nearby, providing residents with optimal access to SaddleBrooke's facilities and enhancing their overall living experience.</t>
  </si>
  <si>
    <t>Diamond Ridge</t>
  </si>
  <si>
    <t>SaddleBrooke Unit 10:  Lot 77 Por Of Sec 26-10S-14E Cab B Sld 84, 9,181.213 Sq Ft</t>
  </si>
  <si>
    <t>LOCATION! LOCATION! LOCATION! Enjoy stunning mountain views from this elevated, private SaddleBrooke One lot. Lovingly maintained by its original owner since 1999, this 2-story Galleria offers 3 beds and 2.5 baths. The front living room is ideal for a den or hobby space, while the family room features a gas fireplace and built-ins. The kitchen includes painted cabinets, Corian counters, walk-in pantry, island with gas cooktop, and stainless French-door fridge, plus a wet bar. Upstairs is a casita with 2 beds and a bath. The primary suite has dual closets, soaking tub, and separate shower. Highlights include plantation shutters, ample storage, laundry with sink, 3-car garage with workbench, and a flagstone patio with built-in grill to enjoy the views. Opportunity to make it your own!</t>
  </si>
  <si>
    <t>Ocotillo Canyon</t>
  </si>
  <si>
    <t>SaddleBrooke Unit 21 Lot 200 Sec 25-10S-14E 8640 Sq Ft 0.20 Ac Ca B D Slide 25</t>
  </si>
  <si>
    <t>Step into this charming Montana model offering 3 bedrooms plus a den, beautifully positioned next to a wash and common area for enhanced privacy and desert tranquility. A welcoming arched paver courtyard opens to stunning mountain views.  Inside, the kitchen delights with knotty alder cabinetry, crown-molding, gas range, pull-out shelves, large pantry, breakfast bar, and a sunny nook with plantation shutters. Entertaining areas flow seamlessly with handsome wood-like tile. The luxurious primary suite features a completely remodeled spa-like bath with marble-surfaced walk-in shower, updated counters, and flooring. Guests will love the vibrant Talavera sink in the secondary bath. Outdoors, the fully enclosed backyard is a retreat - extended paver patio, gas firepit, soothing fountain,</t>
  </si>
  <si>
    <t>SaddleBrooke Unit 10: Lot 81 Port Of Sec 26-10S-14E Cab B Sld 84,  9,226.852 Sq F</t>
  </si>
  <si>
    <t>This stunning residence showcases a one-of-a-kind renovation that highlights the best of SaddleBrooke. Located at the cul-de-sac's end, it offers breathtaking, unobstructed mountain views and an open layout with three bedrooms, including a secluded guest Casita plus a conveniently located Den featuring a wall of built-in desks and storage. A private courtyard invites you into this unique home, which is thoughtfully designed to showcase stunning mountain views. The great room features a wall of windows that frame the view and is open to both the dining area and the gourmet kitchen. In the kitchen, you'll find custom cabinets, granite countertops, double convection ovens, a gas cooktop, and high-end stainless appliances, including three Zephyr beverage refrigerators. The primary suite</t>
  </si>
  <si>
    <t>Ridgeview</t>
  </si>
  <si>
    <t>Saddlebrooke Unit 12: Lot 15 Sec 26-10S-14E 14,259 Sq Ft Cab B Sl D 76</t>
  </si>
  <si>
    <t>Beautiful Topaz floor plan with dual primary suites and private casita, offering exceptional flexibility and comfort - with spectacular mountain views plus heated pool and spa. Roof underlayment replaced (11/25) providing peace of mind. The kitchen features granite countertops, two wall ovens plus MW/convection, opening to light-filled dining area with bay window. Spacious living and family rooms showcase a stacked rock gas fireplace and sliding doors that frame the views and connect seamlessly to the back patio for indoor/outdoor living. Primary bedroom includes slider to the patio, ideal for enjoying the scenery and private oasis. Large laundry room doubles as butler pantry. Luxury vinyl through living spaces, carpet in two bedrooms, and casita has ceramic tile floor for easy care.</t>
  </si>
  <si>
    <t>Stoney Cliff</t>
  </si>
  <si>
    <t>SADDLEBROOKE UNIT 19 (AMD): LOT 14 SEC 26 &amp; S1/2 23-10S-14E 8,250. SQ FT CAB B S</t>
  </si>
  <si>
    <t>Enjoy Stunning Mountain Views from the backyard of your new home in Saddlebrooke's active adult community. This expansive Estancia model has vaulted ceilings which allow for an abundance of  natural light to fill the oversized rooms of the 2236 square foot main house. The bright kitchen is a cheery space for cooking while using the herbs that you've grown in your own kitchen garden window. With both a breakfast nook, and a formal dining room, you'll have a variety of dining and entertaining options. This floorplan also includes a den which provides additional space for a library, music room, or a home office. In addition to the main house, you'll find a guest house in the courtyard which affords privacy for your guests, and their hosts alike.</t>
  </si>
  <si>
    <t>Blackfoot</t>
  </si>
  <si>
    <t>Saddlebrooke Unit Two: Lt 103 Sec 26 &amp; 27-10S-14E 7638 Sq Ft Cab A Sld 199</t>
  </si>
  <si>
    <t>Welcome to resort-style 55+ living in SaddleBrooke, where this single-story 3-bedroom, 2-bath Alameda floor plan offers a bright, comfortable layout with thoughtful upgrades throughout. The Great Room features a cozy gas fireplace and wet bar, while the inviting kitchen includes granite countertops, an island, a breakfast bar, and stainless steel appliances with modern black accents. An enclosed front porch and skylit entry add warmth, complemented by plantation shutters in the guest rooms and metal awnings on the kitchen windows for sun protection. Both bathrooms include skylights and safety bars for added ease. Outside, enjoy low-maintenance desert landscaping, a drip system, and a covered patio perfect for relaxing, all just a short distance from the clubhouse and its two restaurants.</t>
  </si>
  <si>
    <t>Squash Blossom</t>
  </si>
  <si>
    <t>Saddlebrooke Unit 24 Lot 113 Cab C Sld 082 Sec 27-10S-14E 8400 Sq Ft. .19 Ac</t>
  </si>
  <si>
    <t>Updated Laredo with Mountain Views! Great Curb Appeal! Stacked Stone Front &amp; 2 Screened Wrought Iron Doors. Great Room has Media Wall with Gas Fireplace &amp; Slider to Patio. Kitchen with Granite Counters, Stainless Steel Appliances,  Induction Range, Custom Expanded Cabinets with Slide-outs &amp; Kitchen Dining Area. Owner's Suite with Bay Window. Owner's Bathroom has Dual Vanity with Granite Counter, Walk-in Shower &amp; Walk-in Closet. 2 Guest Bedrooms with Closets. Guest Bathroom with Walk-in Shower nearby. Laundry Room has W/D &amp; Custom Cabinets. Luxury Vinyl &amp; Tile Flooring. Plantation Shutters, 4 Solar Tubes &amp; RV Outlet. Extended 2 Car Garage with 2023 HVAC &amp; W/H, Utility Sink, Side Door, Pull Down Attic Stairs &amp; Cabinets. Covered Patio, BBQ Station, Water Feature, Gated Yard &amp; Mountain Views!</t>
  </si>
  <si>
    <t>Saddlebrooke Unit 8: Lt 60 Por Ne Sec 27-10S-14E .18 Ac Cab B Sld 67</t>
  </si>
  <si>
    <t>Located in the beautiful community of SaddleBrooke, this well-maintained 2-bedroom, 2-bath Topaz with a versatile den offers 2,120 sq ft of comfortable living space. Built in 1995, the home features tile flooring throughout, stainless steel appliances, and a spacious, open layout ideal for both everyday living and entertaining. French doors lead to a covered patio, creating a seamless indoor-outdoor connection and an inviting space for entertaining or relaxing. The flexible den is perfect for a home office, hobby room, or guest space. Enjoy the relaxed SaddleBrooke lifestyle with access to renowned amenities, scenic surroundings, and a vibrant active adult community.</t>
  </si>
  <si>
    <t>Rosewood</t>
  </si>
  <si>
    <t>Long Legal (see Pinal County Assessor site for full legal)</t>
  </si>
  <si>
    <t>Welcome to one of the most desirable lots in SaddleBrooke, where breathtaking mountain, golf course, and sunrise views greet you daily?along with the occasional visit from local deer. This beautifully 1 story designed home offers a spacious 2BD/3BA main house plus a detached 1BD/1BA casita (560 sq ft), ideal for guests, a private office, gym, or creative studio and highly sought after 3-car garage. With over 3,000 sq ft in the main residence, you'll love the generous layout featuring formal living and dining rooms a versatile den, and an inviting family room that flows seamlessly into a gourmet chef's kitchen perfect for entertaining or simply enjoying the space.  The expansive owner's suite is a private retreat with dual walk-in closets, a spa-like bathroom</t>
  </si>
  <si>
    <t>Saddlebrooke Unit 24 Lot 126 Cab C Sld 082 Sec 27-10S-14E 11132 S Q Ft .25 Ac</t>
  </si>
  <si>
    <t>Elegant 2BD/2BA + Den (1,864 sq ft) home boasts front courtyard Mountain Views and expansive rear yard with firepit patio and large dining pergola. Popular Laredo plan features updated flooring in main living areas, vaulted ceilings, updated granite counters in kitchen, updated quartz counters &amp; fixtures in baths, plus newer HVAC (2023), roof underlayment (2022) and interior/exterior paint (2021). Open concept Great room is highlighted by a fireplace with floor-to-ceiling tile surround. Extended Chef's kitchen offers outer breakfast bar, center island, SS appliances and large dining nook with views. Primary suite hosts luxury bath with dual sink vanity, tiled walk-in shower and large walk-in closet while guest room accesses hall bath. Laundry with storage cabinets &amp; desk plus extended</t>
  </si>
  <si>
    <t>Vista Park</t>
  </si>
  <si>
    <t>SaddleBrooke Unit 24 Lot 37 Cab C Sld 082 Sec-27-10S-14E 8733 Sq Ft .20 Ac</t>
  </si>
  <si>
    <t>Updated Laredo with Paver Courtyard with Mountain Views! ''4/2026 Roof Underlayment Replaced'', 2024 Exterior Home Painted, 2022 Irrigation System Replaced, &amp; 2022 Added Gutters. Great Curb Appeal! 2 Custom Entry Gates &amp; Stacked Stone Front. Great Room has Electric Fireplace &amp; Slider to Patio. Kitchen has Quartz Counters, Stainless Appliances, Lots of Cabinets, Island &amp; Dining Area. Owner's Suite has Bathroom with Walk-in Shower &amp; Walk-in Closet. 2 Guest Bedrooms have Closets &amp; Guest Bathroom with Walk-in Shower nearby. 3rd Bedroom could serve as Den/Office/. Laundry Room with W/D, Cabinets &amp; Desk Area. Tile Floors in most areas of home. 2 Car Garage has 2022 HVAC, 2023 Recirc. Pump, 2024 Garage Door &amp; Storage Cabinets. Covered Paver Patio with extended Pavers, Fountain, &amp; Raised Patio!</t>
  </si>
  <si>
    <t>Saddlebrooke Unit Six: Lt 81 Sec 26 &amp; 27-10S-14E 7, 110 Sq Ft Por Of W1/2 Of Sec -10S-14E Cab B Slide 50</t>
  </si>
  <si>
    <t>MOVE-IN-READY Remodeled Madera model w/ STUNNING MOUNTAIN &amp; GOLF COURSE VIEWS!  Beautiful wood engineered flooring, designer paint tones, remodeled kitchen w/ custom cabinetry, granite countertops, SS appliances with a gas range.  Bathrooms updated with granite countertops, striking primary shower &amp; cabinetry, and a stylish powder room for guests.  Relax by the sleek stone gas fireplace in the family room that opens to the backyard oasis.   Enjoy the best of indoor/outdoor living on a spacious patio with built-in grill, water feature, retractable awning and amazing views, an ideal setting for entertaining.  Major upgrades include: replumbing with overhead lines, new WH, smart plugs &amp; switches, remodeled kitchen &amp; baths, &amp; replaced roof underlayment.  Truly a must-see!</t>
  </si>
  <si>
    <t>Copper Ridge</t>
  </si>
  <si>
    <t>SaddleBrooke Unit 19 (Amd): Lot 56 Sec 26 &amp; S1/2 23-10S-14E 12,000 Sq Ft Cab B</t>
  </si>
  <si>
    <t>This beautifully renovated and upgraded Galleria model is ready for move-in. The double door entry leads to an inviting neutral color palette that enhances the spacious gathering and formal dining room. The island kitchen maximizes the open floorplan, offering ample cabinetry, two refrigerators, an induction cooktop, and views of the yard and surrounding open space. The expansive family room features a stacked stone fireplace, providing warmth during cool SaddleBrooke evenings. The owner's retreat includes a sitting area and an en-suite with double vanity, a walk-in shower, and double closets. Upstairs Casita offers two bedrooms and a bath, ensuring privacy and comfort for guests. Additional highlights include a convenient full bath in hallway, 4th bedroom downstairs, a den/office,</t>
  </si>
  <si>
    <t>Desert Trail</t>
  </si>
  <si>
    <t>SaddleBrooke Unit 16: Lt 72 Por Of N1/2 Of Sec 26 &amp; S1/2 Sec 23-10S-14E .18 Ac</t>
  </si>
  <si>
    <t>This Sonora model home sits on a high corner lot with impressive curb appeal. From the moment you step inside, you're greeted by stunning mountain views. The expansive great room seamlessly connects to a bright dining space, where large windows frame the backyard, pool, and mountain vistas beyond. In the galley kitchen, you'll find granite countertops and stainless steel appliances. The primary suite offers convenient access to the patio and hot tub, along with an updated en-suite bathroom featuring a spacious shower, dual vanity, and walk-in closet. A well-appointed guest room and bathroom add comfort and functionality. Step outside to an entertainer's paradise: enjoy a built-in BBQ, an extended covered patio, and a pool surrounded by lush landscaping and the scenic Catalina mountains in</t>
  </si>
  <si>
    <t>SaddleBrooke Unit 21 Lot 035 Sec 25-0S-14E 9375 Sq Ft 0.22 Ac</t>
  </si>
  <si>
    <t>This spacious Sundance model offers impressive Catalina Mountain views. Enter through double doors into an elegant home highlighted by a dramatic staircase. The gathering room flows into a formal dining area featuring a semi-circle of windows designed to capture panoramic vistas. The kitchen is open to the family room, which benefits from large windows framing striking mountain scenery. The owners' suite is generously sized and includes a sitting area with views, an ensuite bathroom with a walk-in shower, double vanity, ample closet space, and extensive built-in cabinetry. Upstairs, the Casita contains two spacious bedrooms separated by a Jack and Jill bath, ensuring privacy for guests. Additional features include a conveniently located den, full hallway bathroom, and a three-car garage.</t>
  </si>
  <si>
    <t>Whispering Tree</t>
  </si>
  <si>
    <t>Saddlebrooke Unit Eight A: Lot 131 Ne Sec 27-10S-14E 11,432 Sq Ft</t>
  </si>
  <si>
    <t>Price Reduced. HUD Home Save thousands. Desirable Saddlebrooke an active adult community.  Great value at a modest price. Bright open feeling home. Spacious great room concept floor plan. 3 large bedrooms. 2 full baths Single story, Kitchen has a big island a breakfast nook, lots of counter tops. Living area offers vaulted ceilings, &amp; large windows create a light and airy ambiance. Family room off kitchen. Covered patio, nicely landscaped huge back yard. 2 car garage, Plus separate golf cart garage. .  Some updating needed. 2nd home and investor buyers are welcome to bid 15 days from list date. Buyers are responsible for utility turn-on and any required permits for utility connect and re-winterization fee. Buyer to verify all info</t>
  </si>
  <si>
    <t>SaddleBrooke Unit 8A, Lot 137</t>
  </si>
  <si>
    <t>Gorgeous 3- bedroom home with a professionally designed interior and an exterior oasis, featuring extended brick patios, front &amp; back w/Mtn. Views &amp; mature shade trees, located in SaddleBrooke, Tucson's premier active adult community. Kitchen offers granite countertops, tiled backsplash, 5-burner gas cooktop, SS appliances, &amp; garden window. Breakfast nook w/bay windows opens to family rm. w/sliders to covered brick patio &amp; lush backyard. Dining Rm w/wet bar flows into  spacious living room w/12-foot clerestory windows &amp; vaulted ceilings, plus sliders to patio. Primary suite includes ensuite bath w/jacuzzi tub, separate shower, extra closet, &amp; patio access. Two guest bedrooms, guest bath, &amp; 2.5-car tandem garage w/storage complete the home.  Newer HVAC, water heater, &amp; irrigation system.</t>
  </si>
  <si>
    <t>Hill Side Dr</t>
  </si>
  <si>
    <t>Saddlebrooke Unit 24 Lot 24 Cab C Sld 082 Sec 27-10S-14E 11928 Sq Ft .27 Ac</t>
  </si>
  <si>
    <t>Set on a prime corner lot, this beautifully maintained Laredo offers ideal orientation, privacy &amp; sweeping Catalina Mountain views. Nearly third-acre w/room for pool or casita (N side) &amp; golf cart garage (S side). SE-facing backyard enjoys morning light &amp; mountain vistas from extd covered patio w/Kiva FP, pavers, &amp; mature citrus. Curb appeal with scored concrete drive &amp; walkways. Inside: popular great room plan w/split BRs, neutral tile &amp; wood-look floors (carpet in BRs), plantation shutters, fresh paint, &amp; updated kitchen with SS apps incuding 5 burner gas range. Primary suite features new frameless walk-in shower, slider to screened AZ room, &amp; tranquil views. Freshly painted with new LED lighting, fans &amp; fixtures.</t>
  </si>
  <si>
    <t>Golf Course Drive</t>
  </si>
  <si>
    <t>Saddlebrooke Unit #15: Lot 84 Por Sec 23 &amp; 26-10S-14E 12689 Sq Ft Cabinet B Slide 91</t>
  </si>
  <si>
    <t>Stunning and distinctive, this extensively remodeled 3BR/3BA + Bonus Rm 2.5 garage Home, complete with 452 sq ft GUEST HOUSE has been reimagined with a custom floor-plan redesign that enhances flow, natural light, and daily functionality.Corner lot with superb curb appeal &amp; extra-deep yard delivers resort-level living &amp; mountain views. Backyard feels like a private retreat featuring one of SaddleBrooke's most impressive pools-lap length natural lagoon design w/waterfall, lush landscaping, citrus trees &amp; multiple seating areas. Open-concept main house offers porcelain wood-look tile (no carpet), all new windows/doors incl. French doors, solid alder interior doors &amp; designer kitchen w/4x8 quartz island, gas cooktop, double oven &amp; abundant smart storage.</t>
  </si>
  <si>
    <t>Canyon View</t>
  </si>
  <si>
    <t>Saddlebrooke Unit 8A: Lot 58 HOA One.</t>
  </si>
  <si>
    <t>Check out this stunning expanded DIEGO floorplan, and multiple breathtaking mountain views, through your new Anderson windows throughout, and so much more! The front   flagstone courtyard view, and the entertainer's dream, flagstone and epoxy huge covered back patio on a large .24-acre lot is all anyone could ask for! The tastefully remodeled custom kitchen with stone countertops features graphite colored appliances, updated under-lit soft-close cabinetry, with pull-out drawer storage, kick-open trash compartment, and designer pendant lighting. The full-size expanded dining area offers more expansive beautiful mountain views and a meticulously manicured backyard with complete privacy with fruit and ornamental trees providing plenty of shade from the summer sun and so much more.</t>
  </si>
  <si>
    <t>Stoney Ridge</t>
  </si>
  <si>
    <t>Saddlebrooke Unit 16: Lt 57 Por Of N1/2 Of Sec 26 &amp; S1/2 Sec 23-1 0S-14E .19 Ac Cab B Sld 78</t>
  </si>
  <si>
    <t>SaddleBrooke HOA1, this Estancia model captures sweeping Catalina Mountain views through expansive windows that flood the home with natural light. High ceilings and an open layout showcase the scenery from every main living space. Large kitchen features a center island, SS appliances, granite countertops, and a charming garden window, opening seamlessly to the family room?ideal for entertaining. The floor plan includes 2 bedrooms, 2 bathrooms, and a versatile den, along with a living room and dedicated dining area. The guest bath offers a walk-in shower, while the spacious primary suite boasts a large walk-in shower, soaking tub, granite countertops, and a big walk-in closet. Designed for both indoor and outdoor living, this home provides exceptional space to take in the views!</t>
  </si>
  <si>
    <t>SaddleBrooke Unit 16: Lt 58 Por Of N1/2 Of Sec 26 &amp; S1/2 Sec 23-1 0S-14E  .18 Ac</t>
  </si>
  <si>
    <t>Double door entry welcomes you into this expansive residence, where elegant wood flooring guides you to breathtaking Catalina Mountain views. The generous gathering room and spacious formal dining area are perfectly suited for hosting guests. An island kitchen offers ample cabinetry and counter space while showcasing the stunning vistas. The open family room features a Kiva fireplace, ideal for cool SaddleBrooke evenings, and provides continuous mountain scenery. The owner's suite boasts an en-suite bath and patio access. Upstairs, a private casita presents two bedrooms and a full bath, offering an exceptional retreat for guests. Additional amenities include a conveniently located den, powder room, and a three-car garage.</t>
  </si>
  <si>
    <t>Drifter</t>
  </si>
  <si>
    <t>SaddleBrooke Unit 6 Lot 97</t>
  </si>
  <si>
    <t>Topaz on .25 Lot with Mountain Views.  Freshly Painted Interior &amp; New Carpet Installed Aug. 2025! Spacious Living Room &amp; Dining Area. Updated Kitchen offers Quartz Counters, Stainless Steel Appliances, White Cabinets with soft close, Water Filtration System under sink &amp; Kitchen Dining to enjoy! Family Room has Gas Fireplace &amp; Slider to Patio. Owner's Suite has Slider to Yard. Owner's Bathroom with Walk-in Shower &amp; Walk-in Closet. Guest Bedroom with Closet. Updated Guest Bathroom that offers Quartz Counter &amp; custom Walk-in Shower with Glass Doors. Laundry Room with W/D &amp; Cabinets with Desk. Extended 2 Car Garage with space for golf cart has 2017 HVAC, 2024 W/H &amp; Cabinets. Covered Patio, Garden Beds, 2 Citrus Trees, Gated Yard Full of Possibilities &amp; Mountain Views to enjoy day or night!</t>
  </si>
  <si>
    <t>Lot 57, Saddlebrooke Unit Eight A</t>
  </si>
  <si>
    <t>Nice home with private back yard; large enclosed porch in back; on a peaceful cul de sac with nice open space at the end!  Original owner.</t>
  </si>
  <si>
    <t>Saddlebrooke Unit Eight A: Lot 57 Ne Sec 27-10S-14E 9,045 Sq Ft</t>
  </si>
  <si>
    <t>Exquisitely renovated Madera model at the end of a quiet cul-de-sac, boasting sweeping mountain views and refined privacy. The redesigned split floor plan features two opulent primary suites, 3.5 spa-inspired bathrooms, and a versatile office/optional bedroom. The chef's kitchen dazzles with an 8-burner gas range, double convection ovens, custom cabinet pullouts, pantry, pot filler, and brand-new stainless appliances. Light-filled great room with soaring cathedral ceilings and expansive 8' patio sliders. New paint, concrete floors, complete the interior. Step outside to an oversized patio leading to a private desert oasis--a serene retreat designed for entertaining or tranquil relaxation. Newer roof from 2018. Truly move-in ready perfection.</t>
  </si>
  <si>
    <t>Greenbelt</t>
  </si>
  <si>
    <t>Saddlebrooke Unit Eight A: Lot 80 Ne Sec 27-10S-14E 7,280 Sq Ft</t>
  </si>
  <si>
    <t>Fabulous 3BD/2BA (1,810 sq ft) Diego model boasts vaulted ceilings, plantation shutters, large diagonal set tile and screened Arizona Room for year round enjoyment. Charming home backs to hill for ultimate privacy. Enter to a formal Living room that flows to a Great Room. Chef's kitchen offers large island with bar seating, breakfast nook with bay window plus sleek black appliances. Striking Primary suite has large picture window overlooking the yard. En suite bath hosts dual sink vanity and walk-in shower. Bedroom 2 has walk-in closet; bedroom 3 could double as an office. Laundry room has built-in desk. Extended 2 car garage houses storage cabinets, utility sink, newer HVAC (2025) and water heater (2021). SaddleBrooke Active Adult Community residents enjoy access to a clubhouse, fitness</t>
  </si>
  <si>
    <t>SADDLEBROOKE UNIT EIGHT A: LOT 96 NE SEC 27-10S-14E 8,176 SQ FT</t>
  </si>
  <si>
    <t>Beautiful 3 bedroom plus a large den/office located in Saddlebrook. Spacious kitchen with lots of cabinets, new refrigerator and dishwasher just installed. Kitchen opens up to the family room. All new carpet and paint throughout the inside of home. Large primary bedroom located downstairs. Backyard has amazing views of the Santa Catalina mountains! Enjoy the lap pool and the low maintenance backyard.</t>
  </si>
  <si>
    <t>From Parcel:001010010 /All Exc Rd 591.33 Ac Sec 33-18-16</t>
  </si>
  <si>
    <t>*This is an Estate Sale-Home is priced to sell quickly** Wake up to stunning Golf Course views and captivating mountain vistas, and unwind with gorgeous sunsets in this well-cared-for, one-owner 3-bed, 3-bath Topaz model home. Nestled on a quiet cul-de-sac along the 4th fairway of SaddleBrooke HOA 1's private golf course, this home features a spacious attached casita/caregiver suite, large walk-in closets, and a dreamy fully fenced yard, oversized patio, water feature, and a built-in gas BBQ island?perfect for relaxing or entertaining. Come enjoy the peace, privacy, and views you've been looking for! Views like this do not come along very often! Schedule your showing today!</t>
  </si>
  <si>
    <t>Ribbonwood</t>
  </si>
  <si>
    <t>Saddlebrooke Unit Six: Lt 40 Sec 26 &amp; 27-10S-14E 10,578 Sq Ft Por Of W1/2 Of Sec 26 &amp; Ne1/4 Of Sec 27-10S-14E Cab Slid</t>
  </si>
  <si>
    <t>Welcome to this well-appointed Madera model located at the end of a very quiet street on a nicely sized corner lot. Enter through a charming, gated courtyard with flagstone flooring. The kitchen shines with granite countertops, complimentary backsplashes, GE stainless steel appliances &amp; sink, knotty alder cabinets w/hardware, 20'' tile, pendant lighting and features an adjacent sunny breakfast nook w/custom window treatments. Cozy family room includes a beautiful floor to ceiling stacked stone gas fireplace, perfect for the cool winter days! Beverage bar features granite counters, glass shelving and mirror. Spacious living room and adjoining dining area are ideal for entertaining. Primary bedroom offers a peaceful retreat with spa-style bath and generous closet space. Step outside to the</t>
  </si>
  <si>
    <t>Saddlebrooke Unit Six: Lt 19 Sec 26 &amp; 27-10S-14E 7,529 Sq Ft Por Of W1/2 Sec-10S-14E Cab B Slide 50</t>
  </si>
  <si>
    <t>Exquisite 2BD/2BA +Den (2,137 sq ft) Topaz model on corner, cul-de-sac lot has been HIGHLY UPDATED inside &amp; out and backs to a hill for ultimate privacy. Front flagstone patio and iron gated porch flow to a formal living/dining room with open concept family room and kitchen beyond. Showcasing an elegant interior boasting vaulted ceilings, plantation shutters and large picture windows throughout, this home has been updated with Luxury Vinyl Plank flooring throughout, quartz countertops in kitchen &amp; baths, new windows &amp; doors including custom entry door, plus fireplace with impressive stacked-stone surround, mesquite mantel and slab stone hearth in family room off patio. Chef's kitchen hosts ample cabinet and counter space, stainless appliances, breakfast bar, dining nook with bay window,</t>
  </si>
  <si>
    <t>Saddlebrooke Unit Six: Lt 21 Sec 26 &amp; 27 10S-14E 7,140 Sq Ft Por Of W 1/2 Of Sec 26 &amp; Ne 1/4 OF Sec 27-10S-14E Cab B</t>
  </si>
  <si>
    <t>Lovely Topaz located on quiet Cul-de-Sac with Nature Behind! Great Curb Appeal! Enjoy Mountain Views from Front Courtyard! Epoxy Driveway &amp; Walkway Path to Front Entry Door. Living Room &amp; Dining Area. Kitchen has Granite Counters, Slate Appliances, abundance of Cabinets, Desk Area &amp; Kitchen Dining Nook. Family Room has Slider to Patio. Owner's Suite has Slider to Patio. Owner's Bathroom with Custom Tiled Walk-in Shower &amp; Walk-in Closet. Guest Bedroom with Closet &amp; Guest Bathroom nearby. Laundry Room has W/D &amp; Cabinet with Desk. Extended 2 Garage has Utility Sink &amp; Storage Cabinets. Water Heater 2016 &amp; Irrigation Drip System 2024. Covered Brick Paver Patio with extended Pavers Patio with built-in circular bench for entertaining. Private Gated Yard &amp; no homes behind, except nature!</t>
  </si>
  <si>
    <t>Saddlebrooke Unit #15: Lot 8 Por Sec 23 &amp; 26-10S-14E 8723 Sq Ft Cabinet B Slide 91</t>
  </si>
  <si>
    <t>Sundance with Owned Solar located on an Elevated Lot with Mountain Views! Front Courtyard leads to Entry Gate. Freshly Painted Interior &amp; New Carpet 11/2025! Living Room with Gas Fireplace &amp; Dining Room with Mountain Views. Great Room with Views. Kitchen with Solid Counters, Corian Top Island, New Refrigerator, 42'' Cabinets, Pantry, Desk &amp; Dining Area with Patio Slider. Den has French Doors. Powder Room. Owner's Suite with Mountain Views. Owner's Bathroom has Walk-in Shower, Tub, &amp; 2 Walk-in Closets. Laundry Room with W/D, Sink, &amp; Cabinets. Upstairs 2 Bedrooms have 2 Closets with Jack &amp; Jill Bathroom. Owned Solar &amp; 2020 ''Roof'' Underlayment Replaced. Extended 3 Car Garage has 2017 HVAC's, 2023 W/H &amp; Cabinets. Covered Patio with BBQ, Firepit, Water Feature, Fruit Trees &amp; Mountain Views.</t>
  </si>
  <si>
    <t>Saddlebrooke Unit #15: Lot 95 Por Sec 23 &amp; 26-10S-14E 7840 Sq Ft Cabinet B Slide 91</t>
  </si>
  <si>
    <t>Experience effortless contemporary living in this move in ready home. This beautifully remodeled 3-bed, 2-bath ''Topaz Model'' home is perfectly situated in highly desirable 55+ community of Saddlebrooke. Enjoy a brand-new kitchen and two stylishly updated bathrooms, complemented by new floor tile throughout and freshly painted interior. With a great room floor plan it's the perfect place to call home while enjoy life among the breathtaking mountain views &amp; savor exceptional outdoor living year-round. This vibrant community offers resort-style amenities including swimming pools, hiking, biking, tennis, pickleball, and golf?everything you need to stay active, social, and inspired. A turnkey home where comfort, style, and lifestyle come together.</t>
  </si>
  <si>
    <t>Rocky Trail</t>
  </si>
  <si>
    <t>SaddleBrooke HOA 2, Unit 15, Lot 97</t>
  </si>
  <si>
    <t>This Gorgeous Galleria is move-in ready to enjoy mountain views from your own private pool w/waterfall &amp; spa w/open space in the back, no neighbors on one side &amp; privacy screen on the other.  The Chef's kitchen opens to the family room &amp; has a walk-in pantry, large island, slate appliances, quartz counters, prep sink, &amp; breakfast nook w/views. An additional entertaining/living area has a gas fireplace for cozy fireside chats &amp; plenty of seating for fun dinner parties.  A spacious primary bedroom ensuite w/ roll -in shower is on the main floor. Plus, extra rooms w/privacy for your family &amp; overnight guests in the ''upstairs Casita'' a 2-bedroom &amp; full bath guest suite w/ separate HVAC. Also, there's a large office, powder room, &amp; 3-car garage.  This home has it all!</t>
  </si>
  <si>
    <t>Rock Crest</t>
  </si>
  <si>
    <t>LOT 54/UNIT 15, SADDLEBROOKE, HOA#2</t>
  </si>
  <si>
    <t>Welcome to this inviting 2-bedroom plus den, 2-bath Laredo floor plan located in the highly desirable SaddleBrooke active adult community. Situated on a spacious lot, this well-maintained home offers comfort, style, and privacy, along with a brand-new roof for peace of mind. Brand New HVAC . The Interior of the home was just repainted .  Inside, you'll find an open and functional layout with bright living spaces, a versatile den perfect for an office or hobby room, and a spacious primary suite. The kitchen opens to the main living areas, making it ideal for entertaining or everyday relaxation.  Step outside to enjoy the serenity of your oversized lot?perfect for outdoor dining, gardening, or simply soaking in the views.</t>
  </si>
  <si>
    <t>SaddleBrooke Unit #15: Lot 122 Por Sec 23 &amp; 26-10S-14E 9825 Sq Ft Cabinet B Slid</t>
  </si>
  <si>
    <t>Outstanding value and move-in-ready condition! Nestled in the heart of SaddleBrooke's active adult community, this lovely Topaz model offers 3 bedrooms, 2 beautifully remodeled baths, and a spacious floor plan designed for your ideal retirement lifestyle. The great room provides plenty of space for entertaining or hosting game night, while the large covered patio makes it easy to extend the fun outdoors. Enjoy a private, enclosed backyard?perfect for pets or even a future pool?and relax with morning coffee on the front patio while taking in the view. Recent updates include a new roof underlayment (2025), newer water softener and purification system, epoxy-coated garage and driveway, plus new wood-grained tile in key living areas. Don't wait?come see this gem today!</t>
  </si>
  <si>
    <t>Mount Lemmon</t>
  </si>
  <si>
    <t>SaddleBrooke Unit 43 Lot 16 Sec 24-10S-14E  14897 Sq Ft 0.34 Ac</t>
  </si>
  <si>
    <t>This upgraded and modified Sabino model offers expansive golf and mountain views, featuring three bedrooms and 3 bathrooms. Elegant wood flooring leads into a welcoming great room that overlooks lush backyard landscaping, set against the backdrop of the golf course and mountains. The stylish fireplace is perfect for cool evenings. The open kitchen provides ample counter and cabinetry space, stainless steel appliances, granite countertops, and a cozy sitting area ideal for morning coffee or quiet reflection. The spacious Owner's Retreat includes a comfortable lounge area with scenic views, and an en-suite bathroom with dual vanities, a soaking tub, a separate walk-in shower, and a customized walk-in closet. The second bedroom suite also enjoys sweeping views, a walk-in closet,</t>
  </si>
  <si>
    <t>Rocky Path</t>
  </si>
  <si>
    <t>Saddlebrooke Unit #15: Lt 167 Por Sec 23 &amp; 26-10S-14E 9580 Sq Ft Cabinet B Slide 91</t>
  </si>
  <si>
    <t>Experience resort style living in highly sought after Saddlebrooke Golf Community. Meticulously maintained 2Bed 2ba+bonus room, w/welcoming covered front porch &amp; extended flagstone patio to  enjoy AZ outdoor living &amp; mountain views. Popular split plan  provides privacy along w/ versatile options for room design &amp; use. A grand entry sets the tone, opening to a spacious living area w/vaulted ceiling &amp; walls of windows that flow seamlessly to the rear yard entertainment area. The kitchen is the hub of the home featuring abundant cabinetry, sleek new stainless steel appliances, a convenient built-in desk &amp; ample counter space adjoining casual dining area &amp; bonus room, ideal for family gatherings or game night. Spacious primary suite hosts a new luxurious bath retreat</t>
  </si>
  <si>
    <t>Saddlebrooke Unit #15: Lot 44 Por Sec 23 &amp; 26-10S-14E 8400 Sq Ft Cabinet B Slide 91</t>
  </si>
  <si>
    <t>Golf Course Views in Saddlebrooke!  This open floorplan Laredo model features 2 bedrooms; 2 bathrooms; a den; a pool, and a golf cart garage!  The home is appointed with tasteful updates throughout including the kitchen, the bathrooms and the laundry. The roof underlayment was replaced in 2025 and a new HVAC system was installed in 2021. Take advantage of year round swimming in your solar heated pool while overlooking the golf course and enjoying all that Saddlebrooke has to offer.</t>
  </si>
  <si>
    <t>Desert Sands</t>
  </si>
  <si>
    <t>Saddlebrooke Unit #15: Lt 174 Por Sec 23 &amp; 26-10S-14E 11810 Sq Ft Cabinet B</t>
  </si>
  <si>
    <t>Move-In-Ready! Laredo model 3-bedroom + 3-full-bathroom with a den features an open-concept floorplan, split-bedroom floorplan (2 ensuite bedrooms) great for hosting guests. Notable updates include a new roof underlayment (2025), epoxy-coated garage floor and driveway, freshly painted interior, new bedroom carpet, luxury vinyl plank flooring in the great room, granite kitchen countertops, and brand-new SS refrigerator. Situated on a spacious lot with low-maintenance, mature landscaping, this home makes indoor/outdoor living a breeze under the covered patio just off the great room. SaddleBrooke a premier active adult community?call today for a private showing!</t>
  </si>
  <si>
    <t>Saddlebrooke Unit #15: Lt 172 Por Sec 23 &amp; 26-10S-14E 11546 Sq Ft Cabinet B Slide 91</t>
  </si>
  <si>
    <t>Seller to entertain/counter offers from $725k-$775k. TOPAZ MODEL WITH CASITA | CORNER LOT | PRISTINE CONDITION.     Stop searching: this is the one! Welcome to 65871 East Desert Sands Drive -- a pristine Topaz model on a large corner lot, where every detail has been upgraded, and nothing has been left to chance. Two bedrooms plus a den in the main home, and a private 439 sq ft casita that enhances everything.    The main-level primary suite is your personal sanctuary -- freshly updated with new paint, beautiful new tile flooring, built-in speakers, and the kind of calm, quiet finish that makes every morning feel like a retreat. This is the lock-and-leave lifestyle done right.</t>
  </si>
  <si>
    <t>Wind Crest</t>
  </si>
  <si>
    <t>SaddleBrooke Unit 14 Lot 114</t>
  </si>
  <si>
    <t>Abundant natural light fills every corner of this elegant Sonora floorplan connecting the open living, dining and kitchen areas. Spacious 2 bedrooms/2 baths. Beautifully renovated kitchen features quartz counters, new cabinets, SS appliances, pantry, and washer/dryer. A spacious main bedroom suite has a custom closet, seating area, quartz vanity, dual sinks, and walk-in shower. Gorgeous new Pergo flooring throughout, new interior paint, new push-up blinds, new fans and lights, new hardware, and cozy gas fireplace in the great room. The Arizona Room is ideal for eating, reading, or just relaxing. Enjoy the Pergola for shaded napping or outdoor time. The perfect backyard adjoins natural open space and lush trees for maximum privacy. Gorgeous home fully furnished at no cost to buyer.</t>
  </si>
  <si>
    <t>Stoney Flower</t>
  </si>
  <si>
    <t>Saddlebrooke Unit 17: Lot 18 E1/2 Of Sec 23-10S-14E 8269.0 Sq Ft Cab B Slide 117</t>
  </si>
  <si>
    <t>Laredo with golf course views! Freshly painted interior &amp; new carpeting. Great Room featuring two solar tubes &amp; sliding door to patio. Kitchen offers granite countertops, stainless steel appliances, cabinets with slide-outs, &amp; dining area. Owner's Suite has bay window. En suite bathroom with walk-in shower &amp; walk-in closet. Den/office. Guest bedroom has bay window &amp; closet with nearby guest bathroom. Laundry room with W/D, cabinets, &amp; solar tube. Extended 2 car garage has W/H (2026), HVAC (2016), water softener loop, utility sink, workbench area, cabinets, &amp; side door. Outdoor living with covered screened patio, extended brick patio, a pergola, &amp; seating area overlooking the golf course. Lovely landscaping, mature lemon tree loaded with fruit, &amp; gated yard-just the place to call home!</t>
  </si>
  <si>
    <t>Saddlebrooke Unit #15: Lot 197 Por Sec 23 &amp; 26-10S-14E 9621 Sq Ft Cabinet B Slid</t>
  </si>
  <si>
    <t>Beautifully renovated and decorated Diego model with light wood-look LVP flooring throughout. Sited on a corner lot this great home enjoys wonderful privacy and mountain views. A gathering room welcomes you and leads you into the heart of the home.  The open kitchen featuring white cabinetry, stainless appliances and granite counters overlooks the family room. The owners retreat has easy access to the patio and has an en-suite with dual vanity and great step-in tile shower. A second master suite awaits your guests. The spacious laundry room has plenty of room for an office or hobbies. A fully covered patio, mature landscaping and mountain views complete this great home. Whether snowbird or full-time, this home can be your ideal spot to enjoy the best of SaddleBrooke living</t>
  </si>
  <si>
    <t>SaddleBrooke, Unit 17, Lot 106</t>
  </si>
  <si>
    <t>Welcome to this inviting Sonora model in SaddleBrooke with new HVAC unit, new hot water heater, new drip system including controller, new yard lights, new front door, new luxury vinyl, new toilets in both bathrooms, new garage door opener + 2 new remotes &amp; all needed roof repairs have been completed. This home is filled with natural light, plus an open great room &amp; dining area. The kitchen offers ample cabinet &amp; counter space. Shutters throughout add charm and a touch of elegance to each room. The spacious primary suite includes a walk-in closet, ensuite bath, while the guest bedroom &amp; second bath provide comfort for visitors. Enjoy peaceful mornings or evening gatherings in the charming brick courtyard ? a perfect spot to relax &amp; take in the quiet beauty of SaddleBrooke.</t>
  </si>
  <si>
    <t>Saddlebrooke UNit 43 Lot 56 Sec 24-10S-14E 14823 SQ Ft 0.34Ac</t>
  </si>
  <si>
    <t>Desired east rear w/views of Catalina Mountains from extended back patio featuring a huge ramada, covered patio &amp; raised sitting area. Versatile Canyon floor plan checks all the boxes. Open floor plan w/ Great Room, super Kitchen w/views to the outside living area, split bedrooms, wonderful master bedroom w/wood flooring, spacious master bathroom, large walk-in closet w/built ins, separate guest suite, den/office. Added bonus is the large sitting room/library or install a wall bed for additional guests. No need for a casita! Need room for an extended vehicle like a standard pickup. This 3 car garage with epoxy coating will accommodate it &amp; includes space for a workbench. B/I vacuum, water softener, hot water recirculator . Exterior of the house painted &amp; most windows upgraded in 2024</t>
  </si>
  <si>
    <t>New</t>
  </si>
  <si>
    <t>Lot 12 Of Saddlebrooke Unit Forty-Four A, According To The Plat O F Record In The Office Of The Pinal County Recorder, A</t>
  </si>
  <si>
    <t>itchen:   ? Sollid Napa Clear Alder Cabinets w/42'' Uppers  ? 3'' Flat Crown Moulding  ? Quartz Countertops w/Full Height Tile Backsplash  ? Kohler Stainless Steel undermount sink  ? Delta pull-down Faucet in Lumicoat Chrome  ? Decorative Lighting  ? Signature Kitchen Suite Stainless Steel gas appliances   include: Combination Wall Oven w/Speed Cook &amp;   Steam,36'' Pro-Style Wall Hood, Dishwasher, Cooktop,   and 42'' built-in side-by-side Refrigerator  Bathrooms:   ? Upgraded Delta Plumbing Fixtures in Chrome  ? Coordinating Delta Bath Accessories in Chrome  ? Quartz Vanities and Tile Surrounds in Primary Bath   and Bath 2  ? Framed Mirrors  ? Decorative Lighting  Outdoor Living:   ? Expanded Outdoor Living Space</t>
  </si>
  <si>
    <t>Saddlebrooke Unit 17: Lot 108 E1/2 Of Sec 23-10S-14E 9418.0 Sq Ft Cab B Slide 117</t>
  </si>
  <si>
    <t>New adjusted price! Motivated Seller! Pride of ownership abounds in this beautifully maintained turn-key, furnished 2BD/2BA/Den Chaparral model. A perfect for seasonal home! Enjoy a lovely pavered front seating area with mountain views. A custom security door welcomes you inside to a great room with views of the manicured backyard. The great room, kitchen and dining areas provide a comfortable, open place to relax and entertain. A split bedroom plan provides privacy, with the primary bedroom/ensuite in the rear of the home and the guest bedroom and bath in the front of the home. The spacious double-door den provides space for an office, craft room or guest area. Enjoy the private, extended rear covered patio overlooking the backyard with orange, grapefruit, lemon trees, and desert plants!</t>
  </si>
  <si>
    <t>Rose Ridge</t>
  </si>
  <si>
    <t>Saddlebrooke Unit 17: Lot 42 E1/2 Of Sec 23-10S-14E 12042.1 Sq Ft Cab B Slide 117</t>
  </si>
  <si>
    <t>Discover a rare opportunity - beautifully updated Laredo offers exceptional privacy backing to open space and features 320 SF backyard casita built in 2024, perfect for guests or hobbies. Remodeled kitchen with soft-close cabinets, granite, gas range, prep island w/drawers, and a customized pantry. Both primary and guest baths were remodeled in 2024. Outdoor living shines with an extended paver patio, firepit, built-in BBQ, and hot tub. Shutters throughout, added electric fireplace (2021), new Marvin windows 2021, owned solar 10/2022 for low electric bills, HVAC replaced in 2024, washer/dryer 2024, epoxy garage floor 11/2025, and exterior paint 2022. Roof inspected 1/2026 with minor repairs completed. Located in the sought-after SaddleBrooke active adult community? truly move-in ready.</t>
  </si>
  <si>
    <t>Saddlebrooke Unit 17: Lot 103 E1/2 Of Sec 23-10S-14E 7279.4 Sq Ft Cab B Slide 117</t>
  </si>
  <si>
    <t>This popular Topaz model offers spectacular East facing mountain views and sunrises to wake up to in the morning. This 2 bed 2 bath has an ideal floor plan offering a spacious living/dining room area and large family room for entertaining.  Nicely appointed kitchen with loads of storage as well as a separate breakfast area. Spacious primary suite with mountain views/access to patio and includes walk in shower and oversize walk in closet. Spacious 2nd bedroom also with walk in closet. Den/office has built in bookshelves and  could be used as a 3rd bedroom. Extended covered patio leads to a beautiful landscaped yard with BBQ station/fridge. Extended 2 Car Garage has Epoxy Coated Flooring, Utility Sink, Cabinets, Extra Fridge and Washer/Dryer. Premier active lifestyle community!!</t>
  </si>
  <si>
    <t>Saddlebrooke Unit 14 Lot 103</t>
  </si>
  <si>
    <t>Beautifully appointed Ponderosa offers 2,309 SF with 3 bedrooms and 2 baths on a private cul-de-sac lot backing to desert open space. Enjoy unobstructed mountain views from the back patio, screened Arizona room, and relaxing hot tub. The kitchen shines with maple cabinets with pullouts, live-edge granite, island, and newer stainless appliances (2021-2023). Family room features a cozy gas fireplace, while plantation shutters and ceramic tile flow throughout. The spacious primary suite includes a sitting area, patio access, and a remodeled bath with quartz counters, tile shower, and soaking tub. A bright guest room, updated guest bath, fully fenced patio, owned solar, fruit trees, irrigation system, and versatile garage options complete this exceptional home.</t>
  </si>
  <si>
    <t>Canyon Brook</t>
  </si>
  <si>
    <t>Saddlebrooke Unit 17 Lot 31</t>
  </si>
  <si>
    <t>Experience the best of Saddlebrooke living in this spacious 3-bedroom, 2-bath home with stunning Catalina Mountain views. Featuring cathedral ceilings and a large primary suite with a sitting area, walk-in closet, soaker tub, and separate shower. The open layout includes a formal dining area, family room, with beautiful mountain views,  and a living room with a wet bar and breakfast nook?perfect for entertaining. Relax on the front patio or enjoy the quiet privacy of your backyard. Just minutes from Catalina State Park and all the Saddlebrooke amenities?golf, pickleball, swimming, fitness, and more.</t>
  </si>
  <si>
    <t>SaddleBrooke Unit 17, Lot 137 E 1/2 of Sec 23-10s 14e 8782.3 SqFt CabB slide 117</t>
  </si>
  <si>
    <t>Inspired by Old Spanish &amp; Western Interior design this exceptional whole house remodel reflects custom craftmanship bringing the Old World into the 21st century. Featured design elements include solid wood handcrafted accents such as 12' oak &amp; mesquite wood bar, custom wood beams, Turkish antique wooden doors, stack stone, Luxury vinyl plank flooring, new plush carpet. Kitchen remodel includes beautiful granite, travertine back splash, Talavera inset, stainless-steel appliances.  Sellers have spent countless hours &amp; funds replacing those hidden home components...plumbing, sewer lines, windows ,mechanicals and roof. Additionally, all exterior walls &amp; raised garden beds have been stucco &amp; painted. Not lack of attention has been given to the awesome exterior of this wonderful home...</t>
  </si>
  <si>
    <t>Saddlebrooke Unit 17: Lot 67 E 1/2 OF Sec 23-10S-14E 10188.1 Sq Ft Cab B Slide 117</t>
  </si>
  <si>
    <t>Remodeled Sedona on corner lot w/Mountain Views, Designer Kitchen, Spa Bath &amp; Spacious Casita. Stunning remodel of this desirable 2BR/2BA/Den great room floor plan + casita and brand-new roof underlayment. Enjoy mountain views from two inviting outdoor spaces: front pavered courtyard w/custom tile accents and the expanded covered back patio w/cedar-lined ceiling &amp; rugged reverse terracotta tile. Inside, the expanded custom kitchen flows seamlessly into the former nook, featuring custom cabinetry w/pullouts, gas cooktop w/pot filler, Dacor oven &amp; microwave (both convection), and built-in Brew Express coffee system. Master bath remodel showcases expanded spa-style shower w/glass pivot door and elegant floor-to-ceiling tile. Guests will enjoy the 300+ sq ft casita w/vaulted beamed ceiling,</t>
  </si>
  <si>
    <t>Saddlebrooke Unit 14 Lot 40 Sec 23-10s-14E</t>
  </si>
  <si>
    <t>Welcome to your dream home. Freshly painted inside and new roof underlayment and HVAC system installed in 2023. Unobstructed mountain views from this highly upgraded and remodeled Spanish style home. Home features San Felipe Satillo tile throughout living areas and wood beam accents. This home is perfect for entertaining -kitchen opens to the dining nook and family room. Kitchen has remarkable lofty ceilings with recessed lights and leathered granite countertops and tumbled travertine backsplashes. The chef in the family will enjoy the 5 burner gas cooktop and stainless steel appliances. The family room boasts a beautifully crafted fireplace with a rich wood mantle. The nearby living room serves as the heart of the home and offers easy access to other key living areas through its archways</t>
  </si>
  <si>
    <t>Rose Crest</t>
  </si>
  <si>
    <t>Saddlebrooke Unit 14 Lot 77 Cab B Slide 131</t>
  </si>
  <si>
    <t>Tucked into a quiet cul-de-sac on an elevated lot, this beautiful Estancia model with its sought-after detached casita offers a rare blend of elegance, space, and serenity. Surrounded by open common areas &amp; showcasing a prized north/south orientation, the home captures stunning views of the Catalina Mountains.    Inside the main residence, you'll find soaring cathedral ceilings, built-in shelving, ceramic tile throughout (no carpet), classic shutters, a cozy gas fireplace, a versatile den, and a formal dining room with a wine cooler just steps away. The chef-inspired kitchen is both stylish and functional, featuring marble countertops, a generous island, high-end appliances, and a charming garden window overlooking the desert often visited by birds, deer &amp; rabbits.  The den can easily</t>
  </si>
  <si>
    <t>Alder</t>
  </si>
  <si>
    <t>Saddlebrooke Unit 43 Lot 107 Sec 24-10S-14E 12814 Sq Ft 0.29 Ac</t>
  </si>
  <si>
    <t>Stunning Bacara Model home on a corner/golf course lot! Located on the 9th tee box. Remote controlled patio blinds. Desert landscaping, paver/circular driveway, &amp; 4-car garage. An open &amp; airy layout with solar tubes &amp; recessed lighting, wood-style tile flooring, &amp; surround sound speakers throughout. Remote controlled completely retractable slider doors. Living area features a stylish media niche &amp; dry bar! A convenient powder room. The modern kitchen has a largest center island, SS appliances, beautifully crafted cabinetry, tile backsplash, granite counters, walk-in pantry, &amp; butler's service area. Spacious den provides flexible living space for an office! The primary suite offers direct backyard access, walk-in closet, &amp; lavish en-suite w/dual sinks, jetted tub, &amp; glass-enclosed shower</t>
  </si>
  <si>
    <t>SADDLEBROOKE UNIT 14 LOT 47</t>
  </si>
  <si>
    <t>Updated Sonora Model with Mountain Views in Saddlebrooke. Open floor plan with gorgeous bamboo floors. Great room, dining area &amp; patios Kitchen: quartz counters, tile backsplash, stainless steel appliances, ample storage. Owner's suite: walk-in shower, quartz counters, soft-close cabinetry, walk-in closet. Guest bedroom with French doors currently used as a den. Hall bath: quartz counters, soft-close cabinet, walk-in shower. Laundry room with washer/dryer &amp; storage. 2-car garage with cabinets &amp; 2024 water heater. Plantation shutters throughout. Outdoor living: covered &amp; extended patio, landscaped yard, mountain views, natural desert backdrop.</t>
  </si>
  <si>
    <t>Rocky Mesa</t>
  </si>
  <si>
    <t>Saddlebrooke Unit 14 Lot 171</t>
  </si>
  <si>
    <t>Welcome to this highly sought-after Sundance model with private casita, located in the desirable SaddleBrooke 55+ community. This exceptional home offers 4 BD/3.5BA, plus den, with 3,276 sq. ft. in the main residence and an additional 300 sq. ft. casita, perfect for guests seeking privacy and comfort. Upon entry, you are greeted by formal living and dining spaces that flow seamlessly into an inviting open-concept family room. The chef's kitchen features granite countertops, stainless steel appliances, beverage fridge, breakfast bar, and a sunny breakfast nook, ideal for entertaining or everyday living. The spacious owner's suite is conveniently located on the main level and showcases a spa-like bath with dual vanities, a soaking tub, walk-in shower, and generous walk-in closet.</t>
  </si>
  <si>
    <t>SaddleBrooke Unit 14 Lot 50</t>
  </si>
  <si>
    <t>35854 S. Wind Crest Drive is a rare SaddleBrooke property that sits back from the street on a large corner lot with spacious gardens &amp; mountain views, surrounded by a hedge that affords total privacy. The property consists of a main house with a Great Room with French doors to adjacent covered sun room, dining room, kitchen with stainless steel appliances, granite counter tops, a large flex room that can be either a den, office or bedroom, a large master bedroom with French doors to patio &amp; two full bathrooms, in addition to a separate casita, entered from across the front courtyard, with a large bedroom, kitchenette &amp; full bathroom.</t>
  </si>
  <si>
    <t>Box Elder</t>
  </si>
  <si>
    <t>SaddleBrooke Unit 43 Lot 73 Sec 24-10S-14E  14529 Sq Ft 0.33 Ac</t>
  </si>
  <si>
    <t>This extensively upgraded Sabino model is ready for you to move right in. A welcoming courtyard leads you inside, where you'll find striking accent colors and contemporary décor throughout. The spacious great room features a stacked stone gas fireplace?perfect for chilly evenings. The open kitchen boasts premium stainless appliances and advanced storage solutions, including two pull-out pantry cabinets and a ''lazy Charlie'' for easy access to a large corner cabinet. Adjacent to the kitchen, the Morning Room offers versatile functionality and overlooks the courtyard.   The sophisticated accent colors extend into the primary suite, which boasts a bay window creating a comfortable sitting area with scenic views. The updated en-suite bathroom is tastefully designed with abundant cabinetry,</t>
  </si>
  <si>
    <t>Lemon Rock</t>
  </si>
  <si>
    <t>Lot 093 SaddleBrooke Unit Forty-Five Cab G Sld 158 Secs 13 &amp; 24 10S - 14E</t>
  </si>
  <si>
    <t>2015 Upgraded Sonoran with Guest House &amp; Mountain Views located on Cul-de-Sac Lot. Travertine sidewalk leads to entry gate. Travertine Courtyard has Mountain Views. Guest House has Closet &amp; Bathroom with Shower. Circular Foyer leads to Great Room with Gas Fireplace &amp; Slider to Patio. Dining Area with Slider to Patio open to Kitchen with Granite Counters, Stainless Steel Appliances, Gas Cooktop, Walk-in Butler's Pantry &amp; Wet Bar Area. Dining Room &amp; Den has Built-in Office System. Powder Room. Owner's Suite has Slider to Patio. Ensuite has Walk-in Shower, Soak Tub, &amp; Walk-in Closet. Guest Bedroom with Closet &amp; Ensuite Bathroom with Shower. Plantation Shutters. Laundry Room has W/D, Sink &amp; Cabinets. 3 Car Garage with Cabinets. Covered Travertine Patio with 3 Electric Shades &amp; Mountain Views!</t>
  </si>
  <si>
    <t>Travertine</t>
  </si>
  <si>
    <t>Oracle</t>
  </si>
  <si>
    <t>Lot 33 Of Saddlebrooke Ranch Unit Eighteen B. Recorded in Fee No 2020-133456</t>
  </si>
  <si>
    <t>This home features an LG slide-in gas package, encompassing a microwave, dishwasher, convection slide-in range, and refrigerator all finished in stainless steel. The kitchen boasts solid Madison Clear Alder cabinets with 42' upper units. Two-inch shaker crown molding adorns the kitchen. A Delta pull-down faucet in Champagne Bronze is installed, complemented by quartz countertops and a full-height tile backsplash.    The bathrooms feature upgraded Delta plumbing fixtures and coordinating chrome bath accessories. Quartz vanities and tile surrounds are present in the Primary bath and Bath 2. Decorative lighting fixtures have been installed. The Powder Room includes a pedestal sink.</t>
  </si>
  <si>
    <t>Saddlebrooke Ranch</t>
  </si>
  <si>
    <t>Cattle</t>
  </si>
  <si>
    <t>Lot 58 Of Saddlebrooke Ranch Unit Six</t>
  </si>
  <si>
    <t>Luxury Living at Its Finest -</t>
  </si>
  <si>
    <t>Lot 31 Of Saddlebrooke Ranch Unit Six According To The Plat Of Re Cord In The Office Of The Pinal County Recorder, Ariz</t>
  </si>
  <si>
    <t>A beautiful and exquisitely located 2201 Sq. Ft. Exterior Design B Pavona Model that backs up to unimpeded desert view magnificent desert sunsets!  Structurally this home has 2-Bedroom En-Suites; Powder Room; Great room; Dining Area; Spacious Den of Office w/French Doors; Grand Kitchen Island; Butler's Pantry; Owner's Entry Valet with Cabinets; Walk-up Dry Bar; Generous Walk-In Closest in Master Suite; Master Bath 42'' X 60'' Shower w/Built-In Seat; Walk-In Closet in 2nd Bedroom; Large Laundry Room; Deep (Extended) 2-Car + Golf Cart Garage w/side garage door; Extended Master Suite; 181 Sq. Ft. of Covered Patio Space; 9' and 11' Ceilings;  Elevation B Extended Porch and Entry; and Optional large Window in Dining Area. The Backyard beyond the incredible desert views/sunsets has a BBQ Island</t>
  </si>
  <si>
    <t>Quartzite</t>
  </si>
  <si>
    <t>LOT 59 OF SADDLEBROOKE RANCH UNIT SEVENTEEN. RECORDED IN FEE NO. 2019-036607</t>
  </si>
  <si>
    <t>Welcome to one of AZ's premier active adult communities. This home is a total of 2,353 sq ft with a 4' extension to front of 3 car garage and a 2' extension at Primary suite and closet. The gourmet kitchen features quartz countertops, elegant LG stainless steel gas appliance package that includes: convection oven, cooktop, microwave and dishwasher.  Step into the spacious great room, perfect for entertaining or quiet evenings at home. The primary suite features a Curbless shower, and generous closet space. With a split floor plan designed for ultimate privacy, this home is truly a must-see! Don't miss the opportunity to make it yours.</t>
  </si>
  <si>
    <t>Sand Hurst</t>
  </si>
  <si>
    <t>Lot 10 Of Saddlebrooke Ranch Unit Twenty-One ''A'' According To The Plat Of Record In The Office Of The Pinal County Rec</t>
  </si>
  <si>
    <t>This stunning Viva model truly has it all! Nestled in the newest Villa section, this 4-year-old home offers modern &amp; luxurious upgrades. Step inside to discover a highly upgraded villa with a contemporary kitchen featuring Restoration Hardware designs throughout. The chef's kitchen features an oversized farmhouse apron sink, wall ovens/microwave, a high-performance cooktop, quartz countertops &amp; large island. Spacious den/office. The walk-in curbless shower is luxurious. Garage has an epoxy floor &amp; a tankless water heater. The large, extended courtyard features a covered patio and overlooks a lush, common grass area, creating an outdoor retreat with views of the Catalina Mountains and stunning sunsets. Don't miss this opportunity to live the dream at SaddleBrooke Ranch!</t>
  </si>
  <si>
    <t>Arroyo Grande</t>
  </si>
  <si>
    <t>LOT 006 OF SADDLEBROOKE RANCH UNIT SEVEN IN SEC 05-10S-14E &amp; A PORTION OF SEC 08-10S-14E CAB G SLD 183 12322 SQ FT .28</t>
  </si>
  <si>
    <t>Rare &amp; Highly Sought-After Luxury Montera Floor Plan with Unmatched Views and Resort-Style Living. Experience the perfect balance of luxury, functionality, and desert serenity in this exceptional home, thoughtfully designed for both intimate everyday living and grand-scale entertaining. Nestled on a premium lot overlooking the 12th hole of a scenic golf course with breathtaking views of the Santa Catalina Mountains, this rare model offers a lifestyle of comfort, elegance, and privacy. Step into the expansive great room featuring a cozy gas fireplace and a seamless connection to the chef's kitchen, fully equipped with high-end appliances, a 5-burner gas cooktop, a spacious island, Butler's Pantry, and a large walk-in pantry. The adjacent dedicated dining area and Morning Room provide</t>
  </si>
  <si>
    <t>Slate</t>
  </si>
  <si>
    <t>Lot 29 Saddlebrooke Ranch Unit Fourteen A, Per 2016-000614, In Se Ction 5 Township 10 South Range 14 East, 4315 Square</t>
  </si>
  <si>
    <t>Experience refined desert living in this beautifully upgraded Viva Villa, where unobstructed views of open desert &amp; distant mountains create a serene backdrop. The designer kitchen is a showpiece, featuring Cambria quartz countertops, upgraded cabinetry &amp; hardware, and elegant under-cabinet &amp; pendant lighting. A custom media center anchors a spacious Great Room, enhanced by dimmer switches to set the perfect ambiance. The primary suite offers a luxurious retreat w/walk-in custom closet, separate linen closet, &amp; a large curbless shower. Step outside to a fully pavered extended patio w/solar screens-ideal for enjoying the desert vistas. Add to that a well-appointed laundry room w/built-in cabinets &amp; hang bar, and a finished garage w/HVAC, epoxy flooring, water softener, utility sink.  Hurry</t>
  </si>
  <si>
    <t>Shale</t>
  </si>
  <si>
    <t>LOT 52 SADDLEBROOKE RANCH UNIT 14A, PER 2016-000614, IN SECTIONS 4 AND 5 TOWNSHIP 10S RANGE 14E, 4042 SQ FT 0.09 ACRES</t>
  </si>
  <si>
    <t>This barely-lived-in Lago villa offers extra square footage and impressive designer touches. Most villas don't have surround sound speakers in the ceiling, cabinet skins on the island, or a built-in bar area, but you'll find them all here, and so much more! Other luxurious touches include ceramic tile floors throughout, plantation shutters, upgraded light fixtures, and striking 8' doors that enhance the spacious feel. The chef's kitchen overlooks the living room and offers GE Slate appliances, over and under-cabinet lighting, and a gas range. The dining area opens to the courtyard, which has covered and open-air areas, motorized screens, and plenty of lush greenery to give you privacy. Retreat to your primary bedroom suite where you'll find a spacious bedroom, dual vanities, walk-in</t>
  </si>
  <si>
    <t>Talc</t>
  </si>
  <si>
    <t>Lot 92 Of Saddlebrooke Ranch Unit Eighteen B, According To The Pl At Of Record In The Office Of The Pinal County Record</t>
  </si>
  <si>
    <t>Why wait to build when you can move into your dream home today! This Avalon is a designer home with all the bells and whistles. Situated on a terrific lot backing to a common area with Catalina Mountain views including Mt Lemmon. Custom finishes in a warm color palette give the home a relaxed and comfortable feel. You are greeted by a brick paver walkway and driveway with a wonderful gated front covered patio and custom wrought iron front door.  Home has upgraded French oak LVP flooring in main areas and bedrooms.   Porcelain tile flooring is found in foyer and baths, as well as lighted mirrors.  There are wallpaper accents and decorative touches throughout.  Chef's kitchen w/beautiful, stained alder cabinets, high end quartz countertops, custom pendant lights, and professional Wolf</t>
  </si>
  <si>
    <t>Ankole</t>
  </si>
  <si>
    <t>Lot 5 Of Saddlebrooke Ranch Unit Four A In Sec 08-10S-14E Recorde D Plat Fee 2011-033757, 10589.59 Square Ft, 0.24 Acre</t>
  </si>
  <si>
    <t>Lovely Verano Model with Casita with breathtaking views.</t>
  </si>
  <si>
    <t>Bayberry</t>
  </si>
  <si>
    <t>LOT 087 OF SADDLEBROOKE RANCH UNIT SEVEN IN SEC 05-10S-14E &amp; A PORTION OF SEC 08-10S-14E CAB G SLD 183 10122 SQ FT .23</t>
  </si>
  <si>
    <t>This spectacular Hermosa model exudes a stunning and sophisticated vibe. Completed in 2020, this two-bedroom plus den floorplan sits on an oversized lot and features a gorgeous swimming pool with solar heating along with a separate free-standing hot tub. The chef's kitchen offers a large island, quartz countertops, designer backsplash, and stainless-steel GE Profile appliances. The open kitchen/great room design is ideal for entertaining, enhanced by upgraded custom light fixtures throughout. The expansive primary suite includes a double vanity, luxurious walk-in shower, and generous walk-in closet. The split guest suite features its own en-suite bath?perfect for privacy. The spacious den is ideal for an office, craft room, or additional TV room.</t>
  </si>
  <si>
    <t>Marble</t>
  </si>
  <si>
    <t>Lot 127 Of Saddlebrooke Ranch Unit Seventeen, According To The Pl At Of Record In The Office Of The Pinal County Record</t>
  </si>
  <si>
    <t>Highly upgraded 2021 Fresco model with 2026 sq ft and over $148K in after-build upgrades.  Kitchen features an entertainer's island with quartz countertops, Blanco sink, above and below cabinet lighting, custom mosaic tile backsplash wall and walk-in pantry.  2-bedrooms with ensuites, along with a den converted to a 3rd bedroom with custom barndoors and built in custom closet.  Large walk-in custom closet in the Master bedroom.  Master bath has a sizable walk-in shower with built-in seat.  Substantial laundry room with custom built in storage cabinets.  Basswood Plantation shutters, crown molding, upgraded ceiling fans and wood-look ceramic tile in every room.  No carpeting or linoleum.  Hunter Douglas motorized shades at extra-large sliding glass door.  Large 3-car garage with 4 ft</t>
  </si>
  <si>
    <t>Happy Jack</t>
  </si>
  <si>
    <t>SaddleBrooke Ranch Lot 70</t>
  </si>
  <si>
    <t>Experience resort-style living in SaddleBrooke Ranch in this expanded 2,962sf Vienta model, perfectly situated on a premium corner lot w/stunning Catalina Mountain &amp; Mt. Lemmon views. This 3BR/3.5BA home, plus den &amp; versatile hobby room/artist studio, is packed w/upgrades &amp; designed for comfort &amp; elegance. Gourmet kitchen features birch soft-close cabinetry, quartz countertops, matte gray appliances &amp; 5-burner gas cooktop. Spacious angled island has Blanco sink &amp; bar seating creating the perfect gathering space. Beautiful 18'' tile flooring extends throughout the home. Each bedroom offers a private en-suite bath &amp; walk-in shower. Garage includes utility sink, water softening system, service door &amp; epoxy flooring. Professionally landscaped fully fenced yard w/view fencing &amp; side yard</t>
  </si>
  <si>
    <t>Hildogo</t>
  </si>
  <si>
    <t>Lot 17 Of Saddlebrooke Ranch Unit Sixteen ''A'' In Plat Fee 2014-01 7185 In Sec 04-10S-14E 7640 Sq Ft 0.18 Ac</t>
  </si>
  <si>
    <t>Majestic Catalina mountain views steal the spotlight at this elevated 1,869 sq. ft. DOLCE Model?nestled within SaddleBrooke Ranch. From the moment you step inside, soaring 11-foot ceilings frame wide-open vistas that bring Mt Lemmon in! This beautiful 2-bedroom, 2.5-bath home features an open-concept layout. Den/office could be converted to a 3rd bedroom.  The Great Room transitions seamlessly into a beautiful Kitchen, adorned with a decorative backsplash, sleek quartz counters, stainless steel appliances, and an inviting island with counter seating. Both bedrooms offer private en-suite baths for comfort and relaxation. The Primary Suite features a walk-in closet and a spa-inspired bath with dual sinks, accompanied by a luxurious tile-surround walk-in shower with a coordinated backsplash.</t>
  </si>
  <si>
    <t>One Horse</t>
  </si>
  <si>
    <t>Lot 17 Saddlebrooke Ranch Unit Sixteen B, In Plat Fee 2016-077112 , In Section 04 Township 10 South Range 14 East, 7771</t>
  </si>
  <si>
    <t>Nestled in the heart of SaddleBrooke Ranch, this stunning Dolce floor plan, completed in 2017, offers a perfect blend of tranquility, space, and modern comfort. Thoughtfully designed with upgraded cabinetry throughout, this home boasts a chef's kitchen with granite countertops and plenty of cabinet space?ideal for effortless cooking and entertaining.  The spacious great room, featuring high ceilings, seamlessly extends to a covered travertine patio, creating a perfect indoor-outdoor living experience. Step into your fully landscaped backyard, offering ample space to relax and enjoy the beautiful Southern Arizona weather.  The expansive owner's suite provides a peaceful retreat with a private bath, walk-in shower, and generous closet space.</t>
  </si>
  <si>
    <t>LOT 42 SADDLEBROOKE RANCH UNIT SIXTEEN B, IN PLAT FEE 2016-077112, IN SEC 04 TOWN 10 S RANGE 14 E, 7135 SQ FT 0.16 ACRE</t>
  </si>
  <si>
    <t>Newly painted interior! This Alora model home in Saddlebrooke Ranch is overloaded with add-ons and upgrades including a home audio system, central vacuum, and security system. And with a private back yard, it will be your perfect retreat or entertaining space. The focal point of the chef's kitchen is the large island with a waterfall quartz countertop. It also features a convection wall oven, gas cooktop, stainless vent hood, walk-in pantry, and tile backsplash - perfect for all your culinary adventures. The primary suite is practically its own wing of the house and has a curbless custom-tiled shower and a custom organizing system in the huge walk-in closet. The guest suite is on the opposite end of the home and is filled with light. It has its own bathroom with custom-tiled shower. The</t>
  </si>
  <si>
    <t>LOT 28 OF SADDLEBROOKE RANCH UNIT SIX ACCORDING TO THE PLAT OF RECORD IN THE OFFICE OF THE PINAL COUNTY...See Docs</t>
  </si>
  <si>
    <t>Welcome to this luxurious and contemporary Tesoro residence, offering unparalleled privacy and stunning, unobstructed views of the Tortolita Mountains, desert landscape, and picturesque sunsets. Designed with a refined attention to detail, this home features LVP and tile flooring, elevated light fixtures, quartz countertops, and stainless steel appliances. A standout feature is the wall of collapsing slider windows that seamlessly integrate the indoor space with the paver patio and thoughtfully landscaped backyard.  The chef's kitchen is equipped with a GE Monogram gas cooktop, stainless steel hood, butler's pantry, and walk-in pantry. The bedroom suites are strategically located at opposite ends of the home to ensure maximum privacy. The primary suite is expansive, with large windows</t>
  </si>
  <si>
    <t>Lot 38 Saddlebrooke Ranch Unit Two Cab G - Sld 040 Secs 5 10S-14E</t>
  </si>
  <si>
    <t>This premier Cortez model has an open concept floor plan that connects the living, dining and kitchen areas. Expansive windows throughout, bathe the interiors in natural light, while high quality finishes and materials add a touch of modern southwestern sophistication. The great room with elevated ceilings and tile floors, complement the spacious kitchen. The two large split master en-suites provide privacy, along with a versatile den, and powder room. The 2.5 car large garage has room for a golf cart or additional storage. The serene backyard provides a spacious covered patio, therapeutic spa, complete with fruit trees and desert foliage. Looking out onto the 18th fairway, but far from the cart path and other homes, your desert oasis is only a few minutes from all the SBR amenities.</t>
  </si>
  <si>
    <t>Lot 12 Of Saddlebrooke Ranch Unit Forty Six B Recorded In Plat Fe E 2016-038211 Located In Section 05, Township 10S, Ra</t>
  </si>
  <si>
    <t>Tesoro floor plan on a cul-de-sac across from State land. Two bedroom plus den with 2 1/2 baths, garage includes 4' extension and golf cart garage, built in 2018. The front offers stacked stone exterior, courtyard, and views of the Catalina Mountains. The interior offers 8' doors and tile flooring throughout. Gourmet kitchen layout with gas cooktop, dove-tail soft-close drawers. The great room has 11' ceilings and crown molding. Built-in cabinets at den and entertainment center. Expanded walk-in closet at master with closet organizers. Gorgeous, fully walled backyard with gas fireplace and extended pergola. Epoxy garage floor. Fridge, washer, dryer included! Check out all the facilities, clubs, and activities that the gated community of Saddlebrooke Ranch has to offe</t>
  </si>
  <si>
    <t>Gulch Pass</t>
  </si>
  <si>
    <t>Lot 67 of Saddlebrooke Ranch Unit 2 in CAB G-SLD 040</t>
  </si>
  <si>
    <t>Explore this beautifully custom designed private oasis offering the ultimate in comfort and elegance. Luxurious secluded resort style backyard has expansive pergolas providing shaded retreats while a sparkling pool and spa invite you to unwind in refreshing coolness.  Inside the custom-designed kitchen features Sub-Zero, Bosch, &amp; Wolf appliances.  The buffet breakfast bar is ideal for effortless entertaining, seamlessly connecting to the spacious dining area &amp; great room. Adjacent family room can be made cozy by the fire or, anchored by a dramatic window wall, opens up gracefully to the rear patio &amp; lush yard beyond. A spa-inspired bathroom showcases a curbless shower &amp; dual custom walk-in closets.  Thoughtful upgrades enhance every corner of the home!  Come see true luxury for yourself!</t>
  </si>
  <si>
    <t>Arroyo Vista</t>
  </si>
  <si>
    <t>Lot 44 Saddlebrooke Ranch Unit One Cab G - Sld 039 Secs 5, 8, 9 1 0S-14E</t>
  </si>
  <si>
    <t>This home showcases the sought-after Sola floor plan?a 2-bedroom, 2-bath retreat with gorgeous, expansive views of Mt. Lemmon. The screened porch is the perfect place to relax and take in the scenery, while the backyard is enhanced with a natural gas fire pit, ideal for enjoying cool desert evenings. Inside, the home features bright, low-maintenance tile flooring throughout, plantation shutters in the bedrooms, and a laundry room with additional storage. The garage is thoughtfully finished with built-in lockers for added organization. Just minutes from SaddleBrooke Ranch amenities, this home offers comfort, functionality, and breathtaking mountain vistas?an exceptional desert retreat you won't want to miss.</t>
  </si>
  <si>
    <t>Lot 35 Of Saddlebrooke Ranch Unit Six According To The Plat Of Re Cord In The Office Of The Pinal County Recorder, Ariz</t>
  </si>
  <si>
    <t>A Richly Upgraded Tesoro Model ideally located right on the desert with incredible sunset &amp; mountain views! This home includes 2-Bedroom En-Suite(s); Large Family Room with built-in Wet Bar and Glass Sliding Wall opening to almost 600 SF of Covered travertine patio w/Custom-Built Fireplace and Rolling Patio Screens for a fantastic indoor-outdoor experience; An Elegant Kitchen and Dining area with grand Island, upgraded Monogram appliances, Tall Cabinets, Butler's Pantry w/Walk-In Pantry; Spacious Enlarged Den; Entry Owner's Valet w/Base Cabinets; large Walk-In Coat Closet; large Laundry Room; Primary Bedroom includes (2) Walk-In Closets, Walk-in Shower w/Built-In Seat and Dual Sinks and vanity seat; a 2nd Bedroom En-Suite w/Walk-In Closet and private bath with a Shower/Tub Combo;</t>
  </si>
  <si>
    <t>Juniper</t>
  </si>
  <si>
    <t>Lot 56 Of Saddlebrooke Ranch Unit Ten According To The Plat Of Re Cord In The Office Of The Pinal County Recorder, Ariz</t>
  </si>
  <si>
    <t>Stunning, better-than-new 2019 Alora model offering 2,087 sq ft of refined living. The chef's kitchen features an expansive island, granite countertops, premium appliances, and upgraded soft-close cabinets and drawers in a beautiful gray finish with convenient pull-outs. Enjoy an extended dining area and a den perfect for work or relaxation. Ceramic tile flooring flows throughout, complemented by built-in speakers, plantation shutters, and a soothing neutral palette that enhances the bright, open feel.    The extended 2.5-stall garage includes epoxy floors, a water softener, tankless water heater, pony wall, and a side entry door. Outside, the fully fenced yard offers electric shades, a brick paver patio, and lush, easy-care landscaping.</t>
  </si>
  <si>
    <t>Lot 95 Of Saddlebrooke Ranch Unit Eighteen B, According To The Pl At Of Record In The Office Of The Pinal County Recorde</t>
  </si>
  <si>
    <t>Slow down your pace with luxury living at SaddleBrooke Ranch, one of Arizona's premier active adult communities just north of Tucson. This beautifully upgraded 2-bedroom, 2.5-bath Vienta model home with a den offers a thoughtful split floor plan, elegant finishes, and custom wood blinds throughout. At the heart of the home is the open-concept kitchen, featuring an expansive island, travertine tile backsplash, and stainless appliances including a gas cooktop and wall oven/microwave combo. The kitchen opens to spacious dining and living areas, perfect for entertaining. Each bedroom has its own en suite, ideal for privacy and hosting guests or family members. Wired internet in the great room, den, and second bedroom for a fast reliable connection. The primary suite is a relaxing retreat with</t>
  </si>
  <si>
    <t>Egret</t>
  </si>
  <si>
    <t>Lot 55 of Saddlebrooke Ranch Unit Four A in Sec 08-10S-14E recorded plat fee 2011-033757 9335.06 sq ft</t>
  </si>
  <si>
    <t>Privacy with  view! Arizona resort living in this Saddlebrooke Ranch home on the 13 green, with sweeping golf &amp; mountain views. Enter through a gated courtyard to a well appointed home featuring 2 bedrooms, a versatile den, 2.5 bathrooms &amp; a 2.5-car garage. Elevated ceilings &amp; central vac throughout.  French doors on the den lead to a brick paver front patio with Catalina Mountain views. The gourmet kitchen is a chef's dream, with granite countertops, a center island &amp; sleek SS appliances. An open-concept living area boasts a gas fireplace and expansive center opening sliding door that leads to a large covered back patio with panoramic views of the Tortolita Mountains and the golf course. A spacious laundry room includes a sink &amp; oversized W/D. Rare opportunity in Saddlebrooke Ranch!</t>
  </si>
  <si>
    <t>LOT 3 OF SADDLEBROOKE RANCH UNIT EIGHTEEN B</t>
  </si>
  <si>
    <t>Stunning Alora Plan featuring beautifully landscaped front and rear yards and thoughtful upgrades throughout. Enjoy a 4' extended 2-car garage with dedicated golf cart space, plus a 3' extension at the primary bath, walk-in closet, and den for added comfort. The backyard is designed for relaxation with a covered patio, BBQ stub, and seamless 6'' rain gutters around the entire home. The upgraded kitchen shines with Maverick Arctic White soft-close cabinetry, quartz countertops, full-height backsplash, Blanco granite undermount sink, and Delta stainless pull-down faucet. Premium LG stainless steel gas appliance package and refrigerator included.</t>
  </si>
  <si>
    <t>Lot 50 Of Saddlebrooke Ranch Unit Sixteen ''A'' In Plat Fee 2014-01 7185 In Sec 04 0.19 Ac</t>
  </si>
  <si>
    <t>STRIKING CONTEMPORARY in the Premier Active Adult Community of SaddleBrooke Ranch affords a sleek design and resort-style living. This 2BD/2.5BA +Den (2,129 sq ft) home greets you with a paver walkway, stacked stone façade and custom iron entry door on enclosed porch. This elegant home lends a spacious feel boasting high ceilings plus crisp white shutters and wood-look ceramic plank tile throughout (no carpet). Inviting foyer flows effortlessly to a private Guest Suite, Den with glass paneled doors, powder room and open concept Gathering room in which to relax or entertain. This modern, open living space is flanked by a spacious Dining room with side buffet and fabulous Chef's kitchen featuring curved island, Quartz counters with glass tiled backsplash, SS appliances including in-wall</t>
  </si>
  <si>
    <t>LOT 42 SADDLEBROOKE RANCH UNIT ONE CAB G - SLD 039 SECS 5, 8, 9 10S-14E</t>
  </si>
  <si>
    <t>Discover refined luxury desert living with this inviting Artesa model in this highly sought-after active adult community.  This residence is positioned to capture one of the best unobstructed, panoramic mountain views in SaddleBrooke Ranch!  You'll love the privacy and spectacular Arizona sunsets! Inside, you'll find a light and airy open floor plan, with a gas fireplace, neutral paint palette, creating a warm and welcoming atmosphere. Plantation-style shutters throughout add timeless elegance and allow you to control natural light with ease. The living areas flow seamlessly, offering the perfect balance of relaxation and entertainment space. The home is move-in ready and designed for low-maintenance living.</t>
  </si>
  <si>
    <t>Acadia</t>
  </si>
  <si>
    <t>Lot 198 Of Saddlebrooke Ranch Unit Nineteen, According To The Pla T Of Record In The Office Of The County Recorder Of P</t>
  </si>
  <si>
    <t>Only a 1-year-old 2816 Sq. FT. Mira Model w/Casita that is ideally located tight on the desert! This near-new home has 3-Bedroom En- Suites (includes Casita); Powder Room, Spacious Den /French Doors; Great Room; Dining Area; Large Kitchen Island w/Walk-In Pantry; Spacious Den; Master Suite w/Walk-In in Closet; Laundry Room; 9', 10', &amp; 11' Ceiling Heights; Deep 2-Car Garage w/Storage/Gold Cart Garage; 360 Sq. Ft. Covered Outdoor Living Space; Optional Detached Casita with Portico and Courtyard; and Optional Front Courtyard Wall. Current owner spent a small fortune upgrading this home with the highest quality counters, flooring, appliances, lighting, Built-ins in Closets, etc. that totaled over $300,000!</t>
  </si>
  <si>
    <t>Lot 34 Of Saddlebrooke Ranch Unit Seventeen, According To The Plat Of Record In The Office Of The Pinal County Recorder</t>
  </si>
  <si>
    <t>Stunning Solstice Model with Private Pool in SaddleBrooke Ranch!</t>
  </si>
  <si>
    <t>Lot 47 Of Saddlebrooke Ranch Unit Four B In Plat Fee In 2015-0067 31 In Sec 08-10S-14E 7329 Sq Ft 0.17 Ac</t>
  </si>
  <si>
    <t>Highly upgraded 3&amp;#8209;bedroom Fresco model blends style &amp; thoughtful enhancements. Kitchen features premier upgrades and walk-in pantry. Great Room features Viga beams &amp; a dining area w/ built-in buffet/bar. Primary suite includes a 2' extension, French doors to spa&amp;#8209;like bath, &amp; custom organizers in walk&amp;#8209;in closet. Guests will appreciate the second bedrm w/en-suite bath, while the third bedrm offers versatility as a den or office. Well&amp;#8209;appointed laundry w/ new washer/dryer, utility sink, &amp; storage, Garage w/golf cart bay. Outdoor living shines w/a covered patio w/rolling screens, cozy firepit, &amp; side and front patios that capture beautiful mountain views creating a serene backdrop. Ideally located near community garden &amp; nature trails. Plus the beautiful resort style ac</t>
  </si>
  <si>
    <t>Skyview</t>
  </si>
  <si>
    <t>Lot 126 Of Saddlebrooke Ranch Unit Nineteen, According To The Pla T Of Record In The Office Of The County Recorder Of P</t>
  </si>
  <si>
    <t>Stunning BETTER THAN NEW! 2024 Alora model home with 2,078 sq ft of luxurious living! This beautiful home has over $156,000 in Upgrades! Home features a chef's kitchen with 42'' cabinets,Tile backsplash, soft-close cabinets &amp; doors, premium appliances, quartz countertops, extended dining area perfect for entertaining. Enjoy the oversized den, curbless shower, and dedicated golf cart garage.The professionally landscaped, fenced backyard boasts a cozy fire pit and breathtaking mountain views, making it ideal for relaxing or hosting guests. Every detail reflects quality and comfort in this thoughtfully designed move-in-ready home! You cannot build a home of this quality or with these upgrades for anywhere near this price! So, why build when you can move right in? Schedule your showing Today!</t>
  </si>
  <si>
    <t>Lot 58 Saddlebrooke Ranch Unit Sixteen B, In Plat Fee 2016-077112 , In Section 04 Township 10 South Range 14 East, 8638</t>
  </si>
  <si>
    <t>Views Views Views. The moment you step through the front door you are greeted with expansive desert views and unobstructed mountain views beyond. This highly upgraded home features the sought after Solstice floorplan with great room, spacious kitchen, and dining room all open to each other making it perfect for entertaining. Gourmet chef's kitchen features two tone cabinetry, built-in bar area with glass front cabinets, appliance garage, professional s/s appliances incl induction cooktop and microwave drawer. Large curved island with apron front sink, sit up bar and custom pendant lighting. Light and bright great room has contemporary style linear electric fireplace, display shelves, and surround sound system. Large Primary Suite features bay windows allowing for views and tons of natural</t>
  </si>
  <si>
    <t>Lot 84 Of Saddlebrooke Ranch Unit Seventeen, According To The Pla T Of Record In The Office Of The Pinal County Recorde</t>
  </si>
  <si>
    <t>Discover refined living in this impeccably maintained Fresco model home in SaddleBrooke Ranch's active adult community. The chef's kitchen boasts granite counters, SS appliances, and upgraded cabinetry. Enjoy exposed beams and oversized windows in the Great Room, along with a dining area and a versatile den. Extras include a spacious laundry room and a Golf Cart Garage. This thoughtfully designed home offers a perfect blend of elegance and practicality. The open-concept layout enhances natural light and flow, creating a welcoming space for entertaining or quiet evenings. Outside, the Arroyo-facing yard offers privacy &amp; a serene desert backdrop. Schedule Your Showing Today!</t>
  </si>
  <si>
    <t>Lot 33 Saddlebrooke Ranch Unit One Cab G - Sld 039 Secs 5, 8, 9 10S-14E</t>
  </si>
  <si>
    <t>Thoughtfully designed and impeccably maintained, this pristine Hermosa model offers privacy, functionality, and features rarely found in comparable SaddleBrooke Ranch homes. A standout advantage is the 2-car garage plus golf cart bay, along with a private, low-maintenance courtyard?perfect for relaxing mornings or easy outdoor entertaining.    Inside, the home lives larger than its square footage thanks to a bright, open main living area, a split-bedroom floorplan, and ceramic tile flooring throughout. The well-appointed kitchen features a large island, granite countertops, updated lighting, and ample cabinetry. Storage is exceptional, with upper and lower cabinets in the entry valet, plus additional storage in the laundry room.    The primary suite includes dual vanities, a step-in</t>
  </si>
  <si>
    <t>Lot 21 Of Saddlebrooke Ranch Unit Eighteen B, According To The Pl At Of Record In The Office Of The Pinal County Recorde</t>
  </si>
  <si>
    <t>This thoughtfully designed Avalon home is located within the SaddleBrooke Ranch community and offers an open, well-proportioned floor plan with a curated collection of quality finishes throughout. Wood-look tile flooring anchors the main living areas, complemented by upgraded carpeting in the primary suite, guest suite, and sitting area. An extended sitting area adjacent to the guest bedroom is enhanced by custom built-in cabinetry, along with a built-in wet bar and beverage center, creating a welcoming and functional space for guests.  The kitchen is both refined and highly functional, featuring premium appliances including a Sub-Zero built-in refrigerator, convection oven, and Wolf gas cooktop. Granite countertops and a designer backsplash add visual depth, while a nearby butler's</t>
  </si>
  <si>
    <t>Lot 51 Saddlebrooke Ranch Unit Fourteen A, Per 2016-000614, In Se Ction 5 Township 10 South Range 14 East, 4366 Square</t>
  </si>
  <si>
    <t>Fabulous opportunity to own this lovely furnished well maintained Villa located in the highly sought after resort community SaddleBrooke Ranch. This barely lived in Villa comes with Ethan Allen furniture &amp; is ready to move in.  Featuring 2 bedrooms 2 bathrooms in a bright open split plan. The Primary bedroom is spacious, with attached ensuite featuring dual vanities, a large shower &amp; a walk-in closet.  Enjoy entertaining friends in the great room with its adjoining dining area that leads smoothly to your covered patio. This villa also includes a full house water filtration &amp; softener system, walk-in pantry, gas cooktop, washer, dryer, utility sink, &amp; beautiful custom wrought iron door.</t>
  </si>
  <si>
    <t>Heron</t>
  </si>
  <si>
    <t>Lot 73 Of Saddlebrooke Ranch Unit Nine Recorded In Plat Fee 2017- 049440 In Section 05, Township 10 South, Range 14 East</t>
  </si>
  <si>
    <t>Located on a premium corner lot in the highly sought-after SaddleBrooke Ranch community, offering 1,809 sq ft with 2 bedrooms, 2 ensuite baths, a den, and an additional half bath. Thoughtful upgrades include crown molding, 18'' ceramic tile, plantation shutters, central vacuum, surround sound, water softener, new GE fridge, washer &amp; dryer, and the benefits of an owned solar system. Enjoy stunning Catalina Mountain views from the backyard with viewing fence, gas fire pit, and desert landscaping. Two-car garage plus golf cart garage. Exterior was recently painted. Priced below recent comps, this home presents a fantastic opportunity, just needs new carpet and interior paint to shine. Ideal for buyers ready to add a little TLC and enjoy the SaddleBrooke Ranch lifestyle</t>
  </si>
  <si>
    <t>Lot 59 Of Saddlebrooke Ranch Unit Six According To The Plat Of Re Cord In The Office Of The Pinal County Recorder, Arizo</t>
  </si>
  <si>
    <t>This stunning golf course home in SaddleBrooke Ranch is rich with high-end finishes. The sought-after Vienta floor plan offers 2 bedrooms and 2.5 baths with an open-concept living, dining, and kitchen area that impresses with a wall of stackable sliding doors, custom ceiling beams, a cozy fireplace and bar area with wine cooler. The chef's kitchen is beautifully appointed with Wolf appliances, an oversized island, quartz countertops, and a spacious walk-in pantry?perfect for entertaining or everyday living. A den with double doors and custom built-ins provides an ideal home office or private retreat. Step outside to enjoy morning coffee by your own putting green and unwind in the evenings by the outdoor fireplace, all while taking in breathtaking views of Mt. Lemmon. Completing the</t>
  </si>
  <si>
    <t>Agarita</t>
  </si>
  <si>
    <t>Lot 29 Saddlebrooke Ranch Unit One Cab G - Sld 039 Secs 5, 8, 9 1 0S-14E</t>
  </si>
  <si>
    <t>Wake up to sweeping, unobstructed mountain views in this exquisitely maintained Covina floor plan, where refined comfort meets serene desert living. Set on an expansive 10,000+ sq ft homesite, this 2,072 sq ft residence offers privacy, space, and a truly elevated lifestyle.  Designed for both relaxation and sophistication, the home features a stylish den with upgraded double doors, ideal for a private office, library, or creative retreat. Every detail reflects pride of ownership, with thoughtful upgrades and meticulous care throughout.  Step outside to the screened-in patio, a tranquil sanctuary where morning coffee and sunset evenings are framed by breathtaking mountain vistas and open skies?perfect for effortless indoor-outdoor living year-round.</t>
  </si>
  <si>
    <t>Lot 33 Of Saddlebrooke Ranch Unit Fourteen B In Plat Fee 2017-049 441 In Section 04, Township 10 South, Range 14 East 4</t>
  </si>
  <si>
    <t>Luxurious upgraded Viva model in SaddleBrooke Ranch! 2021-built 2BR/2BA Villa with a den ! 1,655 sq ft of premium features. Chef's kitchen boasts 41'' upgraded cabinets, crown molding, quartz counters, Blanco sink, and upgraded backsplash. PARADIGM luxury vinyl flooring with plush bedroom carpet. Master suite features rain glass shower, comfort height toilets, walk-in closet with built-ins. Smart home amenities include dimmer switches, USB outlets, TV mounts. Outdoor paradise: extended arroyo (rare!), paver patio, turf courtyard, gas stub, rolling shades. Garage has Outdoor Creations coating, utility sink, custom storage, golf cart outlet. Home boasts upgraded appliances, plantation shutters, security doors. Perfect 55+ lifestyle!</t>
  </si>
  <si>
    <t>Lot 80 Of Saddlebrooke Ranch Unit Eighteen B, According To The Pl At Of Record In The Office Of The Pinal County Recorde</t>
  </si>
  <si>
    <t>Experience comfort and style in this 2022 Fresco model! With 2,038 sq ft of thoughtfully designed living space on a 7,119 sq ft lot, this home offers an open, inviting layout. The enclosed patio has been transformed into a year-round AZ Room with its own mini-split, perfect for relaxing or entertaining. The great room flows seamlessly into a kitchen with stainless steel appliances, quartz countertops, upgraded cabinetry, and a 5-burner gas cooktop. A dining area and den provide versatile spaces, while the split bedroom layout offers privacy with an owners suite and guest suite, both featuring walk-in showers. The fully fenced, professionally landscaped backyard and 3-car garage complete this move-in ready home. Don't wait?homes like this won't last!  *Fire place is currently Disabled.*</t>
  </si>
  <si>
    <t>Lot 20 Saddlebrooke Ranch Unit One Cab G - Sld 039 Secs 5, 8, 9 1 0S-14E</t>
  </si>
  <si>
    <t>A beautiful Artesa Model that backs up to the 11th Fairway of the SaddleBrooke Ranch Golf Course. The home consists of a Extended Master Bedroom with Walk-In Closet, door to covered patio, dual vanities, and a large Walk-In Shower; Extended 2nd Bedroom, Great Room w/Media Alcove; Dining Area with Glass Slider to access the back yard; 2-full Bathrooms; Den or Office; Extended 2-car Garage with Golf Cart Space; Laundry Room with Sink and Storage; and Owner's Valet. The kitchen features granite counters and new LG appliances, including the refrigerator, range, and dishwasher. The front yard is fully landscaped w/mature plantings with lights and drip irrigation, a front courtyard and a custom-made security screen door.  The backyard has a large Covered Patio with Tucson Rolling Shades,</t>
  </si>
  <si>
    <t>Lot 21 Of Saddlebrooke Ranch Unit Six According To The Plat Of Re Cord In The Office Of The Pinal County Recorder, Arizo</t>
  </si>
  <si>
    <t>From the moment you arrive, this upgraded luxurious Vienta model commands attention. An epoxy driveway and paver courtyard set the stage for the upgrades within. Soaring tall doors and designer trim lead into an interior where LVP flooring, custom lighting, and plantation &amp; electric blinds,  flow throughout. The chef's kitchen Shines with quartz countertops, soft-close cabinetry &amp; pull-out shelves, gas cooktop, and bar with wine fridge. The living room features a custom built-in fireplace. The extended master retreat frames breathtaking mountain views and western sunsets, with rain-head shower, makeup vanity, and custom built-in closet. Outside, a fully snake-fenced backyard with electric shades, infrared heater, water fountain, and lush landscaping showcases those spectacular views.</t>
  </si>
  <si>
    <t>See Documents</t>
  </si>
  <si>
    <t>Sophisticated Desert Living in SaddleBrooke Ranch! Welcome home to this stunning Alora residence offering 1,995 sq ft of thoughtfully designed living space with 2 bedrooms and 2.5 baths, perfectly blending modern elegance with effortless comfort. Completed in 2021, this nearly new home offers the benefits of contemporary construction and designer upgradesâ?''without the wait to build. At the heart of the home is the chef's kitchen, beautifully appointed with sleek modern finishes, abundant cabinetry, and a spacious walk-in pantry, making it as functional as it is stylish. The open-concept design flows seamlessly into the great room, where gorgeous, upgraded lighting creates a bright, refined ambiance ideal for both entertaining and everyday living.</t>
  </si>
  <si>
    <t>Lot 32 Of Saddlebrooke Ranch Unit Seventeen, According To The Pla T Of Record In The Office Of The Pinal County Recorder</t>
  </si>
  <si>
    <t>Beautiful Vienta</t>
  </si>
  <si>
    <t>Pinyon</t>
  </si>
  <si>
    <t>Lot 63 Of Saddlebrooke Ranch Unit Ten According To The Plat Of Re Cord In The Office Of The Pinal County Recorder, Arizo</t>
  </si>
  <si>
    <t>Mountain views await in this exceptional Vienta model showcasing thoughtful upgrades &amp; premium finishes throughout. Turnkey Opportunity / Furnishings Included! The gourmet kitchen features Premier GE appliances, an electric cooktop, Blanco undermount sink, upgraded quartz countertops, &amp; a full backsplash accented by pendant lighting &amp; under/over cabinet illumination. Smart storage solutions include base cabinet rollouts &amp; a dry bar w/beverage cooler, perfect for entertaining. The interior offers comfort &amp; style w/newly carpeted bedrooms, and den, custom closet systems, &amp; elegant shower/bath tile surrounds. A 2' master suite extension &amp; 2' guest room extension, along with an en suite guest room, provides spacious accommodations. Laundry room is fully equipped w/upper &amp; lower cabinets,</t>
  </si>
  <si>
    <t>Lot 59 Of Saddlebrooke Ranch Unit Four A In Sec 08-10S-14E Record Ed Plat Fee 2011-033757 10455.78 Sq Ft 0.24 Ac</t>
  </si>
  <si>
    <t>Panoramic desert, golf course + Tortolita Mountain views from upgraded Cortez model in 55+ SaddleBrooke Ranch. From the private front courtyard + striking entry door to hand-scraped hardwood floors, custom cabinetry, designer lighting &amp; modern  fixtures, this home is thoughtfully finished thruout. Gourmet kitchen features quartz counters, SS appliances + high-end cabinetry w/soft-close drawers + pull-outs, all positioned to capture expansive views beyond. Step outside to deep covered patio + easy-care yard &amp; take in the quiet beauty of the desert. Spacious owner's + guest suites, both w/ensuite baths + walk-in closets, plus versatile den w/closet ideal for a home office, hobby room or fitness. Extended 2.5-car garage w/cabinets + storage area &amp; mini-split system. Built-in media center,</t>
  </si>
  <si>
    <t>Chestnut</t>
  </si>
  <si>
    <t>Lot 55 Of Saddlebrooke Ranch Unit Eighteen A, According To The Pl At Of Record In The Office Of The Pinal County Recorde</t>
  </si>
  <si>
    <t>Stunning 2021 upgraded Vienta with soaring 11' ceilings &amp; panoramic views. Gourmet kitchen features custom cabinetry, GE Profile appliances &amp; wine fridge. Spa-like primary bath with curbless shower &amp; rain glass. Extended 3-car garage with carriage doors. Private backyard oasis with screened patio, automatic roller shades, artificial turf, fruit trees, water fountain &amp; landscape lighting. Whole-house water treatment, solar-ready, tankless water heater. Solid core doors, premium flooring, built-in entertainment center, soft-close drawers throughout. Extended primary suite &amp; guest room add extra space. Your gateway to championship golf &amp; resort amenities!</t>
  </si>
  <si>
    <t>Lot 46 Saddlebrooke Ranch Unit One Cab G - Sld 039 Secs 5, 8, 9 1 0S-14E</t>
  </si>
  <si>
    <t>Stunning, wide-open views define this beautifully updated Dolce model with a light, inviting feel. Both bedrooms are extended, all bathrooms are upgraded, and the den/office includes a closet?allowing use as a third bedroom or home office. Fresh interior paint, crown moulding, plantation shutters, solar tubes, and surround sound enhance the bright interior. The upgraded kitchen features new quartz countertops, an extended island, and pull-out cabinetry. Enjoy a built-in fireplace, electric shades on the covered patio, and a fenced backyard with an outdoor gas firepit, gas stub, epoxy-coated patio, and paver extension. Additional highlights include an owned water filtration system, golf cart garage with sink, epoxy garage floors.</t>
  </si>
  <si>
    <t>Willet</t>
  </si>
  <si>
    <t>Lot 16 Of Saddlebrooke Ranch Unit Twenty-One B, According To The Plat Of Record In The Office Of The Pinal County Record</t>
  </si>
  <si>
    <t>Welcome to your dream home, featuring a gourmet kitchen equipped with an LG built-in gas stainless steel appliance package. This includes a convection wall oven, microwave, dishwasher, and gas cooktop, perfect for all your culinary adventures.      The bathrooms are equally impressive, boasting stainless steel Delta bath accessories and a primary bath with beautifully tiled curbless shower.     The flooring throughout the home includes upgraded carpet and luxury vinyl plank, providing both comfort and style.    Other upgraded finishes you'll find are 8' tall interior doors and generous 5 1/4 mitered baseboards throughout.     Outdoor living is at its best with landscaping and pavers at rear patio.</t>
  </si>
  <si>
    <t>Flint</t>
  </si>
  <si>
    <t>Lot 58 Of Saddlebrooke Ranch Unit Fourteen B In Plat Fee 2017-049 441</t>
  </si>
  <si>
    <t>With a strong accepted offer, Sellers are willing to pay the HOA Capital Improvement fee and 1 year of the top tier Shield Complete home warranty from American Home Shield.  Exceptional Standalone Villa! No Shared Walls, while enjoying all the convenience and luxury of the Villas. Exterior walls and exterior painting, patio walls, landscaping and irrigation, and Roof are all maintained by HOA.  Too many upgrades to list here, see documents and supplemental remarks. Make this sought after home your own before it's gone.</t>
  </si>
  <si>
    <t>Lot 60 Of Saddlebrooke Ranch Unit Eighteen A, According To The Pl At Of Record In The Office Of The Pinal County Recorde</t>
  </si>
  <si>
    <t>Beautifully upgraded Vienta floor plan offering approximately 2,300 square feet in the highly sought-after SaddleBrooke Ranch active adult community.</t>
  </si>
  <si>
    <t>Lot 128 Of Saddlebrooke Ranch Unit Nineteen, According To The Plat Of Record In The Office Of The County Recorder Of P</t>
  </si>
  <si>
    <t>This beautiful Bella model is just 7 months young and shows like a brand-new home. Loaded with upgrades throughout, it offers modern design, quality finishes, and exceptional comfort. The spacious great room is an entertainer's dream, seamlessly connecting living, dining, and kitchen spaces?ideal for gatherings or everyday enjoyment. A desirable split bedroom floor plan provides privacy for both owners and guests.    Located in the award-winning SaddleBrooke Ranch community, residents enjoy an active resort-style lifestyle with world-class amenities including a championship golf course, fitness center, resort pool, pickleball and tennis courts, walking trails, dining, and countless clubs and activities. This is Arizona living at its finest?move-in ready and better than new.</t>
  </si>
  <si>
    <t>Copper Basin</t>
  </si>
  <si>
    <t>Lot 69 Of Saddlebrooke Ranch Unit Nineteen</t>
  </si>
  <si>
    <t>Kitchen:  LG built-in gas appliance package includes: Slide in Gas Range, Microwave and Dishwasher. Sollid Madison Clear Alder Cabinets w/42' Uppers. 2' Shaker Crown Moulding. Quartz Countertops and Full Height Tile Backsplash. Kohler Vault Stainless Steel undermount sink. Delta Emmeline pull-down faucet in Chrome. Decorative pendent lighting over island.     Bathrooms:  Upgraded Delta Plumbing Fixtures in Champagne Bronze. Coordinating Delta Bath Accessories in Champagne Bronze. Quartz Vanities and Tile Surrounds in Primary Bath and Bath 2. Curbless shower in Primary bath. Framed mirrors in baths.     Outdoor Living: BBQ Gas stub, landscaping</t>
  </si>
  <si>
    <t>Obsidian</t>
  </si>
  <si>
    <t>Lot 14 Of SaddleBrooke Ranch Unit Seventeen, According To The Plat Of Record In The Office Of The Pinal County Recorder</t>
  </si>
  <si>
    <t>A Beautiful and Very Modern and Highly Upgraded Elevation C 1951 Sq. Ft. Bella model with Extended 2-Car Garage + Optional Golf Cart. Other Structural Changes (added options) include Optional Valet and Optional Built-in Kitchen. This incredible home has 2-Bedroom Suites; 2-Bathrooms; Powder Room; Great Room; Dining Area; Spacious Den; Large Kitchen Island; Large Walk-in Pantry; Spacious Walk-in Closet in Master Suite; Walk-in Coat Closet; 262 Sq. Ft. Covered Outdoor Living Space; and Deep 2-Car w/Golf Cart Garage.  The front of the home has incredible curb appeal due to the front-yard landscaping and aggregate finish on the driveway and walk-way into the home. The backyard is impeccable with large mature trees, fruit trees, artificial turf ''lawn'', &amp; BBQ area.</t>
  </si>
  <si>
    <t>Arroyo Bello</t>
  </si>
  <si>
    <t>Lot 102 Of Saddlebrooke Ranch Unit Seven In Sec 05-10S-14E &amp; A Po Rtion Of Sec 08-10S-14E Cab G Sld 183 10759 Sq Ft .25</t>
  </si>
  <si>
    <t>Golf Course Living on the 16th Fairway | Rare 2,500+ Sq Ft Pima Model Near Clubhouse  Golf course living at its finest. This beautifully upgraded home is located on the 16th fairway near the green in Robson's premier 55+ active adult community of SaddleBrooke Ranch, offering stunning views and a prime location just moments from the Ranch's exceptional amenities including the clubhouse, indoor and outdoor pools, fitness center, driving range, putting greens, restaurants, and social clubs.    This sought-after Pima floor plan offers over 2,500 square feet of thoughtfully designed living space, featuring two spacious bedrooms, a den, two full bathrooms, and a powder bath. The Pima is one of the community's most popular layouts and is no longer offered by the builder, making this home a unique</t>
  </si>
  <si>
    <t>Hyrax</t>
  </si>
  <si>
    <t>Lot 50 Of Saddlebrooke Ranch Unit Four B In Plat Fee In 2015-0067 31 In Sec 08-10S-14E 6854 Sq Ft 0.16 Ac</t>
  </si>
  <si>
    <t>Majestic views of the jagged peaks of the Catalina Mts. highlight this 1844 sq. ft. highly upgraded/ modern/ beautifully maintained Dolce Model Design B at Saddle Brooke Ranch. This exquisite 2-bedroom, 2.5- bath home features added options including 4 ft. extensions to the Driveway; Garage, Primary Bath; a Golf Cart garage, and a Bay Window in the dining area. From the Coffee Patio at the entrance, you step Inside to the Great Room which transitions seamlessly into the Kitchen to an extended Island w/ seating, Glass Back Splash, Quartz Counters throughout, and upgraded Stainless-Steel Appliances. The home has a Powder Room, spacious Den that could be a 3rd Bedroom; extended Walk-in Closet in the Primary Suite, and Separate Laundry Room. When you walk into the Outdoor Living Space</t>
  </si>
  <si>
    <t>Hackberry</t>
  </si>
  <si>
    <t>Lot 24 Of Saddlebrooke Ranch Unit Nine Recorded In Plat Fee 2017- 049440 In Section 05, Township 10 South, Range 14 Eas</t>
  </si>
  <si>
    <t>Fully furnished*. This upgraded Hermosa floor plan offers 2 bedrooms, 2 bathrooms, and a den, with approximately $88,000 in builder upgrades. The open kitchen features granite countertops, upgraded cabinetry, and designer finishes perfect for both everyday living and entertaining. Tile flooring throughout, both bathrooms offer walk-in tiled showers with upgraded vanities. The  garage includes Golf Cart Garage, epoxy flooring and built-in storage. Additional highlights include a decorative front security screen, a water softener with a recirculation pump, a covered patio with sun shades, an extended paver patio, and a beautifully landscaped, oversized lot with drip irrigation--creating a seamless indoor-outdoor lifestyle. Experience this home for yourself and schedule a showing today!</t>
  </si>
  <si>
    <t>Lot 1 Of Saddlebrooke Ranch Unit Eighteen A, According To The Pla T Of Record In The Office Of The Pinal County Recorde</t>
  </si>
  <si>
    <t>Breathtaking sunrise &amp; mountain views frame this immaculate one-owner Alora model! 2BR/2.5BA features open-concept living with upgraded trim. Gourmet kitchen showcases ceiling-height soft-close cabinets, quartz countertops, island &amp; walk-in pantry. Primary suite boasts upgraded tile shower, dual vanities &amp; custom built-ins in walk-in closet. Office/den with barn door &amp; Murphy bed, perfect guest space! Fenced yard, resort-style patio features brick pavers, gas fireplace &amp; electric shades for entertaining. Extended 3-car garage offers epoxy floors, custom cabinets, wall organization &amp; tankless water heater. Premium lot with stunning mountain views next to community green space in SaddleBrooke Ranch with Bistro Veinte, Ranch House Grill, golf &amp; amenities!</t>
  </si>
  <si>
    <t>Flat Rock</t>
  </si>
  <si>
    <t>Lot 61 Of Saddlebrooke Ranch Unit Forty Six A In Plat Fee 2013-03 8476 In Sec 05-10S-14E 9800 Sq Ft 0.22 Ac</t>
  </si>
  <si>
    <t>You will instantly fall in love with this stunning and highly upgraded Tesoro - Premiere Series in SaddleBrooke Ranch! This home includes a Custom Tile Entry Way; 2-Bedroom En Suites; Powder Room, Great Room w/Media Alcove and; Dining Room; Grand Kitchen Island with adjoining Butler's Pantry  Walk-In Pantry; Dining Room; Spacious Office/Den that can double as an extra bedroom; Owner's Entry Valet with Cabinets; Walk-In Coat Closet; Walk Up Wet Bar w/wine refrigerator; Large Laundry Room; Deep 2-Car Garage + Golf w/Extra Storage; a Covered Outdoor Living Space w/Tucson Rolling Shades, 9', 10', 11 foot ceilings throughout the home, + various types of window coverings. The Master Bedroom En Suite has 2-Walk-In Closets; Dual Vanities; 42'' X 60'' Walk-In Shower with Seat</t>
  </si>
  <si>
    <t>N</t>
  </si>
  <si>
    <t>Broken Hills</t>
  </si>
  <si>
    <t>Green Valley</t>
  </si>
  <si>
    <t>From Parcel:30429321A /Quail Creek II Unit 33A Lot 10 Sq20140230177</t>
  </si>
  <si>
    <t>Enjoy spectacular sunrises and sunsets from your extended paved back patio with views of the Santa Rita Mountains and an extensive open green space.  This Primrose model villa includes a den with pocket doors for added privacy, custom security screen door, ceiling fans in each room.  MB has walk-in closet, dual sinks, and large tiled shower.  Kitchen features granite countertops, upgraded cabinets w/pull-out shelves, SS appliances.  Plumbed for gas stove.  This Villa includes almost all upgrades offered!  Furnishings available by Separate Bill of Sale.  (SBOS)     Villa association dues include front/backyard and common area maintenance - roof, stucco, paint.</t>
  </si>
  <si>
    <t>Quail Creek</t>
  </si>
  <si>
    <t>Balestra</t>
  </si>
  <si>
    <t>Quail Creek II Unit 36 Sq20211830280 Lot 106</t>
  </si>
  <si>
    <t>A must see in person, you will be blown away! Highly sought-after and extensively upgraded Mariposa floorplan situated on an elevated corner lot with breathtaking panoramic and mountain views. Designed for both comfort and style, this open-concept home features 10-foot ceilings, abundant natural light, and beautiful LVP flooring throughout -no carpet anywhere. Thoughtful builder extensions include a 4-foot expansion to the primary suite and garage, plus 2-foot extensions to the second bedroom and dining area, creating generous and functional living spaces. The kitchen is beautifully appointed with quartz countertops, upgraded cabinetry with soft-close features, pull-outs, and additional cabinet enhancements throughout. Quartz surfaces continue in the bathrooms for a cohesive, upscale feel.</t>
  </si>
  <si>
    <t>Ramos</t>
  </si>
  <si>
    <t>From Parcel:30429361A /Quail Creek II Unit 23 Lot 91</t>
  </si>
  <si>
    <t>Discover this beautifully maintained 2BR, 2-BA, Den main home w/a separate 1BR, 1-Bath casita, perfectly nestled in a sought-after 55+ golf community. Situated on a premium lot backing up to a natural arroyo, this property offers serene privacy, breathtaking desert views, &amp; frequent visits from local wildlife?perfect for nature lovers! Inside the main home, you'll find an open-concept layout with abundant natural light, a spacious kitchen, and comfortable living areas ideal for entertaining or relaxing. The casita provides a perfect space for guests, hobbies, or a home office, offering both comfort and privacy. Enjoy peaceful mornings or sunset evenings from your covered patio, all while soaking in the beauty &amp; tranquility of the surrounding landscape. New Roof 9/25 SOLAR OWNED 2 yrs.</t>
  </si>
  <si>
    <t>From Parcel:30429349A /Quail Creek II Unit 21A Lot 35 Sq20140230177</t>
  </si>
  <si>
    <t>Discover easy living in this charming, well-cared-for Villa?an ideal retreat for those seeking a lock-and-leave lifestyle. Designed for simplicity and comfort, this home features a light-filled floorplan, generous primary suite, contemporary kitchen, and a peaceful outdoor area perfect for relaxing or entertaining. Enjoy the ease of low-maintenance living with the HOA handling exterior care and landscaping. Set within a lively 55+ community, you'll have access to golf, pools, clubhouse events, and more (Canyon Club coming soon!). Whether you're downsizing or snow birding, this Villa is the perfect place to land and live well. Fully furnished for jumping right into the lifestyle. Attached furnished Villa also available at 844 Broken Hills.</t>
  </si>
  <si>
    <t>Mayview</t>
  </si>
  <si>
    <t>Quail Creek II Unit 11 Lot 104</t>
  </si>
  <si>
    <t>This Silverton model is a fantastic option for anyone looking for a comfortable and well-equipped home in a gated community. The 2-bedroom, 2-bath floor plan with a den and a Murphy bed offers flexibility for guests or an extra room for hobbies. The combination of ceramic and laminate wood flooring adds warmth and style, while the gas fireplace and Kiva fireplace create a cozy atmosphere both indoors and outdoors.    With a large covered patio, a built-in gas grill, and a fully walled yard, you'll have plenty of space to enjoy outdoor living. The addition of a water capture system and photovoltaic panels reflects a commitment to sustainability. The 3-car garage spaces and mature landscaping complete the package, offering both practicality and beauty.  Solar installed 2016 - $59.55/mo.</t>
  </si>
  <si>
    <t>Turquoise Vista</t>
  </si>
  <si>
    <t>Quail Creek II Lot 207</t>
  </si>
  <si>
    <t>Beautifully maintained single-story in Quail Creek, Green Valley's premier 55+ active adult community. Vaulted ceilings and an open great room centered on a stacked-stone fireplace with custom built-ins. Updated kitchen features granite counters, stainless appliances, gas range, tile backsplash, and island seating. Expansive screened patio extends your living space year-round, overlooking a low-maintenance backyard with artificial turf, outdoor fireplace, mature fruit trees and blooming bougainvillea. Solar keeps utility costs low. Enjoy Quail Creek's resort-style amenities: two golf courses, clubhouses, pools, fitness center, pickleball, tennis, and endless social clubs. Move-in ready and waiting for your next move!</t>
  </si>
  <si>
    <t>Desert Lark Pass</t>
  </si>
  <si>
    <t>From Parcel:304293220 /Unit 3 Quail Creek II Lot 455</t>
  </si>
  <si>
    <t>Located within the gated, highly sought-after Community of Quail Creek, this beautifully maintained home offers an exceptional blend of comfort, connection, and resort-style living designed for an active and social lifestyle. Set on a prime corner lot with no back neighbors, your new home enjoys added privacy and showcases stunning curb appeal, all within a close-knit, impeccably cared-for community where neighbors quickly become friends.</t>
  </si>
  <si>
    <t>Redstart</t>
  </si>
  <si>
    <t>Quail Creek Lot 128 BLK 1</t>
  </si>
  <si>
    <t>Immaculate, One-Owner Home on a Golf Course Lot with Sunset Views &amp; Stylish Upgrades!  This beautifully maintained 2-bedroom, 2-bath, Den with Wine Cooler home, offers Kitchen Island, Kitchen French Doors,  Quartz C-Tops, SS Kitchen Appliances, Split Floor Plan, Bay Window in Primary BR, Plantation Shutters, Tile &amp; Engineered Wood flooring throughout and Updated Bathrooms. Outside you'll enjoy the Elegant Pavered Front Courtyard and the inviting Back Patio featuring a Custom Ramada, Built-In Weber Gas Grill on an Oversized  Golf Course Lot (Quail #7) with Panoramic Fairway Views and truly magical sunsets - perfect for outdoor dining or relaxing under the desert sky. 6' ext garage w/sink, new roof underlayment 01/2024. Homeowner Access to Quail Creek's stunning new 40,000 sf Canyon Club.</t>
  </si>
  <si>
    <t>QUAIL CREEK BLOCK 1 NLY &amp; CTRL PTN LOT 132 and QUAIL CREEK BLOCK 1 SLY PTN LOT 132</t>
  </si>
  <si>
    <t>Beautiful Golf Course Views!!! Here is the perfect winter retreat or full-time home located right on the green in the gated, Active Adult Community of Quail Creek. Enjoy this fabulous, move-in ready 1432 sq. ft. Agusta model. This home features  2 bedrooms, 2 baths, a den, and a 2-car garage. It's located along the 7th hole of the Quail Course and very close to all the Quail Creek amenities. The primary suite has a dual vanity, and walk-in closet, The den has custom desk and shelving. Features include 18'' tile floors and Corian countertops. Enjoy breathtaking golf course views, sunrises, and sunsets from the large, private, north-facing rear patio. New roof, August 2025. This Lot is composed of two separate parcels. Parcel 304-29-136A and 304-29-136B. Refer to Assessor's map in documents</t>
  </si>
  <si>
    <t>Cliff Swallow</t>
  </si>
  <si>
    <t>QUAIL CREEK BLOCK 1 LOT 65</t>
  </si>
  <si>
    <t>Completely updated, move-in ready Augusta model is ideal for full or part-time living! Spacious, open concept floor plan has comfortable living space, separate dining area, kitchen w/ center island, breakfast bar, newer GE Profile slate appliances. Updates since 2018 incl. fresh interior and exterior paint, new carpet in great room and bedrooms, new interior light fixtures, switches, outlets, window coverings, custom California Closets in bedrooms and laundry, Lennox HVAC w/ variable speed AC, high efficiency Milgard windows, LG Sidekick Pedestal washer and gas dryer, Rheem hot water heater. New roof (2023) and OWNED solar panels. Outdoor living spaces incl. front paver courtyard, all-season screen porch and rear extended paver patio. (See full update list.) Must see to appreciate!</t>
  </si>
  <si>
    <t>From Parcel:30429001P /Quail Creek Block 1 Lot 76</t>
  </si>
  <si>
    <t>This spacious, stylish, move in ready and fully furnished two-bedroom home features an open floor plan encompassing the kitchen, living, and dining areas. The great room is highlighted by plantation shutters and a charming gas fireplace. The primary bedroom includes a queen-size bed and an en suite bathroom. The second bedroom is currently configured as an artist studio or office with a twin-size daybed, and the living room offers additional sleeping space with a queen sofa sleeper. A second full bathroom with a tub is located in the hallway. Additional interior features include a separate laundry room with a washer and dryer located off the kitchen. Outside, you will find a sunny, furnished patio with western views, as well as a large backyard patio equipped with a dining table. SEE MORE</t>
  </si>
  <si>
    <t>Purple Martin</t>
  </si>
  <si>
    <t>From Parcel:30429001P /Quail Creek Block 1 Lot 95</t>
  </si>
  <si>
    <t>Welcome to Quail Creek, a Resort Community offering first-class amenities for an active lifestyle that is both physically and socially engaging. This home features a 1,569 sq. ft. split floor plan with two bedrooms, two bathrooms, and a den. Ceramic tile flooring and wood plantation shutters on all windows. Outside, the covered back patio and mostly enclosed yard are designed for privacy and easy maintenance, including built-in seating. The front yard is completely enclosed, providing saftey and shade for you and your fur babies. This home also has a 3 car garage that is large enough to use as a craft room, workshop or golf cart parking.</t>
  </si>
  <si>
    <t>Sage Sparrow</t>
  </si>
  <si>
    <t>Quail Creek Block 1 Lot 0140</t>
  </si>
  <si>
    <t>Welcome to your desert retreat! This beautifully maintained 2-bedroom, 2-bath + den home offers 1,588 sq ft of comfortable living space that was thoughtfully built in 1999. Perfectly situated on the golf course, you'll enjoy breathtaking, unobstructed views of the lush greens and the stunning Santa Rita Mountains right from your own backyard. Step inside to find a light-filled interior featuring plantation shutters, ceiling fans throughout, and a functional layout designed for both relaxation and entertaining. The home is equipped with newer appliance &amp; transome windows making the kitchen both stylish and practical for everyday living. Recent upgrade includes a brand-new roof installed in 2025, offering peace of mind for years to come. Outside, the fully walled-in yard provides security, w</t>
  </si>
  <si>
    <t>BLUE GRANITE DRIVE</t>
  </si>
  <si>
    <t>Quail Creek II Unit 35A SQ20190320129</t>
  </si>
  <si>
    <t>Seller is liquidating the entire estate and is very motivated.  Seller will pay off solar lease at close of escrow. This well-maintained home offers an open floor plan with abundant natural light, spacious bedrooms, and a comfortable primary suite. Enjoy Arizona living in your private backyard oasis with mature landscaping and mountain views. Conveniently located near golf, hiking, shopping, pickleball courts and dining.  This home is perfect as a full-time residence or seasonal retreat.   Right around the corner from brand new Canyon Club recreation center and pool.  Remote controlled automated roll down sunshades.</t>
  </si>
  <si>
    <t>Longspur</t>
  </si>
  <si>
    <t>From Parcel:304292950 /Quail Creek Block 1 Lot 291 &amp; 292</t>
  </si>
  <si>
    <t>Welcome to refined desert living in the prestigious guard-gated community of Quail Creek Country Club, ideally positioned along the 9th hole of the Quail Course. Perfectly set on a premium golf course lot, this immaculately maintained 2,193 square foot residence offers a rare blend of sweeping fairway views and exceptional privacy - allowing you to enjoy the beauty of the course without sacrificing seclusion. Built in 2001 and thoughtfully designed with a desirable split-bedroom floor plan, this home features two spacious bedroom suites, 2.5 baths, and a versatile den ideal for a home office, hobby space, or additional guest accommodations. From the moment you arrive, the pride of ownership is evident. A charming flagstone paver walkway welcomes you to a covered front patio entry, setting</t>
  </si>
  <si>
    <t>Orchid</t>
  </si>
  <si>
    <t>Quail Creek II Unit 30A Lot 55</t>
  </si>
  <si>
    <t>Perfectly imperfect... aren't we all? Beauty that is created from years of mature growth and care boasting a lush landscape and a wonderful floor plan. Backing up to a picturesque arroyo offering further privacy and enhancing its already fantastic setting. Recent investments in a new roof and newer HVAC, in case you were at all concerned about its 22 year age (heck, what we all wouldn't give to be only 22!). Solar added, with a very user friendly lease, supplying electric for barely 2 dollars a day!  Lovingly cared for and now being offered to others to create their own unique version of a home inclusive of all the amenities that Quail Creek offers at a virtually unbeatable price. Located within shouting distance of the brand new Canyon Club makes this location even more desirable.</t>
  </si>
  <si>
    <t>Quail Creek II Unit 35B Sq20190870127 Lot 62 Cagrd</t>
  </si>
  <si>
    <t>This stunning 2021 popular Montecito model has everything you need in highly sought-after retirement community of Quail Creek.  It features a welcoming front paver courtyard. Inside, a desirable split floor plan with 2 bedrooms plus a den. The kitchen has a large quartz island, tile backsplash, gas stove, stainless steel appliances, and upgraded cabinets with pull-outs. The owner's suite offers a tiled walk-in shower, dual vanities, and a spacious closet. Enjoy premium window coverings throughout the home.   The extended garage provides additional room with a 4-ft expansion and a dedicated golf cart outlet, and a water softener. The low-maintenance backyard includes an extended paver patio, power for solar blinds, a tranquil water fountain, and beautiful mountain views from the back pat</t>
  </si>
  <si>
    <t>Copper Vly</t>
  </si>
  <si>
    <t>Quail Creek II Unit 25Bc Sq20202410194 Lot 22</t>
  </si>
  <si>
    <t>LOCATION, LOCATION! Premium golf course lot with Mt Wrightson views!  Why build when the perfect home is right here! Upscale Fresco 2 bed/3 bath w/den provides large picturesque windows in great room, dining room and primary bedroom all with huge mountain and golf course views from inside the house. Upgraded tile w/custom touches. 5 1/4'' baseboards throughout. Upgraded Kitchen w/41'' cabinets, SS appliances, granite countertops and walk in pantry.  Plantation shades, ceiling fans, 8 ft doors. Primary suite w/double vanity, walk in tile shower, customized closet with solar tube.  Second bedroom has 2'extension. Center opening sliding glass doors to the covered patio with extended pavers and gas fireplace. 2.5 car garage extended by 4' and 5' extended paver lined driveway.</t>
  </si>
  <si>
    <t>Josephine View</t>
  </si>
  <si>
    <t>Quail Creek II Unit 22 Lot 62 Sq20161810641</t>
  </si>
  <si>
    <t>Built in 2019, this inviting 1884 sqft Mandara model is located in a favored neighborhood in Quail Creek. Featuring 2 bedrooms suites, 2.5 baths, a den and a light-filled great room. This home is designed with both comfort and style in mind. The great room features an extended row of cabinets with a wet bar, wine fridge and granite counter top. Chefs kitchen boasts granite countertops, decorative backsplash, gas cook top and crown molding. Featuring SS appliances and a walk-in pantry.</t>
  </si>
  <si>
    <t>Quail Creek II (1-34)</t>
  </si>
  <si>
    <t>Alexis Loop</t>
  </si>
  <si>
    <t>From Parcel: 30429345A /Quail Creek II Unite 19 Lot 89</t>
  </si>
  <si>
    <t>This home is move-in ready and offers luxury and functionality in a highly sought-after community.  Recent upgrades and thoughtful finishes makes this a rare opportunity for this level of living.  Enjoy the pool, Jacuzzi, fire pit, casita, 3 car garage, outdoor cook center, California closets, den, surround sound (throughout the home), fruit trees and more.  New roof, HVAC, flooring, exterior paint, 1-full year platinum home warranty, plus more.  See list in documents.  This home is loved and you will be hard pressed to find a home that has been better taken care of than this one.  Homes in Quail Creek at this level are rare.  Book your showing today and buy this home before someone else does!</t>
  </si>
  <si>
    <t>Alexis</t>
  </si>
  <si>
    <t>From Parcel:30429345A /Quail Creek II Unit 19 Lot 20</t>
  </si>
  <si>
    <t>Shows just like a model home! So many upgraded features that make this home a perfect retreat!  Front courtyard is gated and inviting,  the additional golf cart garage and extended length w/ storage and sink.  Once you enter the front door you will see the quality of the large tiled flooring, French door office w/ built-in cabinets. The great-room has a built-in entertainment center.  The kitchen has beautiful upgraded knotty alder cabinetry and new appliances.  The beautiful countertops are engineered stone.  The convenient laundry-room has cabinetry and a wine refrigerator.  The main bedroom has plenty of space for a sitting area, double vanity, large shower and tub.  The walk-in closet is amazing!  Back yard has the bee-hive Fireplace, wooded views &amp; privacy.</t>
  </si>
  <si>
    <t>Night Heron</t>
  </si>
  <si>
    <t>Quail Creek II Unit 2 Lot 19</t>
  </si>
  <si>
    <t>Welcome to this stunning GOLF VIEW home located in Quail Creek! This beautiful RIVA model offers a backyard designed for relaxation and entertainment, complete with a built-in barbecue, extended patio pavers and fire pit, perfect for enjoying a glass of wine under the stars.    Inside, you'll find a split floor plan with lots of natural light. The kitchen features granite countertops, stainless steel appliances, and upgraded cabinetry with elegant plantation shutters. The new 2023 HVAC system ensures comfort and efficiency year round. The extended garage has plenty of storage with built-in cabinets and a water softener.</t>
  </si>
  <si>
    <t>Blue Granite</t>
  </si>
  <si>
    <t>Quail Creek II Unit 35A Sq20190320129 Lot 23</t>
  </si>
  <si>
    <t>Step into a home that captivates you from the very first glance and easy care living with this ''lock and leave'' Villa.  Charming multi line roof peaks paired with a welcoming front archway set the tone for the elegance that continues throughout this beautifully designed residence.  Inside, you'll find a bright, open, and cheerful living space?a perfect setting for everyday comfort or effortless entertaining.  The chef-inspired kitchen steals the spotlight with its granite countertops, rich dark cabinetry, and sleek stainless steel appliances.  A gas cooktop elevates your culinary experience, while the oversized under-counter basin sink makes prep and cleanup a breeze.  Enjoy your meals in the inviting eat-in nook, offering backyard views and easy access to the patio for indoor-outdoor</t>
  </si>
  <si>
    <t>Oak Hill</t>
  </si>
  <si>
    <t>From Parcel:30429374B /Quail Creek II Unit 30 Lot 28</t>
  </si>
  <si>
    <t>Stunning Furnished Home with Private Casita &amp; Resort-Style Backyard    Welcome to this beautiful fully furnished home with 2,622 sq ft. this residence blends luxury, comfort, and privacy and is Set amid mature tropical &amp; desert landscaping. this exceptional home opens to an expansive front entry paver patio, into a large courtyard.  featuring 2 bedrooms, 2 bathrooms, a 2-car garage, plus a private casita complete with its own full bathroom?perfect for guests or a home office retreat.  Inside, the chef's kitchen is a standout, offering high-end finishes, a large center island ideal for entertaining, and seamless flow into the main living spaces. A sophisticated den showcases custom built-in luxury wood cabinetry and elegant plantation shutters throughout the home add</t>
  </si>
  <si>
    <t>Basalt</t>
  </si>
  <si>
    <t>QUAIL CREEK II UNIT 35A SQ20190320129 LOT 68</t>
  </si>
  <si>
    <t>LIKE NEW and UPGRADED THROUGHOUT! This gently occupied 2023 Ocotillo model offers 1,508 sq.ft., 2 BR, 2 BA +Den. Located close to Quail Creek's newest amenities, including pickleball courts and the Canyon Club, this Courtyard Villa backs to abundant open space with stunning sunrise views! Inside are tile plank floors in the common areas, upgraded carpet and pad in the bedrooms, upgraded fans and recessed lighting throughout, and dual control ''top-down and ''bottom-up'' window shades. Spacious great room with Frame TV included. Well-appointed kitchen has upgraded cabinets, granite counters, tile backsplash, island with pendant lighting and single bowl composite sink, pantry closet and stainless appliances, incl. GE Cafe dual oven electric range with induction cooktop.</t>
  </si>
  <si>
    <t>Wrightson View</t>
  </si>
  <si>
    <t>Quail Creek II Unit 25Bc Sq20202410194 Lot 12</t>
  </si>
  <si>
    <t>This Quail Creek ''Award Winning'' Mandara Floor Plan is a beautifully appointed 2BR, 2.5 BA home w/Den built on a Premium Golf Course Lot w/perfect orientation and Serene Green Side Views. Inside, the open layout showcases Luxury Vinyl Plank Flooring complemented by Tri-Color Designer Interior Paint, Ceiling Fans, Wine Cooler, Custom Lighting, Quartz Countertops, Gas Range, Farber Exhaust Fan and Striking Counter to Ceiling Backsplash in the kitchen.  Hunter Douglas Power Shades in the Great Room, Custom Closet in the primary BR and Plantation Shutters in the guest BR. The Extended Covered Patio w/Pavers and Power Shades is already plumbed for a Fireplace and 220 Outlet for a hot tub.  Extended 2.5 car garage is complete with Epoxy Flooring and a 220 Volt EV outlet. Why Build New?</t>
  </si>
  <si>
    <t>Desert Deer</t>
  </si>
  <si>
    <t>From Parcel:30429328A /Quail Creek II Unit 9 Lot 50</t>
  </si>
  <si>
    <t>Stunning Contemporary Style home in the Desirable Quail Creek Senior Community.  2 Bedrooms &amp; 2 Baths and a Den with Built-in bookshelves and a desk. The guest bedroom includes a Murphy Bed with built-in shelves around and a desk. Both bathrooms have been recently remodeled with walk-in showers.  Wooden window shutters all over the house. Stainless steel appliances and granite countertops.</t>
  </si>
  <si>
    <t>Quail Creek II (1-77)</t>
  </si>
  <si>
    <t>Barn Swallow</t>
  </si>
  <si>
    <t>Quail Creek II Unit 33A Lot 46 SQ20140230177</t>
  </si>
  <si>
    <t>Looking for a park-like setting in the desert? You have found it! A spacious greenway, a corner lot, and surrounding common area make for privacy and nature in your backyard. Used only six months every year, this Lariat Villa is 1529sf, has 2BR, 2BA, a den (w/Murphy bed/desk), a dedicated dining area, and an open great room and kitchen to make the perfect floorplan. Villas are no longer built, so you'll have a coveted property if you ever decide to sell. Extras include soft closing cabinets/drawers, quartz countertops in the kitchen and baths, 3 solar tubes adding extra daylight, fans throughout, the extended, paved patio, garage w/ storage and epoxy floor, water softener, gorgeous new front door, fresh interior paint, &amp; low-e Milgard windows. Lock &amp; Leave never felt so good!</t>
  </si>
  <si>
    <t>Sage Thrasher</t>
  </si>
  <si>
    <t>From Parcel:30429900C /Quail Creek II Unit 33B Lot 115 Sq2011810746</t>
  </si>
  <si>
    <t>ONE YEAR HOME WARRANTY INCLUDED.  Tired of landscaping, exterior painting, rising insurance costs, and worrying about the roof when the monsoons pour down?  This Villa in the upscale resort community of Quail Creek is the perfect choice. Whether full or part-time, you'll sleep well knowing you can ''lock and leave''. Yes, the HOA fee is higher, but with lower utility bills, insurance, and maintenance, apples to apples, it is about the same as a single-family house. Plus, Villas are newer than houses in this price range &amp; no longer being built. Your resale value is secure.  This Villa is on a large, private, corner lot with green space behind.   The back courtyard is walled and spacious.  Neutral interior design provides for any style of decorating.</t>
  </si>
  <si>
    <t>Sun Catcher</t>
  </si>
  <si>
    <t>Quail Creek II Lot 72</t>
  </si>
  <si>
    <t>Owned Solar!  A majestic old Saguaro cactus stands proudly, complemented by crisp desert landscaping, multi-level Mediterranean-style rooflines, a striking rock façade, and a beautiful front courtyard sets the tone for this special home.  Step inside to a spacious great room featuring a vaulted ceiling, warm Southwest tile flooring, a lighted media center, and a sleek contemporary fireplace?perfect for cozy evenings and entertaining. The chef's kitchen is a true highlight, boasting multi-tone granite countertops, stainless steel appliances including a gas range, an undercounter sink with gooseneck fixture, a prep island, and a breakfast nook overlooking the courtyard. A versatile den or office is accessed through double French doors, offering privacy and flexibility.</t>
  </si>
  <si>
    <t>Quail Creek II Unit 35A Sq20190320129 Lot 49</t>
  </si>
  <si>
    <t>UPGRADES GALORE! TURN-KEY! LOW MAINTENANCE! PREMIUM LOT! VERSATILE DEN!    Discover effortless living in this pristine Cholla Villa, ideally located in Quail Creek?Southern Arizona's premier active adult community. This 2-bedroom, 2-bath home with a versatile den offers an open, airy layout that's perfect for entertaining or everyday comfort.    Enjoy upscale touches throughout: sleek quartz countertops, stainless steel appliances, pull-out shelving, custom darkening shades, and stylish tile flooring. The private, fully walled patio backs to open space?no rear neighbors?for added peace and privacy.    With the brand-new Canyon Club now open, you'll have access to resort-style pools, fitness, dining, and endless activities</t>
  </si>
  <si>
    <t>Bonita Canyon</t>
  </si>
  <si>
    <t>From Parcel:304293800 /Quail Creek II Lot 298</t>
  </si>
  <si>
    <t>Welcome to 2344 E Bonita Canyon Dr, a rare floor plan in Quail Creek offering three bedrooms, a den, 2 bathrooms, and an expansive open layout designed for comfortable everyday living and effortless entertaining. Meticulously maintained with fresh interior and exterior paint, this home immediately impresses with exceptional curb appeal, a three-car-wide driveway, and a golf cart garage, all built with quality 2x6 construction.  Inside, you will find the same tile flooring throughout the main living areas and brand-new carpet in the bedrooms creating the perfect move-in ready home. The spacious kitchen features warm oak cabinetry, gorgeous granite countertops, a large breakfast bar, pantry closet, beverage fridge, and well-appointed kitchen nook ideal for casual dining.</t>
  </si>
  <si>
    <t>Quail Creek II (78-394)</t>
  </si>
  <si>
    <t>From Parcel:304293800 /Quail Creek II Lot 291</t>
  </si>
  <si>
    <t>Located in the highly sought-after gated community of Quail Creek, this well-maintained 3-bedroom, 2-bathroom home with a den/office and spacious 3-car garage offers comfort, functionality, and stunning mountain views. The property features a generous floor plan with a large living room, family room, dining area, and an eat-in kitchen, perfect for both everyday living and entertaining. Situated on a quiet street, the home boasts unobstructed views of the Santa Rita mountains from the backyard. The beautifully manicured front and back yards enhances the home's curb appeal, while the fully covered back patio provides ample space for outdoor gatherings. Recent updates include fresh interior paint and new carpeting throughout, making this home move-in ready.</t>
  </si>
  <si>
    <t>Desert Pueblo Pass</t>
  </si>
  <si>
    <t>Quail Creek II Lot 348</t>
  </si>
  <si>
    <t>This home affords a variety of living options from formal to casual. Kitchen offers a large island for meal prep or setting out appetizers when entertaining a group of friends. Abundant storage cabinets &amp; pantry provides spaces for all those specialty dishes &amp; appliances. Oversized primary bedroom with quiet reading area, updated shower/mirrors and large walk in closet completes owners private spaces. Guests will appreciate privacy during visits. Den/Office. Screened patio keeps the pesky bugs away. Professionally designed rear yard with soothing waterfall, built in BBQ and spots of green all on an auto irrigation system. 2 car garage plus golf cart space is a place for storage, bikes or golf cart to get around the community. Quail Creek offers the amenities you want and serenity you seek</t>
  </si>
  <si>
    <t>Quail Creek II Lot 347</t>
  </si>
  <si>
    <t>Desert oasis featuring a gated courtyard and casita with pool. Be impressed by the perfectly flowing living &amp; dining room with sliding glass doors to the back covered patio and outdoor fun also with hot tub spa. Seamless indoor-outdoor living experience with great room and oversized kitchen with recessed lighting, an island, granite counters, a breakfast bar and breakfast nook. Open the double doors to find a large main retreat complete with plush carpet, outdoor access, an ensuite w/two vanities and large walk-in closet. Don't miss the built in book shelving in the open den ideal for work or extra area and bookcases in the second bedroom. Comes with solar and all the fun offerings of a 55+ community. Canyon Club now open for world class amenities. Updates include new roof/furnace.</t>
  </si>
  <si>
    <t>Unit 3 Quail Creek II Lot 423</t>
  </si>
  <si>
    <t>Golf &amp; Mountain Views with Gorgeous Sunsets! Experience the beauty of desert living in this updated home with breathtaking views in Quail Creek. Set on a premium lot overlooking the golf course and mountains, this property captures Arizona's best sunsets and showcases stunning cacti in both the front and back yards. Including a striking Joshua tree in the front. It features a beautifully renovated kitchen with quartz countertops, soft-close cabinetry, a new sink and faucet, an induction range, new backsplash, and a new dishwasher. The primary bathroom has been refreshed with new quartz countertops, dual sinks, modern faucets, mirrors, light fixtures, and new toilet. The guest bathroom has also been beautifully renovated.</t>
  </si>
  <si>
    <t>Cowboy Canyon</t>
  </si>
  <si>
    <t>From Parcel:304293270 /Quail Creek II Lot 370</t>
  </si>
  <si>
    <t>Tremendous value in Quail Creek, this popular Laredo plan features 2 bd/2bath, 1826 sf of living space, a split plan with a den, and hard flooring throughout.  The generous primary suite features a large living space, dual vanities, and a large walk-in closet.  Did I mention a three stall garage (hint:  golf cart) with cabinet storage - no more parking one car in the driveway.  An extended covered rear pavered patio and a large yard awaits your entertaining and relaxation.  The large corner lot  Quail Creek, a Robson community, affords you access to upscale club houses, dining, a litany of physical fitness options, golf, etc. etc. etc.  Priced to facilitate your personal touches and lifestyle.</t>
  </si>
  <si>
    <t>Desert Deer Pass</t>
  </si>
  <si>
    <t>QUAIL CREEK II LOT 233</t>
  </si>
  <si>
    <t>This beautifully maintained and updated Laredo model in Quail Creek welcomes you with mature landscaping, desert plantings, and a stacked-stone accented façade. Enter through the front wrought-iron security door into the foyer, where a spacious great room anchors this 3-bedroom, 2-bath home. The great room flows seamlessly into the upgraded kitchen, featuring granite countertops, stainless appliances, gas range, center island, and pantry closet. Interior highlights include tile flooring throughout all living spaces, plantation shutters, a new sliding glass door, solar tubes, and upgraded ceiling fans and lighting. The owner's suite offers a luxurious retreat with an updated bath featuring dual vanities, tile accents, a fully tiled walk-in ''snail'' shower, and a spacious walk-in closet.</t>
  </si>
  <si>
    <t>From Parcel:304293270 /Quail Creek II Lot 251</t>
  </si>
  <si>
    <t>Entertainer's Dream Home in a prime golf course setting on an expansive view lot! This stunning 2-story residence offers 3 Bedrooms, 2.5 Baths, Formal Dining Room, Living Room, Family Room &amp; Den which encompasses 3,176 sf of Well-Designed Living Space.  The Chef's Kitchen features Granite Countertops, KitchenAid Appliances, Large Kitchen Island, lots of storage, a filtered water system and opens seamlessly to spacious living and entertaining areas inside and out.  Enjoy serene golf course views and mature landscaping with producing grapefruit, mandarina, lemon and Valencia Orange Trees - Perfect for Indoor or Outdoor Living.  Plantation Shutters throughout, extended 2.5 car garage which has been newly epoxied, 2/2026. Conveniently located to the  Madera Clubhouse, Restaurant &amp; Pro Shop.</t>
  </si>
  <si>
    <t>From Parcel:30429001G /Quail Creek II Unit 30A Lot 90</t>
  </si>
  <si>
    <t>The extended Silverton Model, A spacious plan, Sitting area at the entrance with formal &amp; informal spaces.  Fantastic office with executive style built-in desk &amp; shelving.  The split bedroom design adds privacy. Updated second &amp; Main bathrooms.  New flooring in the an-suite, kitchen, living room, guest bathroom &amp; 2nd bedroom.  Kitchen has professionally painted cabinetry w/ quartz counter-tops.  Kitchen opens up to the family room w/ gorgeous fireplace and alcove that accommodates up to a 60 inch TV.  Light fixtures in the 2 car garage have been replaced w/ brighter LED lights.  New sunscreens installed &amp; irrigation system has been updated where needed.  Enjoy the plan with the largest covered patio! Gated front courtyard.  Truly a European feel to this floorplan.  Appliances stay.</t>
  </si>
  <si>
    <t>From Parcel:30429321A /Quail Creek II Unit 21A Lot 16 Sq20140230177</t>
  </si>
  <si>
    <t>Welcome to the Quail Creek 55+ Community! This delightful, move-in-ready villa is ready to become your new home.  Located in the heart of Green Valley, this two-bedroom, two-bathroom villa offers 1,399 sq ft of living space and is perfect for an active adult lifestyle.  The home features a calming neutral palette and tile flooring throughout. The large great room is ideal for hosting or relaxing while enjoying magnificent mountain views. The open floor plan includes a designer kitchen with a large island, quartz countertops, a composite sink, stainless appliances, a gas range, a stylish tile backsplash, quality cabinetry with hardware, under-cabinet lighting, and a dining area. Just off the great room is a true den, perfect for a home office or media room.</t>
  </si>
  <si>
    <t>Quail Creek II SQ20140230177</t>
  </si>
  <si>
    <t>Glen Canyon</t>
  </si>
  <si>
    <t>QUAIL CREEK II UNIT 12 LOT 13</t>
  </si>
  <si>
    <t>Nestled on a spectacular golf course homesite, this beautifully expanded and upgraded Laredo model captures sweeping fairway views and stunning panoramas of Mt. Wrightson and Mt. Hopkins. Offering 2,284 total square feet, including a 324 sq. ft. private-entry casita, this residence blends timeless architecture with thoughtful upgrades and exceptional indoor-outdoor living. The expanded main house offers 3 bedrooms, one ideally suited as an option den or office; a 2-foot extension to the guest bedroom, guest bath, and den provide added comfort and flexibility. Bay windows in both the owner's suite and main guest bedroom frame picturesque mountain views and invite abundant natural light. The great room is anchored by a custom-designed built-in media wall with gas fireplace and art niches,</t>
  </si>
  <si>
    <t>Quail Creek II Unit 12 (1-43)</t>
  </si>
  <si>
    <t>Laurel Glen</t>
  </si>
  <si>
    <t>From Parcel:30429333A /Quail Creek II Unit 14 Lot 24</t>
  </si>
  <si>
    <t>Situated on a premium golf course lot, this home captures sweeping Santa Rita Mountain views and an elevated outdoor lifestyle. A beautifully landscaped backyard with lush plantings and an expansive covered patio sets the stage for entertaining, dining or simply enjoying the serenity of the setting. Natural light fills the great room and kitchen, complemented by newer appliances. The primary suite features a patio door, walk-in closet, and bath with double vanity. The den offers versatility for an office, library or creative space, while a well-appointed guest room provides comfort and privacy. Quail Creek residents enjoy world-class amenities including golf, recreation centers, pools, pickleball, fitness, dining, and social clubs?an unmatched blend of leisure and luxury for active adults</t>
  </si>
  <si>
    <t>Quail Creek II Unit 14</t>
  </si>
  <si>
    <t>Barclay</t>
  </si>
  <si>
    <t>From Parcel:30429333A /Quail Creek II Unit 14 Lot 52</t>
  </si>
  <si>
    <t>This stunning home in the sought-after Quail Creek community truly has it all! A charming brick paver courtyard welcomes you through a decorative wrought iron gate, where you'll discover a full guest casita and a cozy seating area?perfect for enjoying your morning coffee in peace.  Step inside to an open-concept floor plan with soaring ceilings and tasteful updates throughout. The beautifully appointed kitchen features solid surface countertops, custom pull-out drawers, a stylish tile backsplash, breakfast bar, and sunny breakfast nook?ideal for both everyday living and entertaining.  The spacious primary suite offers wood-look ceramic tile flooring, a beautifully updated bathroom, a large walk-in closet, and a handsome barnwood-style sliding door for added privacy.</t>
  </si>
  <si>
    <t>Alger</t>
  </si>
  <si>
    <t>QUAIL CREEK II UNIT 14 LOT 95</t>
  </si>
  <si>
    <t>This Cimarron model w/ CASITA in Quail Creek welcomes you via a lush, private courtyard with desert plantings and artificial turf. This 2,622 sq.ft. home is ideal for entertaining and a houseful of guests, offering 3 BR, 3 BA and a Den. Inside are tile floors in the common areas, a spacious great room with gas fireplace, tray ceiling, and separate dining area. The chef's kitchen has a breakfast bar w/ pendant lighting, quartz counters, center island, gas range, reverse osmosis, and casual dining nook. Grand owner's suite has dual vanity bath with hard surface counters, walk-in shower and huge walk-in closet. Separate guest bedroom, and adjacent guest bath has walk-in jetted tub w/ shower handle. Den off foyer. The private entry Casita (3rd BR &amp; BA) offers overnight guests extra privacy.</t>
  </si>
  <si>
    <t>Canyon Crossing</t>
  </si>
  <si>
    <t>From Parcel:30483489A /Quail Creek II Unit 22 Lot 16 Sq20161810641</t>
  </si>
  <si>
    <t>Step into the easy pace of Quail Creek living in this inviting Cortez model. Natural light fills the home, highlighting comfortable spaces and an easy flow with open views of the private arroyo. The living area is perfect for casual get-togethers, while the covered patio is ideal for enjoying beautiful evenings. At the heart of the home, the kitchen with its large island is perfect for hosting friends or savoring a quiet cup of coffee. The primary suite offers a peaceful retreat at day's end, and the easy-care yard gives you more time for the things you love. Guests will feel right at home with a private en suite bedroom, while the den with twin Murphy beds adds extra flexibility. Wait until you see the garage space with extra room inside, including golf cart garage.</t>
  </si>
  <si>
    <t>Quail Creek II Unit 15 (1-120)</t>
  </si>
  <si>
    <t>Sky Creek</t>
  </si>
  <si>
    <t>From Parcel:30429346A /Quail Creek II Unit 15 Lot 79</t>
  </si>
  <si>
    <t>This beautiful home in Quail Creek offers a private corner lot that is a designed for low-maintenance living. Step inside to discover tall ceilings with natural light that fills the open-concept living space. The kitchen features granite countertops, stainless steel appliances, maple cabinetry and plenty of room with an island. The spacious primary suite includes a sliding glass door leading to the backyard, and a generous walk-in closet. Enjoy Arizona living year-round in the private backyard complete with a brand-new pergola, pavers, and easy-care landscaping. The garage has a convenient side door, built-in cabinets, and overhead wire racks for extra storage.</t>
  </si>
  <si>
    <t>Lukeville</t>
  </si>
  <si>
    <t>QUAIL CREEK II UNIT 15 LOT 21</t>
  </si>
  <si>
    <t>This well-appointed 2009 Riva model is located on a corner lot offering 1,712 sq.ft., w/ 2 BR, 2 BA and Den. Enter via the front paver courtyard, into a spacious great room, accented by large windows and 8' slider. Cook's kitchen has large center island, quartz counters, upgraded cabinets, SS appliances, gas range. Expanded owner's suite w/ bay window, exit to rear patio, dual vanity bath, all-tile shower, walk-in closet. Split bedroom plan with guest bath close by. Den has barn door for extra privacy or as a 3rd sleeping room. Tile floors throughout common areas, new carpet in both bedrooms. Extended outdoor living space w/ paver patio, ramada, and lush rear landscaping w/ apple, peach, pomegranate and orange trees, all backing to common area.</t>
  </si>
  <si>
    <t>QUAIL CREEK II UNIT 17 LOT 32</t>
  </si>
  <si>
    <t>This impeccably maintained Oakmont model in Quail Creek offers 1,569 sq. ft. of well-designed living space, featuring 2 BR, 2 BA, and a Den. Ideally positioned on a quiet corner lot near the end of Glen Canyon, this home features mature landscaping and provides a peaceful setting perfect for relaxed retirement living. Interior features include 20'' ceramic tile throughout all main living areas, plantation shutters, and upgraded ceiling fans, lighting, and door hardware. The kitchen is well appointed with granite countertops, newer stainless steel appliances, a gas range, pantry closet, and a casual dining area. The owner's suite boasts a dual-vanity bath with a pocket door for added privacy, a fully tiled walk-in shower, separate linen closet and a spacious walk-in closet.</t>
  </si>
  <si>
    <t>Quail Creek II Unit 17</t>
  </si>
  <si>
    <t>QUAIL CREEK II UNIT 17 LOT 80</t>
  </si>
  <si>
    <t>Everything you need ... and more! This stunning, expanded Augusta model on a large corner lot offers heated pool and spa, 2-room private entry casita, and a detached golf cart garage. Inside this 1,655 sq.ft. main house are 2 BR, 2 BA +Den with all tile floors, upgraded kitchen w/ quartz counters, stainless appliances, dining area w/ bay window, and plantation shutters throughout. Owner's suite has a generous size walk-in closet and exit to rear patio. Den has barn doors for added privacy or for an additional sleeping room. Across the front paver courtyard is a spacious 462 sq.ft., 2-room casita w/ full bath, ideal as an in-law suite or craft studio. Outback is your own private oasis, with a pebble sheen pool and spa, extended patio and seating areas, BBQ area, and mature citrus trees.</t>
  </si>
  <si>
    <t>QUAIL CREEK II UNIT 17 LOT 4</t>
  </si>
  <si>
    <t>Serenity abounds! Sunrise on the GOLF COURSE with MOUNTAIN VIEWS in the distance, meticulously maintained, FURNISHED Oakmont model, perfect for casual living and entertaining, offers a natural flow from indoor to outdoor spaces. Front paver courtyard is an ideal respite to enjoy a glass of wine at sunset, or meeting passers-by; mature front landscaping provides shade from the afternoon sun. Inside are 2 BR, 2 BA +Den, showcased by a soft, southwest color palette, generous size great room and den w/ golf course views. Split BR plan offers privacy for guests, neutral tile in the kitchen and foyer, upgraded fans and lighting.Your inner chef will appreciate thoughtful and contemporary kitchen updates, including maple cabinets, quartz counters, custom tile backsplash, stainless appliances.</t>
  </si>
  <si>
    <t>Genevieve</t>
  </si>
  <si>
    <t>QUAIL CREEK II UNIT 19 LOT 36</t>
  </si>
  <si>
    <t>Expanded Laredo model with private casita in the gated, Quail Creek resort community. This thoughtfully designed home offers 2,280 total square feet with 3 BR, 3 BA, plus a spacious den, beautifully situated on a premium homesite backing to a natural arroyo featuring lush desert vegetation, majestic saguaro, and a charming peek-a-boo mountain view. An inviting front courtyard welcomes you in, enhancing both privacy and curb appeal. Inside, the expanded floor plan includes a 2-foot extension to the guest bedroom, guest bath, and den, providing added comfort and flexibility. Natural light fills the home through five solar tubes, and charming bay windows in both the primary suite and guest bedroom add character and additional sitting space. The owner's suite features a dual vanity bath with</t>
  </si>
  <si>
    <t>Quail Creek II Unit 19</t>
  </si>
  <si>
    <t>Keyes</t>
  </si>
  <si>
    <t>QUAIL CREEK II UNIT 19 LOT 102</t>
  </si>
  <si>
    <t>This gorgeous, oversized lot with lush landscaping and bordering common area, is home to this open concept Talavera model in Quail Creek. Offering 2,178 sq.ft., 2 BR, 2.5 BA, +Den, upgraded interior features include spacious great room, tile floors in the common areas, dining area w/ bay window and abundance of natural light. Kitchen has large island w/ granite counters, breakfast bar, slate appliances, and desk for organizing household tasks. Generous size owner's suite has dual vanity bath, jetted tub, separate shower, huge walk-in closet.  Large laundry with craft space. Step out to the rear covered patio with electronic shades and BBQ area. Backyard offers lush, private surroundings, including pet-friendly artificial turf, planting beds and lemon, orange, pomegranate and peach trees.</t>
  </si>
  <si>
    <t>From Parcel:304293390 /Quail Creek II Lot 19</t>
  </si>
  <si>
    <t>This popular Laredo model within walking distance to amenities, features bedroom, den, kitchen and garage extensions. Expansive patios, with beautiful views and built in fireplace + grill, on almost a 1/4 acre lot on a wash, providing privacy and Mt views. Impeccable remodel with a neutral palette throughout. Wood-look ceramic tiling. Extended kitchen with island &amp; breakfast area features leathered granite counters, cherry soft-close cabinets, breakfast area w/sliding patio door to a gated patio with Mountain views. Solar screens on front for privacy. Owners suite includes patio slider and master closet system. Roomy dining and great room for entertaining, or relaxing. Washer and Dryer do not convey.</t>
  </si>
  <si>
    <t>Madera Plateau</t>
  </si>
  <si>
    <t>QUAIL CREEK II UNIT 21 SQ20122710239 LOT 95</t>
  </si>
  <si>
    <t>Breathtaking views! Located on a sought-after street in Quail Creek, this Spanish Colonial Sonata model w/ private entry Casita offers 2,821 total sq.ft., incl. 3 BR, 3.5 BA, Den and multi-purpose room, and backs to pristine natural desert with spectacular views of Mounts Wrightson, Hopkins and Elephant Head. Wonderful curb appeal w/ gated front courtyard, stunning wood entry door. Inside are soaring 12' ceilings in the kitchen, great room and dining area, crown moulding, hand scraped hardwood flooring, and plenty of windows to take in the stunning views. Kitchen has a grand island w/ granite counters, upgraded cabinets, SS appliances, 36'' gas cooktop, new Bosch dishwasher. Wake up to sunrise over the Santa Rita's, the expanded Owner's Suite has box bay window and exit to rear patio.</t>
  </si>
  <si>
    <t>Quail Creek II Unit 21</t>
  </si>
  <si>
    <t>Thunderchief</t>
  </si>
  <si>
    <t>Quail Creek II Unit 21 Sq20122710239 Lot 63</t>
  </si>
  <si>
    <t>Here is the perfect full-time home or winter retreat located in the gated, active adult community of Quail Creek. Enjoy this fabulous, move-in ready, 1589 sq. ft. Baja model. This home features 2 bedrooms, 2 baths, a den/office, and an extended, 2-car garage. The kitchen features a large granite island, custom cabinetry, granite countertops and pullout shelves. The primary suite has a dual vanity, walk-in closet, and access to the spacious back patio. Stay warm with the custom outdoor fireplace and enjoy breathtaking mountain views, sunrises, and sunsets from the southeast-facing rear patio. Solar system will be paid off in escrow.  Furniture available on separate bill of sale.</t>
  </si>
  <si>
    <t>From Parcel:304834600 /Quail Creek II Unit 21 Sq20122710239 Lot 31</t>
  </si>
  <si>
    <t>This beautifully maintained Fiesta model by Robson Communities comes FULLY FURNISHED, offering an effortless move-in to the sought-after Quail Creek Resort lifestyle.    The exterior was freshly painted in 2024, with the flat roof of the patio recoated for years of protection and a crisp, updated look. Paver walkways lead to a welcoming front courtyard?perfect for morning coffee or sunset chats with neighbors. An extended two-car garage, rain gutters, and owned solar add convenience and value.    Inside, a signature circular foyer opens to a light-filled great room with high ceilings and stylish tile flooring throughout. The kitchen impresses with staggered wood cabinetry, quartz countertops, stainless appliances, and an inviting island breakfast bar. The dining area and great room</t>
  </si>
  <si>
    <t>Copper View</t>
  </si>
  <si>
    <t>QUAIL CREEK II UNIT 21 SQ20122710239 LOT 7</t>
  </si>
  <si>
    <t>Gently occupied and meticulously maintained! This 2016 Baja model in Quail Creek resides on a large corner lot at the end of a quiet cul-de-sac, offering 1,589 sq.ft., 2 BR, 2 BA, +Den. Enter past a front paver patio into a security screened front porch. Inside is a decorative tile foyer, spacious great room, and dining area that seats 6 or more. Upgraded kitchen has center island with breakfast bar and pendant lighting, granite counters, tile backsplash, stainless appliances, gas range. Tile floors in common areas, newer carpet in bedrooms and den. Owner's suite has dual vanity bath, tile shower, and walk-in closet. Outside is extended paver patio with roll-down screens and pet-friendly artificial turf. The oversized backyard is surrounded by high walls offering abundant privacy and</t>
  </si>
  <si>
    <t>From Parcel:30429321A /Quail Creek II Unit 21A Lot 21 Sq20140230177</t>
  </si>
  <si>
    <t>Experience resort-style living in this stunning Partially Furnished home, ideally located on the golf course in the prestigious gated community of Quail Creek. Enjoy breathtaking mountain views and rare privacy both front and back. This beautifully designed residence showcases soaring ceilings, abundant natural light and expansive windows that frame the exceptional surroundings. The open concept floor plan features ceramic tile flooring except bedrooms, a gracious dining area complete with a built in serving area and generous storage, and easy flow to spacious great room and sliding doors leading to the covered patio. The chef's kitchen is both stylish and functional, offering SS appliances, quartz countertops and pull out shelves. Each bedroom has an en-suite bath. Epoxy 2.5 car garage</t>
  </si>
  <si>
    <t>From Parcel:30483489A /Quail Creek II Unit 22 Lot 81 Sq20161810641</t>
  </si>
  <si>
    <t>Make this stunning Fresco model in the resort-style community of Quail Creek yours and embrace the active, engaging retirement lifestyle you've been dreaming of. From the moment you first see this home, you'll be captivated by its curb appeal and prime location. The front courtyard, enclosed with a charming wall, offers a welcoming space to sit, relax, wave to neighbors, or chat with visitors, while a magnificent five-lite Masonite Belleville entry door invites you inside to a grand hallway with a tray ceiling and beautiful ceramic tile floors that flow seamlessly throughout the home. Looking through the back of the house, large windows showcase spectacular views of the Santa Rita Mountains and the desert beyond. The living room has been extended four feet and features soaring 11-foot</t>
  </si>
  <si>
    <t>Quail Creek II Unit 22</t>
  </si>
  <si>
    <t>Rolling Meadow</t>
  </si>
  <si>
    <t>From Parcel:30483489A /Quail Creek II Unit 22 Lot 106 Sq20161810641</t>
  </si>
  <si>
    <t>Fully Owned Solar Panels!  The search is finally over!     Welcome to effortless desert living in the prestigious Quail Creek community, where luxury, privacy, and peace of mind come standard. This beautifully upgraded 2-bedroom, 2-bath residence with a versatile den showcases thoughtful design, elegant finishes, and fully paid-for solar panels for energy-efficient comfort.    A spacious 2.5-car garage with epoxy-coated floors includes dedicated golf cart storage, ideal for exploring the scenic neighborhood. Curb appeal shines with desert landscaping, a charming front patio, and two wrought iron doors that add enhanced security.</t>
  </si>
  <si>
    <t>From Parcel:30483489A /Quail Creek II Unit 22 Lot 136 Sq20161810641</t>
  </si>
  <si>
    <t>Where resort days become everyday.  Built in 2020 in coveted Quail Creek, this home lives like a private club with the mountains for company. Mornings start on the charming front patio; afternoons drift to the sparkling, gas-heated pool wrapped in travertine decking and year-round green astro turf. The outdoor living room?with patio TV, electric roll-down screens, gas stub for BBQ, and a view wrought-iron fence?looks over a natural desert arroyo for true backyard privacy.  Inside, the tone is quietly upscale: tile flooring in the living areas, plush carpet in bedrooms, crown molding, high baseboards, custom ceiling fans, and statement lighting (dining chandelier + pendant bar). The gourmet kitchen brings a convection oven, butler's pantry, and beverage station/wet bar; a nearby flex</t>
  </si>
  <si>
    <t>From Parcel:30429361A /Quail Creek II Unit 23 Lot 95</t>
  </si>
  <si>
    <t>From the moment you arrive, this stunning residence makes an unforgettable first impression. A classic red-tiled roof, majestic Saguaro cacti, and graceful palm trees frame an arched entry that draws you into an expansive paved front courtyard -- a truly grand arrival experience. Whether you're sipping morning coffee in the sunshine or hosting cocktails under the stars, this remarkable outdoor space sets the tone for the elegance that awaits inside. Step through the front door and discover lush, luxurious finishes at every turn. Rich wood-look flooring flows throughout the home, anchored by a warm, glowing fireplace that invites you to linger. The elegant kitchen dazzles with high-end appointments and beautiful details that will delight even the most discerning buyer.</t>
  </si>
  <si>
    <t>Quail Creek II Unit 23</t>
  </si>
  <si>
    <t>Quail Creek II Unit 23 Lot 96</t>
  </si>
  <si>
    <t>Welcome to a home where sophistication greets you at the door.  A beautifully designed front courtyard, ideal for morning coffee or evening conversation, sets the tone for this exceptional home.  Step inside to discover classy plantation shutters and desert-hued tile flooring that flow seamlessly into a spacious open-concept living area.  The bay window in the dining space and a custom-built-in media center with glass-front cabinetry create an inviting atmosphere for both relaxation and entertaining.  The chef's kitchen is a masterpiece of style and function, featuring vintage-inspired cabinetry with an aged finish, granite countertops, stainless steel appliances, and a large prep island with raised bar seating?perfect for hosting guests in style.  Retreat to the primary suite, a</t>
  </si>
  <si>
    <t>QUAIL CREEK II UNIT 23 LOT 65</t>
  </si>
  <si>
    <t>Home on the Range! This 3 BR, 3.5 BA Talavera model with private casita in the Quail Creek resort community offers panoramic desert and mountain views and borders the 52,000-acre Santa Rita Experimental Range, a pristine expanse of natural Sonoran Desert and wildlife. Enter through the enclosed, gated courtyard. The detached casita features its own private entrance and en suite bath, ideal for guests or multi-generational living. Inside the main home, a spacious great room flows into a large dining area, ideal for entertaining. The well-appointed kitchen showcases a large island, quartz counters, breakfast bar, gas range, and a built-in desk for organizing household tasks. The generous owner's suite offers patio access, dual vanity, soaking tub, separate shower, and a huge walk-in closet.</t>
  </si>
  <si>
    <t>Rams Head</t>
  </si>
  <si>
    <t>From Parcel:30429343A /Quail Creek II Unit 26 Lot 36</t>
  </si>
  <si>
    <t>Discover the perfect blend of comfort, style and community in this beautiful 2 bedroom plus den home, nestled in sought after 55+ gated Quail Creek, that truly embraces resort style living. Step inside this FULLY FURNISHED home and you will be greeted by bright open spaces with vaulted ceilings and a welcoming layout that ideal for relaxing or entertaining friends. The kitchen offers elegant quartz countertops and plenty of space to cook and gather. A cozy den offers the flexibility you need. With two spacious bedrooms, two full baths and a convenient laundry room, this home has all the right touches for easy living. Outdoors unwind in your beautifully finished backyard, where you have mountain views and peaceful privacy with no neighbors behind. Quail Creek offers a perfect lifestyle.</t>
  </si>
  <si>
    <t>Quail Creek II Unit 26</t>
  </si>
  <si>
    <t>From Parcel:30429343A /Quail Creek II Unit 26 Lot 22</t>
  </si>
  <si>
    <t>Breathtaking Golf Course Views!!! Here is the perfect winter retreat or full-time home located on the golf course in the gated, Active Adult Community of Quail Creek. Enjoy this fabulous, move-in ready 1569 sq. ft. Oakmont model. This home features 2 bedrooms, 2 baths, a den, and a 2-car extended garage. It's located along the 5th hole of the Coyote course and very close to all the Quail Creek amenities. The extended primary suite has a dual vanity, walk-in closet and a great view of the golf course. Features include tile floors, and matching stainless steel appliances. Stay warm and cozy while enjoying the sunset over the mountains with the custom, built-in outdoor fireplace from the west-facing rear patio. Furniture available on separate bill of sale</t>
  </si>
  <si>
    <t>QUAIL CREEK II UNIT 26 LOT 46</t>
  </si>
  <si>
    <t>Location, Location! This meticulously maintained 2 BR, 2 BA Laredo model in the Quail Creek resort community offers outstanding privacy and truly spectacular views. Situated on a premium homesite backing to the 52,000-acre Santa Rita Experimental Range, this home captures unobstructed, panoramic desert and mountain vistas. Thoughtfully designed natural landscaping with native desert plants enhances the setting and blends seamlessly with the surrounding Sonoran beauty. Inside, the spacious great room features a custom built-in cabinet with retractable TV, in-ceiling speakers throughout the home, all tile flooring, and plantation shutters for a clean, timeless look. The kitchen is well-appointed with a center island, breakfast bar, gas range, and an expanded dining area with bay window.</t>
  </si>
  <si>
    <t>Banneker</t>
  </si>
  <si>
    <t>Quail Creek II Unit 28 Sq20220340102 Lot 2</t>
  </si>
  <si>
    <t>Built in June 2025 &amp; better than new, this stunning expanded Agave model Quail Creek home is fully landscaped and move-in ready, saving you the time, cost, and hassle of finishing a new build. Thoughtfully designed with a modern aesthetic &amp; an open, light-filled layout, the great room flows seamlessly into a contemporary kitchen with generous counter space &amp; ample storage. The spacious primary suite offers a peaceful retreat, while the guest bedroom or den provides flexibility for visitors, hobbies, or home office. Outside, you'll love the beautifully finished, low-maintenance backyard with sweeping Valley views. Located in Quail Creek with world-class amenities at your fingertips: championship golf, pickleball, fitness centers, pools, creative arts studios, and a vibrant social calendar!</t>
  </si>
  <si>
    <t>Quail Creek II Unit 28</t>
  </si>
  <si>
    <t>Page Mill</t>
  </si>
  <si>
    <t>Quail Creek II Unit 29A Lot 22</t>
  </si>
  <si>
    <t>Indulge in a luxurious lifestyle in Southern Arizona's desirable Robson community, where leisure and activity harmonize within a stunning residence that fulfills all your needs. This stunning single-owner home exudes elegance, featuring exceptional upgrades that set it apart. As you enter, you're welcomed by an inviting atmosphere, highlighted by neutral, diagonally laid floor tiles that provide a versatile backdrop for your personal decor. The great room is a masterpiece of design, boasting a beautiful stone wall that elegantly frames the television and a cozy electric fireplace, perfect for adding warmth and ambience to your gatherings. The heart of the home, a chef's dream kitchen, awaits with mid-tone cabinetry, a generous center island, a wall oven, and an electric cooktop, all</t>
  </si>
  <si>
    <t>Quail Creek II Unit 29A</t>
  </si>
  <si>
    <t>Quail Creek II Unit 29B Lot 29</t>
  </si>
  <si>
    <t>MOVE IN NOW! Skip the new build add on upgrades. Spectacular Quail Creek home with ALL of the ''I WANTS'' - both inside &amp; outside. You'll find fine details beyond the standard new builds - starting with bricked driveway &amp; courtyard entry. Fresh two-tone interior paint with crown molding accents. Custom kitchen with gas cooktop, pull-outs, under cabinet lighting, wet bar at dining area. Great Room with custom shelving and built in storage. Laundry room with abundant cabinets &amp; soak tub... Garage with 8' doors, epoxy floor, deep tub to clean golf clubs &amp; 220 plug. Outside is a ZEN PARADISE backing to natural spaces and the golf course, unexpected privacy created by fireplace accent wall &amp; electric screens. Custom water feature with waterfall established plantings. Citrus trees. Owned Solar.</t>
  </si>
  <si>
    <t>Quail Creek II Unit 29B</t>
  </si>
  <si>
    <t>Coastland</t>
  </si>
  <si>
    <t>QUAIL CREEK II UNIT 30A LOT 2</t>
  </si>
  <si>
    <t>This spacious 3 BR, 2.5 BA Cheyenne model offers 2,793 sq.ft, and the perfect blend of comfort, functionality, and indoor/outdoor living. Featuring a pool, spa, fire pit, mountain views, owned solar, and a separate workshop/studio, this is truly a home that has it all. A well-defined front courtyard and impressive 8' entry door welcome you into the foyer, which opens to formal living and dining rooms, ideal for entertaining. A convenient wet bar connects the formal and informal living spaces, creating great flow for gatherings. The spacious family room features a cozy gas fireplace and media wall, and opens to the kitchen and casual dining area. The chef's kitchen is designed for everyday living and entertaining, showcasing granite counters, gas cooktop, wall oven and microwave, island</t>
  </si>
  <si>
    <t>Quail Creek II Unit 30A</t>
  </si>
  <si>
    <t>Laguna Oaks</t>
  </si>
  <si>
    <t>Quail Creek II Unit 30A Lot 71</t>
  </si>
  <si>
    <t>Professionally landscaped home offers plenty of space for entertaining, with welcoming front courtyard. Split floor plan offers 2 bedrooms PLUS a den. The kitchen features an island, convection oven, breakfast nook &amp; plantation shutters. Great room with gas fireplace &amp; beautiful custom carpentry/built-ins add warmth &amp; character. Spacious primary suite with sitting area &amp; large walk-in closet. Generous laundry room with cabinets. New HVAC (2024), roof (2018), 2.5-car garage with excellent storage. Many furnishings available - a golf cart too. Oasis backyard is designed for outdoor living with extended covered patio, built-in BBQ, water feature, brick pavers. Quail Creek is more than a neighborhood?it's a lifestyle. Residents enjoy pickleball golf, fitness &amp; a wide variety of clubs.</t>
  </si>
  <si>
    <t>Orinda</t>
  </si>
  <si>
    <t>QUAIL CREEK II UNIT 31 LOT 50</t>
  </si>
  <si>
    <t>Expanded Laredo w/ Casita on a premium arroyo lot, w/ breathtaking views of the natural desert surroundings. Offering 2 BR, 2 BA and Den in the main house, plus Casita (3rd BR and BA), this 2,180 sq.ft. home is ideal for a houseful of guests. Bonus: golf cart garage! Inside are all tile floors and plantation shutters throughout, spacious great room w/ recessed lighting, display niches. Kitchen with SS appliances, island, pantry closet. Expanded dining space off kitchen. Owner's suite w/ dual vanity bath, walk-in closet. Den w/ doors offers extra privacy for use as a 4th sleeping room. Private entry casita w/ bath. End-to-end covered rear patio w/ gas BBQ stub. Rear yard backs to arroyo and natural desert where you'll enjoy mountain views and occasional visits from neighboring wildlife.</t>
  </si>
  <si>
    <t>Quail Creek II Unit 31</t>
  </si>
  <si>
    <t>QUAIL CREEK II UNIT 31 LOT 72</t>
  </si>
  <si>
    <t>Light, bright and move-in ready! This 2,132 sq.ft. well designed Medina model has 2 BR, 2.5 BA, a large Den, tile floors throughout, and beautiful outdoor spaces to enjoy the warm Arizona climate. Enter via the welcoming front paver courtyard with a pergola for added shade. Spacious great room has 4-panel center-open slider and windows for an abundance of natural light. Upgraded kitchen w/ breakfast bar, center island, granite counters. Dining off kitchen and large Den, both w/ sliders to front courtyard. Owner's suite w/ dual vanity bath, soaking tub, tile shower and walk-in closet. Guest BR has en suite bath. Laundry w/ added store, separate powder room. Out back rear covered patio with NE orientation offers afternoon shade to enjoy the lush backyard landscape. 2-car + Golf Cart garage!</t>
  </si>
  <si>
    <t>Echo Ranch</t>
  </si>
  <si>
    <t>From Parcel:30429900C /Quail Creek II Unit 33B Lot 68 Sq20161810746</t>
  </si>
  <si>
    <t>LOWEST PRICED VILLA IN QUAIL CREEK BY FAR!!  PRICE IS FIRM!! Situated on a quiet street, this 2 bedroom, 2 bathroom + a den/office/craft room Villa offers low-maintenance living.  The HOA takes care of hazard insurance, exterior paint, roof and window maintenance, front &amp; back landscaping and all common areas. Interior features include updated primary bathroom, solid wood cabinets, quartz counters, stainless steel appliances, ceramic tile floors in main living area and a covered patio (with a wall) open to a wonderfully maintained desert area ! Experience the Quail Creek lifestyle!!</t>
  </si>
  <si>
    <t>Quail Creek II Unit 33B SQ20161810746</t>
  </si>
  <si>
    <t>From Parcel:30429900C /Quail Creek II Unit 33B Lot 51 Sq20161810746</t>
  </si>
  <si>
    <t>Discover the best of resort-style living in this beautiful Cholla model 3-bedroom, 2-bath Villa located in the luxurious 55+ Gated community of Quail Creek. Offering 1,399 sq ft of thoughtfully designed living space, this home combines comfort and convenience with HOA-maintained front yard care and roof repair. When you enter into the Foyer, you know that this home is special. Kitchen offers Granite countertops, Gas range, 42'' executive height cabinets, beautiful backsplash and accent lighting. Granite countertops in all bathrooms. Large sink in Laundry Room. Step outside and enjoy world-class amenities including golf, pickleball, tennis, a sparkling pool, and a vibrant recreation center. Quail Creek offers not just a home, but a wonderful lifestyle ? where every day feels like a getaway</t>
  </si>
  <si>
    <t>QUAIL CREEK II UNIT 33B LOT 90  SQ20161810746</t>
  </si>
  <si>
    <t>FULLY FURNISHED and MOVE-IN READY! This charming 2019 Cholla model in Quail Creek resort community offers 1,399 sq.ft., 2 BR, 2 BA +Den. Inside are tile floors in the common areas, upgraded fans and lighting, and plantation shutters. Well-appointed kitchen has upgraded knotty alder cabinets, quartz counters, tile backsplash, island with single bowl composite sink and pendant lighting, stainless appliances, incl. slide-in gas range, and pantry closet. Owner's suite has dual vanity bath, tile shower, walk-in closet. Located on a corner lot backing to common area and lush landscaping. Ideal for full or part-time living, or as an investment property. Villas HOA covers hazard insurance, exterior paint, roof, window and exterior maintenance, front landscaping, and common area maintenance.</t>
  </si>
  <si>
    <t>From Parcel:30429900C /Quail Creek II Unit 33B Lot 84 Sq20161810746</t>
  </si>
  <si>
    <t>Discover your perfect retreat in a beautifully crafted modern villa offering the ideal blend of comfort, style, and low maintenance living. Built in 2019, this residence features spacious living areas, designer finishes, and a bright open concept layout that invites you to relax and entertain with ease. Set in the desirable and tranquil community of Quail Creek, you'll enjoy resort style amenities, a warm desert climate, and the ease of a lock and leave lifestyle ? perfect for full time living or a seasonal getaway. With plenty of natural light, premium fixtures, and thoughtful design touches throughout, this is a standout home offering both value and refinement. Don't miss the opportunity to make this your place to unwind and call your own.</t>
  </si>
  <si>
    <t>Horned Lark</t>
  </si>
  <si>
    <t>QUAIL CREEK UNIT 33B LOT 36 SQ2161810746</t>
  </si>
  <si>
    <t>Spectacular 2020 Ocotillo Villa featuring contemporary style and finishes. Custom wrought iron door as you enter, porcelain plank flooring throughout the main areas of the home.  Lush carpet in the bedrooms. Kitchen boasts 41' Cabinets with crown molding, soft close, and slide shelving. Quartz countertops and modern lighting in kitchen &amp; dining area.  Energy efficient SS appliances, designer back splash, deep pantry. Full laundry room with storage. Neutral color palette, plantation shutters, and Hunter Douglas shades, 5'' baseboards throughout. Primary Suite features barn door closure to bathroom, dual vanity quartz counter. Comfort height toilets in both bathrooms. All tile in the house has PermaTreat sealant. 2 car Garage, new water softener. Patio furniture is included in the sale.</t>
  </si>
  <si>
    <t>304293230 /Quail Creek II Lot 14</t>
  </si>
  <si>
    <t>BOM- through no fault of seller-all repairs made -beautifully maintained CIMARRON model ideally located on Quail Hole 1 golf course. Designed for comfortable, energy-efficient living, this home features a newer tile roof, paid solar and electric car plug for long-term value. Enjoy stunning mountain views and sunrise mornings from the east-facing rear patio with outdoor BBQ, perfect for entertaining. Inside, a bright white kitchen with ample cabinetry opens to a cozy great room with gas kiva fireplace. A dedicated office with built-ins  and plantation shutters, supports remote work, while the flexible third garage bay is ideal for a workshop, craft room, or office, private front patio with decorative fountain, VIVINT smart home security, and a generous 9,000 sq ft lot.</t>
  </si>
  <si>
    <t>Quail Creek II Unit 34</t>
  </si>
  <si>
    <t>Birds Nest</t>
  </si>
  <si>
    <t>From Parcel:304293250 /Quail Creek II Lot 153</t>
  </si>
  <si>
    <t>Welcome to one of Quail Creek's most desirable floor plans ? the Oakmont model ? ideally positioned on the golf course with sweeping mountain views from both the front and rear patios. Located at 1329 N Birds Nest Rd in Green Valley, Arizona, this fully furnished, completely updated, and truly turn-key residence offers the perfect balance of elegance, comfort, and the relaxed luxury lifestyle that makes Quail Creek so sought-after.    From the moment you arrive, the home's curb appeal sets the tone. A thoughtfully designed front patio captures panoramic mountain vistas ? the ideal place to enjoy Arizona's spectacular sunrises with a morning coffee or unwind in the evening as the desert sky shifts into brilliant shades of pink and gold.</t>
  </si>
  <si>
    <t>Mahogany Gulch</t>
  </si>
  <si>
    <t>QUAIL CREEK II LOT 139</t>
  </si>
  <si>
    <t>Furnished 2BR + den, 2195 sq ft home in gated, Renowned Robson Quail Creek Retirement Community! Enjoy a wall of windows in the living and TV areas off the spacious kitchen with island, abundant cabinetry, and large dining space. The beautifully landscaped, walled backyard and front courtyard offer serene outdoor living. Oversized 2-car garage with storage, laundry room with sink, washer &amp; dryer, and new roof (2025). Expansive primary suite with renovated bath and deep soaking tub. Quail Creek offers resort-style amenities including golf, pools, fitness, dining, creative arts, and 80+ clubs?all set against the stunning Santa Rita Mountains.</t>
  </si>
  <si>
    <t>Bank Swallow</t>
  </si>
  <si>
    <t>From Parcel:30429001P /Quail Creek Block 1 Lot 26</t>
  </si>
  <si>
    <t>Step into resort living in this stunning 2,193 sq ft Quail Creek home with sweeping golf course and mountain views. Bright, airy spaces feature large windows with plantation shutters, soaring ceilings, and an open floor plan accented with warm Southwest tones. The kitchen shines with stainless steel appliances, Corian counters, built-in double ovens, and a sunny eat-in nook. The luxurious primary suite offers a spa tub and walk-in shower, while guests enjoy a private en-suite retreat. Outdoor living impresses with a Pebble Tec pool, covered patio, and enclosed front courtyard. A 2.5-care garage provides abundant storage and a workbench area. Beautiful landscaping completes this exceptional desert escape</t>
  </si>
  <si>
    <t>Ruff</t>
  </si>
  <si>
    <t>Quail Creek II Unit 34A SQ20203530106 Lot 9</t>
  </si>
  <si>
    <t>Better than new! This 2023 Villa boasts over $100,000 in upgrades, highlighted by a gourmet kitchen with LG ThinQ appliances, quartz counters, subway tile backsplash, workstation sink, pantry, and upgraded cabinetry with crown molding, soft-close doors, and pull-out shelves. Just steps from the new Canyon Club with pools, fitness, spa, bistro, pool tables and more. From the private courtyard, enjoy mountain views with a remote privacy screen. Additional features include an open great room, custom up/down blinds, upgraded lighting, 9-ft ceilings, shutters in the guest suite, and a laundry/butler's station with sink and storage. The garage offers abundant storage, whole house water filter and a work area. Lock &amp; leave convenience with HOA covering exterior paint, roof, window, pest and more</t>
  </si>
  <si>
    <t>Quail Creek II Unit 35A Sq20190320129 Lot 33</t>
  </si>
  <si>
    <t>This beautifully designed home in 55+ Quail Creek offers comfortable desert living with modern style and convenience. The single-story Villa features approximately 1286 square feet of living space designed with an open-concept layout ideal for both everyday living and entertaining. The bright great room flows seamlessly into a well-appointed kitchen with an island, ample cabinetry, and modern appliances. The spacious primary suite includes a walk-in closet and an en-suite bath with dual vanities. A 2 car garage and low-maintenance landscaping add to the home's practicality. Residents enjoy access to resort-style amenities including golf, fitness facilities, pools, and a variety of social activities, all set against the scenic Santa Rita Mnts. Fully furnished. Roof/landscaping in HOA dues.</t>
  </si>
  <si>
    <t>Quail Creek II Unit 35A</t>
  </si>
  <si>
    <t>Quail Creek II Unit 35B Sq20190870127 Lot 37 Cagrd</t>
  </si>
  <si>
    <t>Stunning 2021 Pavona Model rivals new construction w/its impressive array of upgrades. Step inside to discover elegant vinyl plank flooring throughout, gleaming quartz countertops,  SS appliances, and a spacious walk-in pantry w/abundant storage. Owner's ste. boasts a sophisticated dual vanity, exquisite all-tile shower, w/generous walk-in closet. Outside, your  private Oasis awaits w/fountain &amp; covered patio complete w/rolling shutters-ideal AZ Room for yr-round enjoyment. Entertain in style w/ outdoor kitchen, perfect for alfresco dining.  Exceptional oversized lot &amp; a rare find, backing to a peaceful common area ensuring unmatched privacy. Elec/vehicle charger. Many premium features and designer touches. This  remarkable home won't be available Ion . Schedule our showing today!</t>
  </si>
  <si>
    <t>Quail Creek II Unit 35B</t>
  </si>
  <si>
    <t>Comely</t>
  </si>
  <si>
    <t>Quail Creek II Unit 36 Sq20211830280 Nly Ptn Lot 120</t>
  </si>
  <si>
    <t>Gorgeous, like-new Mariposa model in the active retirement community of Quail Creek Resort, ideally situated on a quiet cul-de-sac with breathtaking views of the Santa Rita Mountains, including Mount Wrightson and Mount Hopkins. This Robson-built home blends quality craftsmanship with an unbeatable lifestyle?golf, pickleball, tennis, pools, clubs, and endless activities, all surrounded by friendly neighbors.    Curb appeal shines with a golf cart garage, 5-foot driveway extension, paver walkways, and low-maintenance landscaping. Inside, high-grade Luxury Vinyl Plank flooring flows throughout, complemented by a tray ceiling and an impressive 8-foot glass entry door. The open great room is filled with natural light, where large windows perfectly frame the stunning mountain backdrop,</t>
  </si>
  <si>
    <t>Quail Creek II Unit 36</t>
  </si>
  <si>
    <t>Bluejay Bluff</t>
  </si>
  <si>
    <t>Quail Creek II Unit 9 Lot 30</t>
  </si>
  <si>
    <t>This is the one you've been waiting for -- standout value for a freestanding home in one of Southern Arizona's most coveted active adult communities. Discover your perfect oasis in Quail Creek, where active adult living meets low-maintenance luxury. This beautifully furnished 1,900 sq ft home offers an open-concept floor plan with a highly sought-after 2-bedroom, 2-bath layout plus a dedicated den -- ideal for hobbies, a home office, or accommodating guests. The kitchen impresses with engineered stone countertops and rich knotty cherry cabinetry with crown molding, blending warmth and refinement throughout. A true standout feature is the extended 2+ car garage with an attached golf cart bay, perfect for storing your cart or creating your dream workshop space.</t>
  </si>
  <si>
    <t>Quail Creek II Unit 9</t>
  </si>
  <si>
    <t>QUAIL CREEK II UNIT 9 LOT 16</t>
  </si>
  <si>
    <t>This desirable Oakmont model in Quail Creek resort community offers 1,591 sq. ft., 2 BR, 2 BA, plus a versatile den, blending comfort, style, and beautiful desert surroundings. Great curb appeal welcomes you with an inviting front courtyard perfectly positioned to capture mountain and sunrise views -- an ideal setting for morning coffee. Inside, fresh interior paint throughout and abundant natural light create a bright, welcoming atmosphere. The spacious great room features new carpet and built-in niches for your TV, art, and décor. The upgraded kitchen offers Corian countertops, breakfast bar seating, pantry closet, and a charming eat-in dining area with mountain views. The split-bedroom floor plan ensures privacy for guests. The extended owner's suite includes a bay window, new carpet,</t>
  </si>
  <si>
    <t>Bluejay Vista</t>
  </si>
  <si>
    <t>From Parcel:30429328A /Quail Creek II Unit 9 Lot 68</t>
  </si>
  <si>
    <t>Don't miss this fully furnished, turn-key Oakmont model ideal for a winter retreat, investment or full- time home. Split floorplan for privacy, den-office-craft room, kitchen has extended height light maple cabinets, Primary bedroom has custom closet system, spacious front patio with tumbled brick and back patio features a semi-circle sitting wall, custom island and natural gas for the bbq.  Quail Creek offers a gated lifestyle with golf, pickle ball, fine dining, art and fitness centers and a variety of classes.</t>
  </si>
  <si>
    <t>QUAIL CREEK II UNIT 20 LOT 19</t>
  </si>
  <si>
    <t>Live your best life and entertain in grand style! This stylish and sophisticated Tesoro in Quail Creek beckons you with stunning, panoramic views, gorgeous stack stone facade, a zen-like courtyard and private casita. This 2,860 sq.ft. home offers 3 BR Suites, 3.5 BA +Den. From the entry foyer and great room, you are instantly drawn to the four, majestic stack sliding glass doors that open to the extended patio and outdoor fireplace. Great room has Swiss &amp; Martin custom built-ins, wet bar and surround sound. The upgraded kitchen offers 2-tone cabinets, GE Monogram SS appliances incl. built-in refrigerator, center island, quartz counters, convection wall oven and microwave, and butler's pantry. Extended owner's suite w/ tile floors, 2 closets, dual vanity bath, tile shower and jetted tub.</t>
  </si>
  <si>
    <t>Quail Creek II Units 20 &amp; 21</t>
  </si>
  <si>
    <t>QUAIL CREEK II UNIT 20 LOT 27</t>
  </si>
  <si>
    <t>Located in sought-after Quail Creek resort community, this beautifully appointed 2018 Treviso model offers 2 bedrooms, 2.5 baths, plus a den, combining privacy, luxury, and breathtaking views. Ideally positioned backing to vast natural desert, the home captures panoramic desert and mountain views along with spectacular Arizona sunsets. Enter through a gated front courtyard with an inviting seating area, perfect for morning coffee or welcoming guests. A beautiful wood door opens to a welcoming entry foyer. Beyond, the spacious great room features a dramatic 4-panel center sliding glass door that fills the room with natural light and seamlessly connects indoor and outdoor living, opening to the covered patio and professionally landscaped backyard. Tile flooring enhances all common areas.</t>
  </si>
  <si>
    <t>Quail Creek ll Unite 20 &amp; 21 Lot 32</t>
  </si>
  <si>
    <t>****$15,000 price adjustment****Welcome to your dream oasis, where majestic mountains frame your life, offering breathtaking sunrise and sunset vistas from a coveted lot. This exquisite property features owned solar panels and an expansive patio, ideal for savoring the stunning surroundings and observing local wildlife. Inside, the thoughtful split floor plan boasts two spacious bedrooms, including a luxurious master suite with an ensuite bathroom and a generous walk-in closet. Designed for optimal flow, a conveniently located powder room near the den, kitchen, and great room enhances functionality. The open-concept great room, dining area, and kitchen bathe in natural light and offer views from every room.</t>
  </si>
  <si>
    <t>From Parcel:304293220 /Unit 3 Quail Creek II Lot 450</t>
  </si>
  <si>
    <t>Welcome to resort-style living in Quail Creek, an active adult community. This one-of-a-kind remodeled home stands apart from the original floor plan, offering a thoughtfully reimagined open-concept design that creates endless possibilities for entertaining and everyday living.     Set on a generously sized, meticulously landscaped lot, this home offers peek-a-boo views of the Santa Rita Mountains, an inviting covered patio, and a charming wood-burning fireplace, perfect for relaxing evenings or entertaining guests outdoors.     Inside, soaring vaulted ceilings create a bright, open feel from the moment you enter. A flexible office or den sits just off the entry, ideal for working from home, hobbies, or quiet retreat.</t>
  </si>
  <si>
    <t>Unit 3 Quail Creek II</t>
  </si>
  <si>
    <t>Mourning Dove</t>
  </si>
  <si>
    <t>UNIT 3 QUAIL CREEK II LOT 478</t>
  </si>
  <si>
    <t>This meticulously cared-for, one owner Oakmont model offers 1,569 sq.ft., 2 BR, 2 BA, Den (or optional dining room), and resides on a generous size cul-de-sac lot. Stunning curb appeal, anchored by paver driveway, walkways, front paver courtyard, wrought iron security door. Interior features include all tile floors and plantation shutters throughout. 3 solar tubes offer an abundance of natural light. Kitchen has maple cabinets, mosaic tile backsplash and tile front breakfast bar. Owner's suite w/ dual vanity bath, glass block and tile walk-in shower, spacious walk-in closet. Out back find an extended paver patio, pergola for added shade, solar screens and lush landscaping, offering plenty of privacy from neighbors. New roof 2024, AC replaced 2014, water heater 2017, water softener 2019.</t>
  </si>
  <si>
    <t>Days on Market</t>
  </si>
  <si>
    <t>Features</t>
  </si>
  <si>
    <t>List Price</t>
  </si>
  <si>
    <t># of Interior Levels</t>
  </si>
  <si>
    <t>MTH Realty LLC (5383)</t>
  </si>
  <si>
    <t>(520) 686-5755</t>
  </si>
  <si>
    <t>Michelle R Jessee</t>
  </si>
  <si>
    <t>Residential</t>
  </si>
  <si>
    <t/>
  </si>
  <si>
    <t>A</t>
  </si>
  <si>
    <t>Clara Roberts</t>
  </si>
  <si>
    <t>AZ</t>
  </si>
  <si>
    <t>1</t>
  </si>
  <si>
    <t>SF 0136 Plan 1520B</t>
  </si>
  <si>
    <t>Energy Efficient. Vail School District. Great Amenities.    Get ready to host family and friends in this inviting 3-bedroom, 2-bath home featuring a spacious great room and kitchen complete with a center island--perfect for entertaining.    Stylish interior finishes include pebble-colored cabinets, white-toned quartz countertops, large gray tile flooring, and neutral tan carpet, creating a modern yet warm atmosphere.    Located in the vibrant Alamar at Rocking K master-planned community, residents will enjoy exceptional amenities such as pickleball courts, multiple playgrounds, and a splash pad.    Each of our homes is built with innovative, energy-efficient features.</t>
  </si>
  <si>
    <t>205-96-5290</t>
  </si>
  <si>
    <t>Meritage Homes</t>
  </si>
  <si>
    <t>Builder</t>
  </si>
  <si>
    <t>Rocking K South Neighborhood 4 Parcel L</t>
  </si>
  <si>
    <t>SF 0137 Plan 1520A</t>
  </si>
  <si>
    <t>Energy Efficient. Vail School District. Pickle Ball.     This thoughtfully designed 3-bedroom, 2-bath home offers a welcoming layout perfect for everyday living. At the end of the day, unwind in the private primary suite, tucked into the corner of the home for added peace and privacy.    Interior highlights include umber cabinets, shaded grey granite countertops, wood-look tile flooring, and multi-tone carpet.    Located in Alamar at Rocking K, enjoy an active lifestyle with amenities like pickleball courts, playgrounds, and a splash pad.</t>
  </si>
  <si>
    <t>205-96-5300</t>
  </si>
  <si>
    <t>2</t>
  </si>
  <si>
    <t>SF 0131 Plan 2585C</t>
  </si>
  <si>
    <t>This spacious 5-bedroom, 3-bath floorplan is designed with flexibility in mind! A downstairs guest bedroom and full bath make it perfect for overnight visitors, while the upstairs loft offers extra living space for a media room, play area, or home office.    Located in the vibrant Alamar at Rocking K master-planned community, residents enjoy incredible amenities including pickleball courts, multiple playgrounds, and a splash pad?perfect for active, family-friendly living.    Each of our homes is thoughtfully built with innovative, energy-efficient features, helping you enjoy lower utility bills, better health, real comfort, and greater peace of mind?so you can afford to live more fully.    Come tour this beautiful home today!</t>
  </si>
  <si>
    <t>205-96-5240</t>
  </si>
  <si>
    <t>SF 0144 Plan 1820C</t>
  </si>
  <si>
    <t>Move in Ready. Energy Efficient. Vail Sxhool Disctrict.    Step into comfort and style with this 4-bedroom, 2-bath home, ideal for entertaining guests or unwinding in your private primary suite. The kitchen shines with beautiful umber cabinets, shaded grey granite countertops, and durable wood-like ceramic tile flooring paired with multi-tone carpet throughout the home.    This home is move-in ready, complete with a washer, dryer, stainless steel appliances, refrigerator, and blinds.    Built with innovative, energy-efficient features to help you save on utilities while enjoying year-round comfort.    Located in the vibrant Alamar at Rocking K community, residents have access to amazing amenities including pickleball courts, playgrounds, and a splash pad</t>
  </si>
  <si>
    <t>205-96-5370</t>
  </si>
  <si>
    <t>SF 0130 Plan 1820A</t>
  </si>
  <si>
    <t>With four bedrooms and two bathrooms, this home is designed for both comfort and entertaining. The open layout is perfect for hosting guests, while the tucked-away primary suite offers a peaceful and private retreat.    Interior finishes include white cabinets, cream and black granite countertops, travertine-look tile flooring, and warm neutral carpet, creating a stylish and inviting atmosphere throughout.    Located in the vibrant Alamar at Rocking K master-planned community, residents will enjoy amenities such as pickleball courts, multiple playgrounds, and a splash pad?perfect for an active lifestyle.    This home is move-in ready and comes complete with a washer, dryer, refrigerator, and whole-home blinds.</t>
  </si>
  <si>
    <t>205-96-5230</t>
  </si>
  <si>
    <t>Cabari Mine</t>
  </si>
  <si>
    <t>SF 0068 Plan 2585A</t>
  </si>
  <si>
    <t>This thoughtfully designed 5-bedroom home offers plenty of space for the whole family, including a downstairs guest bedroom and full bathroom?ideal for overnight visitors or multigenerational living.    The interior features umber cabinets, dusty white and gray granite countertops, stone-look tile flooring, and warm beige carpet, creating a cozy yet stylish environment throughout.    Located in the sought-after Alamar at Rocking K community, residents will enjoy a range of amenities, including pickleball courts, playgrounds, and a splash pad.    This home is move-in ready and comes complete with a washer, dryer, refrigerator, and whole-home blinds.</t>
  </si>
  <si>
    <t>205-96-4610</t>
  </si>
  <si>
    <t>SF 0067 Plan 1820A</t>
  </si>
  <si>
    <t>With four bedrooms and two bathrooms, this home is designed for both comfort and entertaining. The open layout is perfect for hosting, while the tucked-away primary suite offers a private retreat.    Interior highlights include white cabinets, sleek quartz countertops, wood-like tile flooring, and natural-tone carpet, blending modern style with warmth and comfort.    Located in the sought-after Alamar at Rocking K master-planned community, residents will enjoy a variety of amenities such as pickleball courts, playgrounds, and a splash pad?perfect for active, family-friendly living.    This home is move-in ready, complete with a washer, dryer, refrigerator, and whole-home blinds.</t>
  </si>
  <si>
    <t>205-96-4600</t>
  </si>
  <si>
    <t>Lennar Sales Corp. (128102)</t>
  </si>
  <si>
    <t>(520) 747-0997</t>
  </si>
  <si>
    <t>Andrea Summers</t>
  </si>
  <si>
    <t>Charles Young</t>
  </si>
  <si>
    <t>Vail</t>
  </si>
  <si>
    <t>ROCKING K SOUTH NEIGHBORHOOD 4 Parcel M Lot 24</t>
  </si>
  <si>
    <t>Multigenerational living is simple with the Next Gen® suite in this two-story home, featuring a private entrance, living room, kitchen, bedroom and bathroom. The first level of the main home is host to an open concept living and dining space, plus the luxurious owner's suite. A loft and three bedrooms occupy the second level. This home includes GE® stainless steal appliances, Rinnai Tankless Water Heater, prep for reverse osmosis, Granite Countertops, 2'' faux wood blinds, LED lighting and so much more!</t>
  </si>
  <si>
    <t>205-96-5900</t>
  </si>
  <si>
    <t>Lennar</t>
  </si>
  <si>
    <t>Rocking K South Neighborhood 1 Parcel A-1</t>
  </si>
  <si>
    <t>DRH Properties Inc. (2520)</t>
  </si>
  <si>
    <t>(520) 790-6005</t>
  </si>
  <si>
    <t>Michele J Durco Ahern</t>
  </si>
  <si>
    <t>P</t>
  </si>
  <si>
    <t>Canidae</t>
  </si>
  <si>
    <t>Rocking K South Neighborhood 3 Parcel Dd Lot 48 Sq20220330285</t>
  </si>
  <si>
    <t>Brand-new construction and brand-new floorplan within Rocking K, a master-planned community. This Two-story home boasts an open concept layout that caters to comfort and style. This home is 2624 square feet of living space with a 3-Car tandem garage and loft upstairs. The lower level living area is accentuated by 9 feet high ceilings, Quartz countertops in the kitchen, upgraded cabinets, and stainless steel appliances including a microwave, dishwasher and gas range. The primary suite is located downstairs and has a large closet for ample storage plus an en-suite bathroom with a double vanity. Energy efficiency is at the forefront of this Zero Energy Ready home's design, boasting spray foam insulation, dual pane low-emissivity windows and ceiling fan prewires to ensure comfort year-round.</t>
  </si>
  <si>
    <t>205-96-0480</t>
  </si>
  <si>
    <t>D R Horton Inc</t>
  </si>
  <si>
    <t>Rocking K South Neighborhood 3 Parcel DD</t>
  </si>
  <si>
    <t>Rocking K South Neighborhood 3 Parcel Dd Lot 49 Sq20220330285</t>
  </si>
  <si>
    <t>Brand-new construction and brand-new floorplan within Rocking K, a master-planned community. This Two-story home boasts a wide open concept layout that caters to comfort and style. This home is 2439 square feet of living space with a 3-Car tandem garage and Loft upstairs. The lower level living area is accentuated by 9 feet high ceilings, Quartz countertops in the kitchen, upgraded cabinets, and stainless steel appliances including a microwave, dishwasher and gas range. The primary suite has a large closet for ample storage plus an en-suite bathroom with a double vanity. Energy efficiency is at the forefront of this Zero Energy Ready home's design, boasting spray foam insulation, dual pane low-emissivity windows and ceiling fan prewires to ensure comfort year-round.</t>
  </si>
  <si>
    <t>205-96-0490</t>
  </si>
  <si>
    <t>Richmond American Homes of AZ (186501)</t>
  </si>
  <si>
    <t>(480) 624-0224</t>
  </si>
  <si>
    <t>Paul John Bargnesi</t>
  </si>
  <si>
    <t>Orions Belt</t>
  </si>
  <si>
    <t>ROCKING K SOUTH NEIGHBORHOOD 1 PARCEL B-1  SQ20202530422 LOT 75</t>
  </si>
  <si>
    <t>The ranch-style Cassandra plan showcases an open layout with a great room, a breakfast nook and a large gourmet kitchen with Miami Oro quartz countertops! The owner's suite is adjacent and boasts a generous walk-in closet and an attached bath with a walk-in shower. Three additional bedrooms, two full baths and a powder room round out this home. Covered patio is also included!</t>
  </si>
  <si>
    <t>205-95-7490</t>
  </si>
  <si>
    <t>Richmond American Homes</t>
  </si>
  <si>
    <t>Individual</t>
  </si>
  <si>
    <t>Rocking K South Neighborhood 1 Parcel B-2</t>
  </si>
  <si>
    <t>ROCKING K SOUTH NEIGHBORHOOD 1 PARCEL B-2 LOT 43</t>
  </si>
  <si>
    <t>This spacious single-floor plan offers a large, uninterrupted space for relaxing, entertaining and dining. The gourmet kitchen features a large center island with seating and opens to the dining and great rooms. The owner's bedroom has a convenient bathroom with a walk-in shower and a large walk-in closet. This home also boasts three secondary bedrooms. A covered patio is included for additional outdoor living space.</t>
  </si>
  <si>
    <t>205-95-7170</t>
  </si>
  <si>
    <t>SF 0061 Plan 1520A</t>
  </si>
  <si>
    <t>Granite Countertops. Appliances Included. Energy Efficient.    Designed for both comfort and entertaining, this 3-bedroom, 2-bathroom home features a modern open layout and stylish finishes throughout. The kitchen and living spaces shine with white cabinetry and white granite countertops, creating a bright, clean, and contemporary feel.    Located in the highly desirable Alamar at Rocking K master-planned community, residents enjoy resort-style amenities including pickleball courts, playgrounds, and a splash pad -- perfect for active and family-friendly living.    This home is move-in ready and comes complete with a washer, dryer, refrigerator, and whole-home blinds, so you can settle in right away.</t>
  </si>
  <si>
    <t>205-96-4540</t>
  </si>
  <si>
    <t>Rocking K South Neighborhood 3 Parcel Dd Lot 51 Sq20220330285</t>
  </si>
  <si>
    <t>Brand-new construction and brand-new floorplan within Rocking K, a master-planned community. This single-story home boasts an open concept layout that caters to comfort and style. This home is 1815 square feet of living space. The living area is accentuated by 9 feet high ceilings. Quartz countertops in kitchen, upgraded cabinets, and stainless steel appliances including a microwave, dishwasher and gas range. The primary suite has a large closet for ample storage and an en-suite bathroom with a double vanity. Energy efficiency is at the forefront of this Zero Energy Ready home's design, boasting spray foam insulation, dual pane low-emissivity windows and ceiling fan prewires to ensure comfort year-round. Photos are of model Home.</t>
  </si>
  <si>
    <t>205-96-0510</t>
  </si>
  <si>
    <t>Jill M Jones</t>
  </si>
  <si>
    <t>Placita Reata</t>
  </si>
  <si>
    <t>ROCKING K SOUTH NEIGHBORHOOD 3 PARCEL BB LOT  29  SQ20220830268</t>
  </si>
  <si>
    <t>The Great Room, kitchen and dining room are conveniently arranged in an open-concept design at the back of this low-maintenance, single-level home while sliding glass doors lead right to the covered patio for seamless indoor-outdoor dining and entertaining. Three bedrooms complete this home. This home includes GE® stainless steel appliances, Rinnai Tankless Water Heater, prep for reverse osmosis, Quartz Countertops, 2'' faux wood blinds, LED lighting and so much more! As an added bonus, this home includes a washer and dryer, plus a low-maintenance backyard with beautiful gravel landscaping - move-in ready and waiting for you!</t>
  </si>
  <si>
    <t>205-96-2990</t>
  </si>
  <si>
    <t>Rocking K South Neighborhood 3 Parcel BB</t>
  </si>
  <si>
    <t>ROCKING K SOUTH NEIGHBORHOOD 3 PARCEL BB LOT 28  SQ20220830268</t>
  </si>
  <si>
    <t>This single-level home features a spacious open floorplan shared between the living and dining spaces, offering direct access to the convenient covered patio ideal for entertaining guests. A bedroom situated off the foyer near a full bathroom is perfect for overnight guests or a home office, while the remaining four bedrooms provide enough space for the whole family. This home includes GE® stainless steal appliances, Rinnai Tankless Water Heater, prep for reverse osmosis, Quartz Countertops, 2'' faux wood blinds, LED lighting and so much more! As an added bonus, this home includes a washer and dryer in both the main home and Next-Gen Suite, plus a low-maintenance backyard with beautiful gravel landscaping - move-in ready and waiting for you!</t>
  </si>
  <si>
    <t>205-96-2980</t>
  </si>
  <si>
    <t>PCD Realty LLC (4826)</t>
  </si>
  <si>
    <t>(480) 391-6000</t>
  </si>
  <si>
    <t>Albert M Kingsbury</t>
  </si>
  <si>
    <t>Silver Oak</t>
  </si>
  <si>
    <t>Rocking K South Neighborhood 2 Lot 27 Sq20222310045</t>
  </si>
  <si>
    <t>Completed and ready for move in during October. This stunning Pursuit floor plan offers 2 bedrooms, a den, and luxurious walk-in showers in both baths. Soaring 10' ceilings, a walk-in pantry, tankless water heater, and gas to kitchen, laundry, and backyard elevate everyday living. The chef's kitchen impresses with Coastal Shaker (gray) cabinets, Pearl Quartz countertops, SS cooktop, hood, wall oven/micro combo, plus pull-outs and pots &amp; pans drawers. Pre-wired for ceiling fans and pendant lighting. Designer touches throughout.    Clubhouse/Rec Center coming late 2025.</t>
  </si>
  <si>
    <t>205-97-0270</t>
  </si>
  <si>
    <t>Del Webb/Pulte Homes</t>
  </si>
  <si>
    <t>Rocking K South Neighborhood 2</t>
  </si>
  <si>
    <t>Sonoran Oak</t>
  </si>
  <si>
    <t>Rocking K South Neighborhood 2 Lot 99 Sq20222310045</t>
  </si>
  <si>
    <t>This Sanctuary floor plan offers 2 bedrooms, a den, 1 full bath and a 3/4 owner's bath.  Highlights include 9' ceilings, a walk-in pantry, tankless water heater, gas connections, and a walk-in shower in the owner's suite.  The upgraded kitchen boasts Spirit Maple - Natural cabinets, Quartz-Zinc countertops, and a Chef's layout with a stainless-steel cooktop, hood, and wall microwave/oven combo.  Pre-wiring for ceiling fans and pendant lighting completes this beautifully designed home.      Clubhouse is now open.</t>
  </si>
  <si>
    <t>205-97-0990</t>
  </si>
  <si>
    <t>Rocking K South Neighborhood 2 Lot 92 Sq20222310045</t>
  </si>
  <si>
    <t>This is a quick move-in home located in the Del Webb community of Rocking K.  The Serenity open floor plan with 3 bedrooms plus a den, 1 full and 1 3/4 bath, 9' ceilings, 8' interior doors, walk-in pantry, and tankless water heater. Gas in   kitchen/laundry/backyard and roll-in shower in owner's suite.  The kitchen features upgraded cabinets in Regal White, granite in Dallas White and Chef's kitchen layout (stainless steel cooktop, hood, wall microwave/oven combo).  Pre-wire for ceiling fans and pendant lighting and many other tastefully design selections round out this amazing quick move-in home.  Clubhouse is open.</t>
  </si>
  <si>
    <t>205-97-0920</t>
  </si>
  <si>
    <t>ROCKING K SOUTH NBHD 2  LOT 40  SQ20222310045</t>
  </si>
  <si>
    <t>Quick Move-In Home - Available Now.  The Haven floor plan features 2 bedrooms + den, 1 full bath and a 3/4 owner's bath, with two outdoor spaces?a courtyard off the kitchen and an L-shaped backyard patio. Highlights include 9' ceilings, 8' interior doors, walk-in pantry, tankless water heater, and gas to the kitchen, laundry, and backyard. The chef's kitchen offers upgraded natural cabinets, Oceana quartz counters, SS cooktop, hood, and wall oven/microwave combo. Owner's suite has a walk-in shower. Pre-wired for ceiling fans and pendants. Clubhouse now open.</t>
  </si>
  <si>
    <t>205-95-040</t>
  </si>
  <si>
    <t>ROCKING K SOUTH NEIGHBORHOOD 1 PARCEL B-1  SQ20202530422 LOT 45</t>
  </si>
  <si>
    <t>The heart of the ranch-style Townsend is an open floor plan with a family room, a breakfast nook and a large gourmet kitchen. The adjacent owner's suite offers a walk-in closet and an attached deluxe bath with a walk-in shower. You'll also find two additional bedrooms and a bath, as well as a private study. This home also features a guest suite with a full bath, an extended covered patio and a 2-car garage!</t>
  </si>
  <si>
    <t>205-95-7190</t>
  </si>
  <si>
    <t>Rocking K South Neighborhood 1 Parcel B-1</t>
  </si>
  <si>
    <t>Rocking K South Neighborhood 2 Lot 54 Sq20222310045</t>
  </si>
  <si>
    <t>Discover the Haven open floor plan, featuring two bedrooms, a versatile den, and two baths - including a luxurious owner's 3/4 bath with a walk-in shower.  This thoughtfully designed home boasts 9' ceilings, a spacious walk-in pantry, and gas connections in the kitchen, laundry and backyard.  Enjoy upgraded Coastal Shaker Maple cabinets in Truffle, elegant Dallas White granite countertops, and a Chef's kitchen layout with a stainless-steel cooktop, hood, and wall microwave/oven combo.  Additional highlights include a thankless water heater, pre-wiring for ceiling fans and pending lighting, and a variety of stylish design selections throughout.  Don't miss this incredible August move-in opportunity.  Clubhouse/Rec Center estimated year-end 2025.</t>
  </si>
  <si>
    <t>205-97-0540</t>
  </si>
  <si>
    <t>Stargilia</t>
  </si>
  <si>
    <t>ROCKING K SOUTH NBHD 2  LOT 177  SQ20222310045</t>
  </si>
  <si>
    <t>Experience the Hideaway open floor plan, thoughtfully designed with two bedrooms and two baths, including a luxurious owner's ¾ bath with a walk-in shower. This stunning home features 9' ceilings, a spacious walk-in pantry, and gas connections in the kitchen, laundry, and backyard. The kitchen is beautifully appointed with Grant Alder cabinets in Butternut, Barcelona granite countertops, and a Chef's kitchen layout, complete with a stainless steel cooktop, hood, and wall microwave/oven combo. Additional highlights include a tankless water heater, pre-wiring for ceiling fans and pendant lighting, and an array of stylish design selections throughout.    Clubhouse is open.</t>
  </si>
  <si>
    <t>205-97-1780</t>
  </si>
  <si>
    <t>Coral Root</t>
  </si>
  <si>
    <t>ROCKING K SOUTH NBHD 2  LOT 149  SQ20222310045</t>
  </si>
  <si>
    <t>Experience elevated living in this stunning Hideaway floor plan featuring 2 bedrooms and 3/4 baths, including a spa-style walk-in shower in the owner's suite. Enjoy 9' ceilings, a rear extension for added space, and a walk-in pantry. The gourmet kitchen boasts quartz countertops in Hana Sky, upgraded Encanto Maple cabinets in Sundown, and an electric stove. A tankless water heater, pre-wiring for ceiling fans, and elegant design selections complete this beautifully crafted home.    Clubhouse is open.</t>
  </si>
  <si>
    <t>205-97-1500</t>
  </si>
  <si>
    <t>Velvet Ash</t>
  </si>
  <si>
    <t>ROCKING K SOUTH NBHD 2  LOT 65  SQ20222310045</t>
  </si>
  <si>
    <t>No Waiting - Move In Right. This stunning Endeavor floor plan features 2 ensuite bedrooms, a den, flex space, two ¾ baths, and a powder room. With soaring 10' ceilings, it offers a walk-in pantry, tankless water heater, and gas connections in the kitchen, laundry, and backyard. The owner's suite boasts a luxurious walk-in shower.    The upgraded kitchen includes Coastal Shaker Maple Truffle cabinetry, Quartz-Terra Luna countertops, and a Chef's layout with a SS cooktop, hood, and wall-mounted microwave/oven combo. Pre-wiring for ceiling fans and pendant lighting adds the perfect finishing touch.    The Clubhouse is open.</t>
  </si>
  <si>
    <t>205-97-0650</t>
  </si>
  <si>
    <t>Red Juniper</t>
  </si>
  <si>
    <t>ROCKING K SOUTH NBHD 2  LOT 200  SQ20222310045</t>
  </si>
  <si>
    <t>Quick Move-In - Available Now.    Step into the Pursuit floor plan featuring 2 bedrooms, a spacious den, and 2 baths including a walk-in shower in the owner's suite. Enjoy soaring 10' ceilings, a walk-in pantry, and gas connections in the kitchen, laundry, and backyard. The chef's kitchen boasts Lisbon Maple cabinets in Truffle, Atacama granite countertops, and stainless steel appliances?cooktop, hood, wall oven/microwave combo. Refrigerator, washer, dryer, and window coverings are included. Pre-wired for ceiling fans and pendant lighting, with stylish design finishes throughout.    The Clubhouse is open.</t>
  </si>
  <si>
    <t>205-97-2010</t>
  </si>
  <si>
    <t>ROCKING K SOUTH NBHD 2  LOT 42  SQ20222310045</t>
  </si>
  <si>
    <t>Your New Home Awaits - Available Now.    Welcome to the Sanctuary floor plan featuring 2 bedrooms, a spacious den, and 2 baths including a walk-in shower in the owner's suite. Enjoy 9' ceilings, a large pantry, tankless water heater, and gas connections in the kitchen, laundry, and backyard. The chef's kitchen showcases Estrella Maple cabinets in Moonlight, Negresco Honed granite countertops, and stainless steel appliances?cooktop, hood, wall oven/microwave combo. Pre-wired for ceiling fans and pendant lighting, with stylish design finishes throughout.    The Clubhouse/Rec Center is set for completion by year-end 2025.</t>
  </si>
  <si>
    <t>205-97-0420</t>
  </si>
  <si>
    <t>ROCKING K SOUTH NEIGHBORHOOD 4 Parcel M Lot 129</t>
  </si>
  <si>
    <t>Multigenerational living is simple with the Next Gen® suite in this two-story home, featuring a private entrance, living room, kitchen, bedroom and bathroom. The first level of the main home is host to an open concept living and dining space, plus the luxurious owner's suite. A loft and three bedrooms occupy the second level. This home includes GE® stainless steal appliances, Rinnai Tankless Water Heater, prep for reverse osmosis, Granite Countertops, 2'' faux wood blinds, LED lighting and so much more! As an added bonus enjoy a low-maintenance backyard complete with beautiful gravel landscaping - perfect for easy outdoor living!</t>
  </si>
  <si>
    <t>205-96-6950</t>
  </si>
  <si>
    <t>ROCKING K SOUTH NEIGHBORHOOD 1 PARCEL B-1  SQ20202530422 LOT 78</t>
  </si>
  <si>
    <t>The heart of the ranch-style Townsend is an open floor plan with a family room, a breakfast nook and a large gourmet kitchen. The adjacent owner's suite offers a walk-in closet and an attached deluxe bath with a walk-in shower. You'll also find two additional bedrooms and a bath, as well as a private study. This home also features a guest suite with a full bath, a covered patio and a 2-car garage!</t>
  </si>
  <si>
    <t>205-95-7520</t>
  </si>
  <si>
    <t>Fox Snowden</t>
  </si>
  <si>
    <t>ROCKING K SOUTH NEIGHBORHOOD 4 Parcel M Lot 137</t>
  </si>
  <si>
    <t>The spacious open-concept design of this single-story home simplifies multitasking among the living and dining spaces, while a back patio offers an ideal retreat for outdoor meals with friends and family. Four bedrooms, including the owner's suite, offer plenty of room for younger family members and guests. This home includes GE® stainless steal appliances, Rinnai Tankless Water Heater, prep for reverse osmosis, Granite Countertops, 2'' faux wood blinds, LED lighting and so much more!</t>
  </si>
  <si>
    <t>205-96-7030</t>
  </si>
  <si>
    <t>CORTE DEL RENEGADO</t>
  </si>
  <si>
    <t>ROCKING K SOUTH NEIGHBORHOOD 3 PARCEL BB LOT  96  SQ20220830268</t>
  </si>
  <si>
    <t>This new three-bedroom home offers convenient single-story living. Two bedrooms boast a private location near the front of the home, steps from a full bathroom. An inviting open-concept floorplan blends the kitchen, living and dining areas for seamless transitions and everyday multitasking. Nestled into a private rear corner, a luxe owner's suite provides a tranquil retreat with direct access to a full bathroom and walk-in closet.  This home includes GE® stainless steal appliances, Rinnai Tankless Water Heater, Quartz Countertops, 2'' faux wood blinds, LED lighting and so much more! As an added bonus, this home comes complete with a washer and dryer! Don't miss this great opportunity to own a beautiful move-in ready home!</t>
  </si>
  <si>
    <t>205-96-3660</t>
  </si>
  <si>
    <t>Corte Del Renegado</t>
  </si>
  <si>
    <t>ROCKING K SOUTH NEIGHBORHOOD 3 PARCEL BB LOT  95  SQ20220830268</t>
  </si>
  <si>
    <t>This new single-story home boasts a modern and low-maintenance layout. Three bedrooms are located near the front of the home off the foyer, steps from a full bathroom. An open-concept floorplan combines the kitchen, dining room and family room to maximize interior space, while a lavish owner's suite at the back of the home provides a serene retreat with direct access to a full bathroom and walk-in closet. This home includes GE® stainless steal appliances, Rinnai Tankless Water Heater, Quartz Countertops, 2'' faux wood blinds, LED lighting and so much more! As an added bonus, this home comes complete with a washer and dryer! Don't miss this great opportunity to own a beautiful move-in ready home!</t>
  </si>
  <si>
    <t>205-96-3650</t>
  </si>
  <si>
    <t>ROCKING K SOUTH NEIGHBORHOOD 3 PARCEL BB LOT  97  SQ20220830268</t>
  </si>
  <si>
    <t>This new two-story home is ready for modern lifestyles. A luxurious first-floor owner's suite provides a tranquil retreat with a full bathroom and walk-in closet, while a nearby open-concept layout blends the kitchen, living and dining areas. Three additional bedrooms surround a versatile loft on the second level. This home includes GE® stainless steel appliances, Rinnai Tankless Water Heater, Quartz Countertops, 2'' faux wood blinds, LED lighting and so much more! As an added bonus, this home comes complete with a washer and dryer! Don't miss this great opportunity to own a beautiful move-in ready home!</t>
  </si>
  <si>
    <t>205-96-3670</t>
  </si>
  <si>
    <t>SF 0059 Plan 2110E</t>
  </si>
  <si>
    <t>Vail School District. Energy Efficient. Appliances Included.    SPACE FOR EVERYONE  Versatile 4 bed, 3 bath Topaz floorplan in Alamar at Rocking K! This spacious home features a flexible teen room--perfect for homework, gaming, or a second living area. The Calm package offers stylish umber cabinets, dusty white and gray granite countertops, stone-look tile flooring, and warm beige carpet. Located in a master-planned community with access to award-winning Vail schools. Enjoy amenities like pickleball courts, playgrounds, and a splash pad. Move-in ready with washer, dryer, fridge, and whole-home blinds. Built with energy-efficient features for everyday comfort and savings.</t>
  </si>
  <si>
    <t>205-96-4520</t>
  </si>
  <si>
    <t>SF 0060 Plan 2110C</t>
  </si>
  <si>
    <t>Versatile 4BR/3BA Topaz Floorplan in Alamar at Rocking K!  This spacious two-story home features a dedicated teen room?ideal for homework, gaming, or relaxing. The Balanced package includes Pebble cabinets, white-toned quartz countertops, large grey tile flooring, and neutral tan carpet. Located in the master-planned Alamar at Rocking K community, with access to award-winning Vail schools. Enjoy amenities like pickleball courts, playgrounds, and a splash pad. Move-in ready with washer, dryer, fridge, and whole-home blinds. Built with energy-efficient features for lasting comfort and savings!</t>
  </si>
  <si>
    <t>205-96-4530</t>
  </si>
  <si>
    <t>SF 0143 Plan 1520B</t>
  </si>
  <si>
    <t>Inviting 3BR/2BA Home in Alamar at Rocking K!  Perfect for entertaining, this home features a spacious great room and kitchen with island. This package includes Umber cabinets, dusty white/gray granite countertops, stone-look tile flooring, and warm beige carpet. Located in the master-planned Alamar at Rocking K community, within the award-winning Vail School District. Enjoy amenities like pickleball courts, playgrounds, and a splash pad. Move-in ready with washer, dryer, fridge, and whole-home blinds. Energy-efficient features offer lasting comfort and savings!</t>
  </si>
  <si>
    <t>205-96-5360</t>
  </si>
  <si>
    <t>SF 0073 Plan 1820B</t>
  </si>
  <si>
    <t>Spacious. Energy Efficient. Vail School District.    ENTERTAIN IN STYLE  Spacious 4 bed, 2 bath home designed for gatherings, featuring an expansive great room and designer finishes throughout. Enjoy rich umber cabinets, shaded gray granite countertops, wood-look tile flooring, and warm neutral carpet. Located in the master-planned Alamar at Rocking K community with access to award-winning Vail schools. Residents enjoy amenities including pickleball courts, playgrounds, and a splash pad. Move-in ready with washer, dryer, fridge, and whole-home blinds. Built with energy-efficient features for lasting comfort and savings.</t>
  </si>
  <si>
    <t>205-96-4660</t>
  </si>
  <si>
    <t>SF 0074 Plan 1520C</t>
  </si>
  <si>
    <t>Vail School District. Spacious. Energy Efficient.     Spacious 3BR/2BA Home in Alamar at Rocking K!    This open-concept home features a large great room and kitchen with Pebble cabinets, white-toned quartz countertops, grey tile flooring, and neutral tan carpet. Located in the master-planned Alamar at Rocking K community, offering five floorplans and access to award-winning Vail schools. Enjoy amenities like pickleball courts, playgrounds, and a splash pad. Move-in ready with washer, dryer, fridge, and whole-home blinds. Built with energy-efficient features for better health, comfort, and savings!</t>
  </si>
  <si>
    <t>205-96-4670</t>
  </si>
  <si>
    <t>SF 0148 Plan 1820B</t>
  </si>
  <si>
    <t>Mountain Views. Energy Efficient. Vail School District.    ENTERTAIN WITH EASE  Spacious 4 bed, 2 bath Garnet floorplan in Alamar at Rocking K! This open-concept home features an expansive great room, perfect for gatherings and everyday living. The Calm package showcases umber cabinets, dusty white and gray granite countertops, stone-look tile flooring, and warm beige carpet for a stylish, welcoming feel. Located in a master-planned community with access to award-winning Vail schools. Enjoy amenities like pickleball courts, playgrounds, and a splash pad. Move-in ready with washer, dryer, fridge, and whole-home blinds. Built with energy-efficient features for comfort and savings!</t>
  </si>
  <si>
    <t>205-96-5410</t>
  </si>
  <si>
    <t>SF 0149 Plan 2110C</t>
  </si>
  <si>
    <t>Flexible 4BR/3BA Topaz Floorplan in Alamar at Rocking K!  This spacious home features a dedicated teen room?ideal for homework, gaming, or relaxing. The Balanced package includes Pebble cabinets, white-toned quartz countertops, large grey tile flooring, and neutral tan carpet. Located in the master-planned Alamar at Rocking K community, with access to award-winning Vail schools. Enjoy amenities like pickleball courts, playgrounds, and a splash pad. Move-in ready with washer, dryer, fridge, and whole-home blinds. Built with energy-efficient features designed just for you!</t>
  </si>
  <si>
    <t>205-96-5420</t>
  </si>
  <si>
    <t>SF 0057 Plan 2110C</t>
  </si>
  <si>
    <t>Your dream home is ready NOW! The Topaz floorplan features 4 bedrooms, 3 baths, and a bonus teen room?perfect for a game room, lounge, or study space. Enjoy stylish Umber cabinets, striking white/black granite countertops, stone-look tile, and cozy multi-tone carpet in our Base package. Located in Alamar at Rocking K, a vibrant master-planned community in the Vail School District with award-winning schools. Dive into fun with pickleball courts, playgrounds, and a splash pad! Comes fully loaded with washer, dryer, fridge, and whole-home blinds. Built with cutting-edge energy-efficient features for comfort, savings, and peace of mind.</t>
  </si>
  <si>
    <t>205-96-4500</t>
  </si>
  <si>
    <t>SF 0058 Plan 2110A</t>
  </si>
  <si>
    <t>Move-in ready and available NOW! The Topaz floorplan features 4 bedrooms, 3 baths, and a versatile teen room--perfect as a second living space. Enjoy stylish Umber cabinets, white/black granite countertops, stone-look tile, and multi-tone carpet in our Base package. Located in Alamar at Rocking K, a master-planned community in the Vail School District with top-rated schools. Amenities include pickleball courts, playgrounds, and a splash pad for endless fun. Comes complete with washer, dryer, fridge, and whole-home blinds! Built with cutting-edge energy-efficient features for lasting savings, comfort, and peace of mind.</t>
  </si>
  <si>
    <t>205-96-4510</t>
  </si>
  <si>
    <t>Rocking K South Neighborhood 3 Parcel Dd Lot 65 Sq20220330285 Exc Mineral Rights Below 30 Ft</t>
  </si>
  <si>
    <t>Brand-new construction with 2car garage plus tandem within Rocking K, a master-planned community. This single-story home boasts an open concept layout that caters to comfort and style. This home is 1768 square feet of living space. The living area is accentuated by 9 feet high ceilings. Quartz countertops in kitchen, upgraded cabinets, and stainless steel appliances including a microwave, dishwasher and gas range. The primary suite has a large closet for ample storage and an en-suite bathroom with a double vanity. Energy efficiency is at the forefront of this Zero Energy Ready home's design, boasting spray foam insulation, dual pane low-emissivity windows and ceiling fan prewires to ensure comfort year-round. Home is under construction.</t>
  </si>
  <si>
    <t>205-96-0650</t>
  </si>
  <si>
    <t>Gray Jay</t>
  </si>
  <si>
    <t>SF 0040 Plan 1600D</t>
  </si>
  <si>
    <t>The Coral floorplan in Tucson, AZ is a stylish single-story home featuring a covered patio off the great room. Enjoy white cabinets, white/gray granite countertops, travertine-look tile, and warm neutral carpet in our Cozy package. Located in Rincon Crest at Rocking K, a new master-planned community in Vail offering five floorplans and access to top-rated Vail School District. Amenities include pickleball courts, playgrounds, and a splash pad. Move-in ready with washer, dryer, fridge, and whole-home blinds. Built with innovative, energy-efficient features for lasting comfort.</t>
  </si>
  <si>
    <t>207-97-4570</t>
  </si>
  <si>
    <t>SF 0041 Plan 1600E</t>
  </si>
  <si>
    <t>Available Oct 2025! Discover the Coral floorplan in Tucson, AZ ? a stylish single-story home with a covered patio off the great room. Features include umber cabinets, white/gray granite countertops, light beige tile, and cool neutral carpet in our Charm package. Located in Rincon Crest at Rocking K, a new master-planned community in Vail offering five floorplans and access to top-rated Vail School District. Enjoy amenities like pickleball courts, playgrounds, and a splash pad. Move-in ready with washer, dryer, fridge, and whole-home blinds. Built with energy-efficient features for comfort and savings.</t>
  </si>
  <si>
    <t>207-97-4580</t>
  </si>
  <si>
    <t>SF 0043 Plan 1600D</t>
  </si>
  <si>
    <t>New Home Available Oct 2025 at Rincon Crest in Rocking K! The Coral floorplan offers single-story living with 4 bedrooms, 2 bathrooms, and a covered patio off the great room. Features include white cabinets, white/gray granite countertops, travertine-look tile flooring, and warm neutral carpet in our Cozy package. Located in Vail, AZ, this master-planned community offers five floorplans and access to award-winning schools in the Vail School District. Enjoy amenities like pickleball courts, playgrounds, and a splash pad. Move-in ready with washer, dryer, fridge, and whole-home blinds. Energy-efficient for lasting comfort and savings.</t>
  </si>
  <si>
    <t>207-97-4600</t>
  </si>
  <si>
    <t>SF 0044 Plan 1460D</t>
  </si>
  <si>
    <t>New Home Available Nov 2025 at Rincon Crest in Rocking K! The Onyx floorplan offers single-story living with 3 bedrooms, 2 bathrooms, and a 2-car garage. Features include Umber cabinets, white/gray granite countertops, light beige tile flooring, and cool neutral carpet in our Charm package. Located in Vail, AZ, this master-planned community offers five floorplans and access to top-rated schools in the Vail School District. Enjoy amenities like pickleball courts, playgrounds, and a splash pad. Move-in ready with washer, dryer, fridge, and whole-home blinds. Built with energy-efficient features for comfort, savings, and peace of mind.</t>
  </si>
  <si>
    <t>207-97-4610</t>
  </si>
  <si>
    <t>ROCKING K SOUTH NEIGHBORHOOD 3 PARCEL BB LOT  98  SQ20220830268</t>
  </si>
  <si>
    <t>This new two-story Next Gen® home is ready for multigenerational households and features a private suite with its own entrance, living area, kitchenette, bedroom, bathroom and laundry. The main home is host to an inviting open-concept layout and a flex space on the first floor. On the second level, a versatile loft provides a convenient shared living area easily accessible from three additional bedrooms and a lavish owner's suite with a full bathroom and walk-in closet. This home includes GE® stainless steel appliances, Rinnai Tankless Water Heater, Quartz Countertops, 2'' faux wood blinds, LED lighting and so much more! Don't miss this great opportunity to own a beautiful move-in ready home!</t>
  </si>
  <si>
    <t>205-96-3680</t>
  </si>
  <si>
    <t>Border Pinyon</t>
  </si>
  <si>
    <t>Rocking K South Neighborhood 2 Lot 79 Sq20222310045</t>
  </si>
  <si>
    <t>Quick Move-In Available This December.  Discover the Haven plan ? a beautifully designed open-concept home featuring an upgraded chef's kitchen with stainless steel appliances. The kitchen and bathroom countertops showcase elegant Atacama granite, complemented by upgraded Maple Truffle cabinetry. Additional enhancements include upgraded electrical fixtures, stylish tile flooring, and plush carpeting throughout. Don't miss the opportunity to make this stunning home yours.    The Clubhouse is now open.</t>
  </si>
  <si>
    <t>205-97-0790</t>
  </si>
  <si>
    <t>SF 0037 Plan 2380D</t>
  </si>
  <si>
    <t>The Citrine offers extra space with an upstairs loft, along with 4 bedrooms and 2.5 bathrooms. Interior highlights include white cabinets, white/gray granite countertops, travertine-look tile flooring, and warm neutral carpet from our Cozy package. Located in Rincon, a master-planned community featuring five floorplans and access to award-winning schools in the Vail School District. Amenities include pickleball courts, playgrounds, and a splash pad. Move-in ready with washer, dryer, fridge, and whole-home blinds?guaranteed. Built with energy-efficient features for comfort, health, and savings.  energy-efficient features designed to help you enjoy more savings, better health, real comfort and peace of mind.</t>
  </si>
  <si>
    <t>207-97-4540</t>
  </si>
  <si>
    <t>SF 0039 Plan 2690F</t>
  </si>
  <si>
    <t>The Sunstone plan features 4 bedrooms, 3 baths, and an open layout with a spacious kitchen showcasing umber cabinets, white/gray granite countertops, light beige tile, and cool neutral carpet from our Charm package. Located in a master-planned community offering 5 floorplans and access to top-rated Vail School District schools. Enjoy amenities like pickleball courts, playgrounds, and a splash pad. Move-in ready with washer, dryer, fridge, and whole-home blinds included. Built with energy-efficient features for better comfort, health, and savings.</t>
  </si>
  <si>
    <t>207-97-4560</t>
  </si>
  <si>
    <t>SF 0038 Plan 2690D</t>
  </si>
  <si>
    <t>4 Bed | 3 Bath - The Sunstone Floorplan  The Sunstone offers a spacious open layout with a generous kitchen, perfect for everyday living and entertaining. Interior finishes include white cabinets, white/gray granite countertops, travertine-look tile flooring, and warm neutral carpet from our Cozy package. Located in a master-planned community with five floorplans and access to top-rated schools in the Vail School District. Enjoy amenities like pickleball courts, playgrounds, and a splash pad. Move-in ready with washer, dryer, fridge, and whole-home blinds. Built with energy-efficient features for comfort, health, and savings.</t>
  </si>
  <si>
    <t>207-97-4550</t>
  </si>
  <si>
    <t>ROCKING K SOUTH NEIGHBORHOOD 4 Parcel M Lot 16</t>
  </si>
  <si>
    <t>This new two-story home is a family-friendly haven. The first floor features a contemporary open floorplan among the dining room, kitchen and Great Room. A generously sized patio enhances outdoor living. A luxe owner's suite and a secondary bedroom are conveniently located on this floor, along with flex space. The second floor hosts three secondary bedrooms and a versatile loft. This home includes GE® stainless steal appliances, Rinnai Tankless Water Heater, prep for reverse osmosis, Granite Countertops, 2'' faux wood blinds, LED lighting and so much more!</t>
  </si>
  <si>
    <t>205-96-5820</t>
  </si>
  <si>
    <t>SaddleBrooke Development Co (4898)</t>
  </si>
  <si>
    <t>(520) 818-6000</t>
  </si>
  <si>
    <t>Staci Klaus</t>
  </si>
  <si>
    <t>305-15-3860</t>
  </si>
  <si>
    <t>Robson Ranch Mountains LLC</t>
  </si>
  <si>
    <t>Vienta</t>
  </si>
  <si>
    <t>ROCKING K SOUTH NEIGHBORHOOD 3 PARCEL BB LOT  99  SQ20220830268</t>
  </si>
  <si>
    <t>This new two-story home is ready for modern lifestyles. A luxurious first-floor owner's suite provides a tranquil retreat with a full bathroom and walk-in closet, while a nearby open-concept layout blends the kitchen, living and dining areas. Three additional bedrooms surround a versatile loft on the second level. This home includes GE® stainless steel appliances, Rinnai Tankless Water Heater, Quartz Countertops, 2'' faux wood blinds, LED lighting and so much more! Don't miss this great opportunity to own a beautiful move-in ready home!</t>
  </si>
  <si>
    <t>205-96-3690</t>
  </si>
  <si>
    <t>Circulo Generoso</t>
  </si>
  <si>
    <t>ROCKING K SOUTH NEIGHBORHOOD 3 PARCEL BB LOT  45  SQ20220830268</t>
  </si>
  <si>
    <t>205-96-3150</t>
  </si>
  <si>
    <t>SF 0124 Plan 2380E</t>
  </si>
  <si>
    <t>The Sapphire floorplan features an open-concept layout ideal for entertaining. Styled with Umber cabinets, shaded gray granite countertops, wood-look tile flooring, and multi-tone carpet from our Elemental package. Located in Alamar at Rocking K, a master-planned community in the Vail School District offering five floorplans and access to top-rated schools. Enjoy amenities like pickleball courts, playgrounds, and a splash pad. This home is move-in ready with a washer, dryer, fridge, and whole-home blinds. Built with energy-efficient features to help you save more and live better.</t>
  </si>
  <si>
    <t>205-96-5170</t>
  </si>
  <si>
    <t>SF 0150 Plan 2110E</t>
  </si>
  <si>
    <t>Brand new, energy-efficient home available now! The Topaz floorplan features a versatile teen room?perfect as a second living space. Designed with Umber cabinets, shaded gray granite countertops, wood-look tile flooring, and multi-tone carpet from our Elemental package. Located in Alamar at Rocking K, a master-planned community in the Vail School District, offering five floorplans and access to award-winning schools. Enjoy amenities like pickleball courts, playgrounds, and a splash pad. Move-in ready with washer, dryer, fridge, and whole-home blinds included.</t>
  </si>
  <si>
    <t>205-96-5430</t>
  </si>
  <si>
    <t>Mattamy Tucson LLC (5799)</t>
  </si>
  <si>
    <t>(520) 297-6850</t>
  </si>
  <si>
    <t>Marian R Soto</t>
  </si>
  <si>
    <t>Squamata</t>
  </si>
  <si>
    <t>ROCKING K SOUTH NEIGHBORHOOD 3 PARCEL DD LOT 85 SQ20220330285</t>
  </si>
  <si>
    <t>Charming Copper plan with Ranch elevation. This thoughtfully designed layout includes open Greatroom with spacious dining area &amp; kitchen. The Owner's suite is a true retreat with a generously sized walk-in closet, a beautiful walk-in shower, vanity with twin sinks and view to the backyard. The modern kitchen is equipped with a gas range, Whirlpool refrigerator, center island and a walk-in pantry for all your culinary needs. Laundry room is complete with Washer/Dryer. November completion. Photos of MODEL HOME.</t>
  </si>
  <si>
    <t>205-96-0850</t>
  </si>
  <si>
    <t>Mattamy</t>
  </si>
  <si>
    <t>ROCKING K SOUTH NEIGHBORHOOD 3 PARCEL DD LOT 91 SQ20220330285</t>
  </si>
  <si>
    <t>Charming Copper plan with Spanish elevation. This thoughtfully designed layout includes open Greatroom with spacious dining area &amp; kitchen. The Owner's suite is a true retreat with a generously sized walk-in closet, walk-in shower, vanity with twin sinks and view to the backyard. The modern kitchen is equipped with a gas range, Whirlpool refrigerator, center island and a walk-in pantry for all your culinary needs. Laundry room is complete with Washer/Dryer. Estimated January completion. Photos of MODEL HOME.</t>
  </si>
  <si>
    <t>205-96-0910</t>
  </si>
  <si>
    <t>ROCKING K SOUTH NEIGHBORHOOD 3 PARCEL BB LOT  100  SQ20220830268</t>
  </si>
  <si>
    <t>This new single-story home boasts a modern and low-maintenance layout. Three bedrooms are located near the front of the home off the foyer, steps from a full bathroom. An open-concept floorplan combines the kitchen, dining room and family room to maximize interior space, while a lavish owner's suite at the back of the home provides a serene retreat with direct access to a full bathroom and walk-in closet. This home includes GE® stainless steal appliances, Rinnai Tankless Water Heater, Quartz Countertops, 2'' faux wood blinds, LED lighting and so much more! Don't miss this great opportunity to own a beautiful move-in ready home!</t>
  </si>
  <si>
    <t>205-96-3700</t>
  </si>
  <si>
    <t>ROCKING K SOUTH NEIGHBORHOOD 4 Parcel M Lot 136</t>
  </si>
  <si>
    <t>205-96-7020</t>
  </si>
  <si>
    <t>ROCKING K SOUTH NEIGHBORHOOD 3 PARCEL BB LOT  49  SQ20220830268</t>
  </si>
  <si>
    <t>This new three-bedroom home offers convenient single-story living. Two bedrooms boast a private location near the front of the home, steps from a full bathroom. An inviting open-concept floorplan blends the kitchen, living and dining areas for seamless transitions and everyday multitasking. Nestled into a private rear corner, a luxe owner's suite provides a tranquil retreat with direct access to a full bathroom and walk-in closet.  This home includes GE® stainless steal appliances, Rinnai Tankless Water Heater, Quartz Countertops, 2'' faux wood blinds, LED lighting and so much more!</t>
  </si>
  <si>
    <t>205-96-3190</t>
  </si>
  <si>
    <t>ROCKING K SOUTH NEIGHBORHOOD 3 PARCEL BB LOT  47  SQ20220830268</t>
  </si>
  <si>
    <t>205-96-3170</t>
  </si>
  <si>
    <t>SF 0035 Plan 1600E</t>
  </si>
  <si>
    <t>This beautiful 4-bedroom, 2-bath home features white cabinets, white and gray granite countertops, travertine-look tile flooring, and warm neutral carpet from our Cozy package. Rincon Crest at Rocking K is now selling in Vail, AZ! Located in the acclaimed Vail School District, this master-planned community offers five floor plans and amenities like pickleball courts, playgrounds, and a splash pad. Move-in ready with washer, dryer, refrigerator, and whole-home blinds. Every home is built with innovative, energy-efficient features for comfort, savings, and peace of mind.</t>
  </si>
  <si>
    <t>207-97-4520</t>
  </si>
  <si>
    <t>Borealis</t>
  </si>
  <si>
    <t>ROCKING K SOUTH NEIGHBORHOOD 1 PARCEL B-1  SQ20202530422 LOT 39</t>
  </si>
  <si>
    <t>The Yorktown's main floor offers an expansive entertaining space at the back of the home: the great room with an optional fireplace, the dining room   overlooking the backyard, and the kitchen with a large center island. A 3-car garage leads to a convenient mudroom with a walk-in closet, a bedroom and adjacent full bathroom. On the second floor, there's an immense loft surrounded by three bedrooms, a shared bath, a laundry room and an owner's suite with its own bath and spacious walk-in closet. This home also included an extended morning room and a covered patio.</t>
  </si>
  <si>
    <t>205-95-7130</t>
  </si>
  <si>
    <t>SF 0126 Plan 1820E</t>
  </si>
  <si>
    <t>Vail School District. Energy Efficient. Appliances Included.     ENTERTAINER'S DREAM SPACE  Spacious 4 bed, 2 bath Garnet plan designed for gathering and comfort. The expansive great room is perfect for movie nights or cheering on the big game. Stylish finishes include white cabinetry, white/gray granite countertops, travertine-look tile, and warm neutral carpet in the Cozy package. Located in Alamar at Rocking K, a master-planned community in the sought-after Vail School District with easy access to top-rated schools. Enjoy resort-style amenities including pickleball courts, playgrounds, and a splash pad. Move-in ready with washer, dryer, fridge, and whole-home blinds included.</t>
  </si>
  <si>
    <t>205-96-5190</t>
  </si>
  <si>
    <t>ROCKING K SOUTH NEIGHBORHOOD 1 PARCEL B-1  SQ20202530422 LOT 79</t>
  </si>
  <si>
    <t>205-95-7530</t>
  </si>
  <si>
    <t>ROCKING K SOUTH NEIGHBORHOOD 1 PARCEL B-1  SQ20202530422 LOT 81</t>
  </si>
  <si>
    <t>The heart of the ranch-style Townsend is an open floor plan with a family room, a breakfast nook and a large gourmet kitchen. The adjacent owner's suite offers a walk-in closet and an attached deluxe bath with a walk-in shower. You'll also find three additional bedrooms and two full baths, as well as a private study. This home also features a covered patio and a 3-car garage!</t>
  </si>
  <si>
    <t>205-95-7550</t>
  </si>
  <si>
    <t>Crotalus</t>
  </si>
  <si>
    <t>Rocking K South Neighborhood 3 Parcel Dd Lot 107 Sq20220330285 Exc Mineral Rights Below 30-Ft</t>
  </si>
  <si>
    <t>205-96-1070</t>
  </si>
  <si>
    <t>ROCKING K SOUTH NEIGHBORHOOD 1 PARCEL B-1  SQ20202530422 LOT 80</t>
  </si>
  <si>
    <t>The ranch-style Cassandra plan showcases an open layout with a great room, a breakfast nook and a large gourmet kitchen! The owner's suite is adjacent, and boasts a generous walk-in closet and an attached bath with walk-in shower. Three secondary bedrooms and two additional full bathrooms round out this exceptional floorplan. Other noteworthy features include a 2-car garage and a spacious outdoor patio- great for outdoor entertaining!</t>
  </si>
  <si>
    <t>205-95-7540</t>
  </si>
  <si>
    <t>ROCKING K SOUTH NEIGHBORHOOD 4 Parcel M Lot 132</t>
  </si>
  <si>
    <t>205-96-6980</t>
  </si>
  <si>
    <t>ROCKING K SOUTH NEIGHBORHOOD 4 Parcel M Lot 17</t>
  </si>
  <si>
    <t>205-96-5830</t>
  </si>
  <si>
    <t>ROCKING K SOUTH NEIGHBORHOOD 1 PARCEL B-1  SQ20202530422 LOT 82</t>
  </si>
  <si>
    <t>205-95-7560</t>
  </si>
  <si>
    <t>SF 0034 Plan 1600F</t>
  </si>
  <si>
    <t>Umber cabinets with white/gray granite countertops, light beige tile flooring and cool neutral carpet in our Charm package. Rincon Crest at Rocking K is now selling in Vail, AZ. This master-planned community offers five floorplans with easy access to award winning schools located in the Vail School District. Residents will enjoy a wide array of amenities including pickleball courts, playgrounds and a splash pad. Move-in ready with a washer, dryer, fridge, and whole-home blinds.</t>
  </si>
  <si>
    <t>207-97-4510</t>
  </si>
  <si>
    <t>SF 0033 Plan 2380D</t>
  </si>
  <si>
    <t>Energy Efficient. Vail School District. Move in Ready.    LOFT STYLE LIVING  The Citrine floorplan offers 4 bedrooms, 2.5 baths, and a versatile upstairs loft--perfect for extra living, work, or play space. The Cozy package features white cabinetry, white/gray granite countertops, travertine-look tile flooring, and warm neutral carpet for a welcoming feel. Located in Rincon Crest at Rocking K in Vail, a master-planned community with access to award-winning Vail schools. Enjoy amenities including pickleball courts, playgrounds, and a splash pad. Move-in ready with washer, dryer, fridge, and whole-home blinds included.</t>
  </si>
  <si>
    <t>207-97-4500</t>
  </si>
  <si>
    <t>Paul Marsh</t>
  </si>
  <si>
    <t>SF 0057 Plan 2340E</t>
  </si>
  <si>
    <t>Brand new, energy-efficient home available by Dec 2025! The Ruby Floorplan offers an expansive great room perfect for movie nights or watching a game with friends.White cabinets, quartz countertops, stone backsplash, tile flooring and carpet in our Bold Sophistication package. This master-planned community offers five floorplans with easy access to award winning schools located in the Vail School District. Residents will enjoy a wide array of amenities including pickleball courts, playgrounds and a splash pad. Move-in ready with a washer, dryer, fridge, and whole-home blinds; closing in 60 days or less - guaranteed. Each of our homes is built with innovative,  energy-efficient features designed to help you enjoy more savings, better health, real comfort and peace of mind.</t>
  </si>
  <si>
    <t>207-97-3370</t>
  </si>
  <si>
    <t>SF 0059 Plan 2340F</t>
  </si>
  <si>
    <t>Brand new, energy-efficient home available by Jan 2026! The Ruby Floorplan offers an expansive great room perfect for movie nights or watching a game with friends.Maple cabinets with white countertops, backsplash, tile flooring and carpet in our Modern Rustic package. This master-planned community offers five floorplans with easy access to award winning schools located in the Vail School District. Residents will enjoy a wide array of amenities including pickleball courts, playgrounds and a splash pad. Move-in ready with a washer, dryer, fridge, and whole-home blinds; closing in 60 days or less - guaranteed. Each of our homes is built with innovative,  energy-efficient features designed to help you enjoy more savings, better health, real comfort and peace of mind.</t>
  </si>
  <si>
    <t>207-97-3390</t>
  </si>
  <si>
    <t>ROCKING K SOUTH NEIGHBORHOOD 5 PARCEL G SQ20241360226 LOT 58</t>
  </si>
  <si>
    <t>This 4-bedroom, 2.5-bath Obsidian floorplan offers an inviting great room and a stylish kitchen with a center island?ideal for hosting and everyday living. Interior finishes include white cabinetry, quartz countertops, gray tile flooring, and taupe carpeting from our Modern Glam design package. Located in Summit at Rocking K in Vail, AZ, this master-planned community features five thoughtfully designed floorplans and is part of the acclaimed Vail School District. Residents enjoy amenities such as pickleball courts, playgrounds, and a splash pad. The home is move-in ready, complete with a washer, dryer, refrigerator, and blinds. Built with energy-efficient features to enhance comfort and maximize savings.</t>
  </si>
  <si>
    <t>207-97-3380</t>
  </si>
  <si>
    <t>ROCKING K SOUTH NEIGHBORHOOD 5 PARCEL G SQ20241360226 LOT 60</t>
  </si>
  <si>
    <t>This 4-bedroom, 2.5-bath Obsidian floorplan features a generous great room and a contemporary kitchen with a center island. Interior finishes include Frost cabinetry, quartz countertops, wood&amp;#8209;look tile flooring, and taupe carpeting. Located in Summit at Rocking K in Vail, AZ, this master&amp;#8209;planned community offers five thoughtfully designed floorplans and access to top&amp;#8209;rated schools in the Vail School District. Community amenities include pickleball courts, playgrounds, and a splash pad. The home is move&amp;#8209;in ready with a washer, dryer, refrigerator, and blinds, and built with energy&amp;#8209;efficient features to enhance comfort and maximize savings.</t>
  </si>
  <si>
    <t>207-97-3400</t>
  </si>
  <si>
    <t>SF 0031 Plan 1460D</t>
  </si>
  <si>
    <t>Brand-new, energy-efficient home ready NOW! The Onyx floorplan offers single-story living with 3 bedrooms, 2 baths, and a 2-car garage. Enjoy the Charm package featuring umber cabinets, white/gray granite countertops, light beige tile, and cool neutral carpet. Located in Rincon Crest at Rocking K, now selling in Vail, AZ--a master-planned community with five floorplans and access to award-winning Vail School District. Amenities include pickleball courts, playgrounds, and a splash pad. Move-in ready with washer, dryer, fridge, and blinds!</t>
  </si>
  <si>
    <t>207-97-4480</t>
  </si>
  <si>
    <t>SF 0032 Plan 2380E</t>
  </si>
  <si>
    <t>Rincon Crest. Energy Efficient. Move in Ready.    The Citrine floorplan in Tucson offers 4 bedrooms, 2.5 bathrooms, and an upstairs loft for added flexibility. Enjoy an open-concept living area downstairs, with a private primary suite tucked away at the back for comfort and privacy.  Rincon Crest at Rocking K is now selling in Vail, AZ--a master-planned community with five thoughtfully designed floorplans and access to the award-winning Vail School District. Residents will enjoy amenities including pickleball courts, playgrounds, and a splash pad.  Move-in ready with washer, dryer, refrigerator, and blinds included, plus innovative, energy-efficient features designed to support comfort and savings.</t>
  </si>
  <si>
    <t>207-97-4490</t>
  </si>
  <si>
    <t>Rocking K South Neighborhood 2 Lot 130 Sq20222310045</t>
  </si>
  <si>
    <t>Quick Move-In home scheduled for completion in January 2026. This Pursuit open floor plan includes 2 bedrooms, a den, and 2 bathrooms. Features include 10-foot ceilings, a rear extension, walk-in pantry, tankless water heater, gas connections in the kitchen, laundry, and backyard, and a glass walk-in shower in the owner's suite with a tub and shower in the second bath. The kitchen offers upgraded Coconut cabinets, Dallas White quartz countertops, and a chef's layout with stainless steel cooktop, hood, and wall oven/microwave combination. Pre-wiring for ceiling fans and pendant lighting, along with many other thoughtfully selected design details, complete this beautiful home. The clubhouse is open.</t>
  </si>
  <si>
    <t>205-97-1300</t>
  </si>
  <si>
    <t>Rocking K South Neighborhood 3 Parcel Dd Lot 55 Sq20220330285 Exc Mineral Rights Below 30 Ft</t>
  </si>
  <si>
    <t>Brand-new construction within Rocking K, a master-planned community. This single-story home boasts an open concept layout that caters to comfort and style. This home is 1401 square feet of living space. The living area is accentuated by 9 feet high ceilings. Quartz countertops in kitchen, upgraded cabinets, and stainless steel appliances including a microwave, dishwasher and gas range. The primary suite has a large closet for ample storage and an en-suite bathroom with a double vanity. Energy efficiency is at the forefront of this Zero Energy Ready home's design, boasting spray foam insulation, dual pane low-emissivity windows and ceiling fan prewires to ensure comfort year-round. Home is under construction.</t>
  </si>
  <si>
    <t>205-96-0550</t>
  </si>
  <si>
    <t>Rocking K South Neighborhood 3 Parcel Dd Lot 53 Sq20220330285 Exc Mineral Rights Below 30 Ft</t>
  </si>
  <si>
    <t>Brand-new construction and brand-new floorplan within the popular Rocking K, a master-planned community. This single-story home boasts an open concept layout that caters to comfort and style.  This home is 1823 square feet of living space. The living area is accentuated by 9 feet high ceilings. Quartz countertops in kitchen and bathroom, white cabinets, and stainless steel appliances including a microwave, dishwasher and gas range.   The primary suite has a large closet for ample storage and a en-suite bathroom with a double vanity. Energy efficiency is at the forefront of this home's design, boasting dual pane low-emissivity windows and ceiling fan prewires to ensure comfort year-round.  A 2-car garage provides convenient parking and additional storage space.   Technology suite included!</t>
  </si>
  <si>
    <t>205-96-0530</t>
  </si>
  <si>
    <t>Coralroot</t>
  </si>
  <si>
    <t>ROCKING K SOUTH NEIGHBORHOOD 2 LOT 147</t>
  </si>
  <si>
    <t>Quick Move-In home estimated for completion April 2026. The Pursuit floor plan offers 2 bedrooms, a den, and 2 bathrooms. Features include 10' ceilings, rear extension, walk-in pantry, tankless water heater, and gas in kitchen, laundry, and backyard. Owner's suite has a walk-in shower; bath 2 includes tub/shower. Kitchen highlights: Butternut cabinets, Verde Ubatuba granite, chef's layout with SS cooktop, hood, and wall oven/microwave combo. Pre-wired for ceiling fans and pendant lighting. Clubhouse is open.</t>
  </si>
  <si>
    <t>205-97-1480</t>
  </si>
  <si>
    <t>ROCKING K SOUTH NEIGHBORHOOD 3 PARCEL DD LOT 88 SQ20220330285</t>
  </si>
  <si>
    <t>Charming Copper plan with Desert Modern elevation. This thoughtfully designed layout includes open Greatroom with spacious dining area &amp; kitchen. The Owner's suite is a true retreat with a generously sized walk-in closet, a beautiful walk-in shower, vanity with twin sinks and view to the backyard. The modern kitchen is equipped with a gas range, Whirlpool refrigerator, center island and a walk-in pantry for all your culinary needs. Laundry room is complete with Washer/Dryer. Photos of MODEL HOME.</t>
  </si>
  <si>
    <t>205-96-0880</t>
  </si>
  <si>
    <t>ROCKING K SOUTH NEIGHBORHOOD 3 PARCEL DD LOT 90 SQ20220330285</t>
  </si>
  <si>
    <t>Charming Brandy floorplan with Desert Modern elevation offers 3 bedrooms, 2 full baths, open Greatroom/Dining/Kitchen area. Kitchen features refrigerator, center island, granite counters &amp; oversized walk-in pantry. Owner's suite features huge walk-in closet, dual sinks, linen closet, walk-in shower and a view to the backyard. Includes 8' interior doors, LED disk lights and Washer/Dryer. Estimated completion: January '26.</t>
  </si>
  <si>
    <t>205-96-0900</t>
  </si>
  <si>
    <t>ROCKING K SOUTH NEIGHBORHOOD 3 PARCEL BB LOT  51  SQ20220830268</t>
  </si>
  <si>
    <t>205-96-3210</t>
  </si>
  <si>
    <t>Curly Neal</t>
  </si>
  <si>
    <t>ROCKING K SOUTH NEIGHBORHOOD 4 Parcel M Lot 149</t>
  </si>
  <si>
    <t>This new single-story home features a modern layout with an open floorplan consisting of a stylish kitchen, a dining nook and the Great Room, with a patio offering seamless indoor-outdoor transitions. Three bedrooms are tucked away to the side of the home for optimal privacy, including the spacious owner's suite. Residents will enjoy additional storage space and convenient parking with a three-bay garage. This home includes GE® stainless steel appliances, Rinnai Tankless Water Heater, Granite Countertops, Taexx® built-in pest control system, 2'' faux wood blinds, LED lighting and so much more! As an added bonus, this home comes complete with a washer and dryer! Don't miss this great opportunity to own a beautiful move-in ready home!</t>
  </si>
  <si>
    <t>205-96-7150</t>
  </si>
  <si>
    <t>ROCKING K SOUTH NEIGHBORHOOD 4 Parcel M Lot 135</t>
  </si>
  <si>
    <t>205-96-7010</t>
  </si>
  <si>
    <t>ROCKING K SOUTH NEIGHBORHOOD 3 PARCEL BB LOT  48  SQ20220830268</t>
  </si>
  <si>
    <t>205-96-3180</t>
  </si>
  <si>
    <t>ROCKING K SOUTH NEIGHBORHOOD 5 PARCEL J-1  SQ20241360227 LOT 30</t>
  </si>
  <si>
    <t>Vail School District. Energy Efficient. Move in Ready.    Discover this stunning 4-bedroom, 2.5-bath home featuring a bright open-concept layout and a private primary suite designed for comfort. Stylish finishes include crisp white cabinetry, elegant white and gray granite countertops, travertine-style tile, and warm neutral carpet from the Cozy design package. Located in Rincon Crest at Rocking K in desirable Vail, AZ, you'll enjoy access to top-rated Vail schools plus resort-style amenities like pickleball courts, playgrounds, and a splash pad. Move-in ready with washer, dryer, refrigerator, and blinds included--plus energy-efficient features for year-round comfort and savings.</t>
  </si>
  <si>
    <t>207-97-4470</t>
  </si>
  <si>
    <t>ROCKING K SOUTH NEIGHBORHOOD 5 PARCEL J-1  SQ20241360227 LOT 29</t>
  </si>
  <si>
    <t>This 4&amp;#8209;bedroom, 3&amp;#8209;bath home features an inviting open layout with a spacious kitchen, center island, and a connected great room ideal for everyday living. Interior finishes include white cabinetry, white quartz countertops, rectangular light&amp;#8209;beige tile, and cool neutral carpeting from our Finesse design package. Top&amp;#8209;rated schools in the Vail School District. Community amenities include pickleball courts, playgrounds, and a splash pad. This home is move&amp;#8209;in ready with a washer, dryer, refrigerator, and whole&amp;#8209;home blinds, and is guaranteed to close in 60 days or less?with up to $5,000 reimbursed for any builder&amp;#8209;caused delays. Each home is crafted with innovative, energy&amp;#8209;efficient features for enhanced comfort, health, and long&amp;#8209;term savings</t>
  </si>
  <si>
    <t>207-97-4460</t>
  </si>
  <si>
    <t>ROCKING K SOUTH NEIGHBORHOOD 5 PARCEL G  SQ20241360226 LOT 63</t>
  </si>
  <si>
    <t>This 4-bedroom, 2.5-bath home features a spacious great room?ideal for movie nights or cheering on your favorite team with friends. When the day winds down, enjoy the privacy of your primary suite, thoughtfully placed in its own corner of the home. Summit at Rocking K is coming soon to Vail, AZ, offering five well-designed floorplans and convenient access to award&amp;#8209;winning schools in the Vail School District. Community amenities include pickleball courts, playgrounds, and a splash pad. The home comes move&amp;#8209;in ready with a washer, dryer, refrigerator, and whole&amp;#8209;home blinds. Each home is built with innovative, energy&amp;#8209;efficient features to help you enjoy greater savings and enhanced comfort.</t>
  </si>
  <si>
    <t>207-97-3430</t>
  </si>
  <si>
    <t>ROCKING K SOUTH NEIGHBORHOOD 3 PARCEL BB LOT  101  SQ20220830268</t>
  </si>
  <si>
    <t>205-96-3710</t>
  </si>
  <si>
    <t>ROCKING K SOUTH NEIGHBORHOOD 4 Parcel M Lot 154</t>
  </si>
  <si>
    <t>This low-maintenance, single-story home features a generous open floorplan shared between the Great Room, kitchen and dining room, maximizing the footprint of the interior. The luxurious owner's suite is privately situated toward the back of the home, while three secondary bedrooms can be found off a hallway near the foyer. This home includes GE® stainless steal appliances, Rinnai Tankless Water Heater, prep for reverse osmosis, Granite Countertops, 2'' faux wood blinds, LED lighting and so much more! - move-in ready and waiting for you!</t>
  </si>
  <si>
    <t>205-96-7200</t>
  </si>
  <si>
    <t>ROCKING K SOUTH NEIGHBORHOOD 4 Parcel M Lot 14</t>
  </si>
  <si>
    <t>205-96-5800</t>
  </si>
  <si>
    <t>Rocking K South Neighborhood 3 Parcel Dd Lot 47 Sq20220330285 Exc Mineral Rights Below 30 Ft</t>
  </si>
  <si>
    <t>205-96-0470</t>
  </si>
  <si>
    <t>ROCKING K SOUTH NEIGHBORHOOD 3 PARCEL BB LOT 104  SQ20220830268</t>
  </si>
  <si>
    <t>This new single-story home boasts a modern and low-maintenance layout. Three bedrooms are located near the front of the home off the foyer, steps from a full bathroom. An open-concept floorplan combines the kitchen, dining room and family room to maximize interior space, while a lavish owner's suite at the back of the home provides a serene retreat with direct access to a full bathroom and walk-in closet. This home includes GE® stainless steal appliances, Rinnai Tankless Water Heater, Quartz Countertops, 2'' faux wood blinds, LED lighting and so much more!</t>
  </si>
  <si>
    <t>205-96-3740</t>
  </si>
  <si>
    <t>ROCKING K SOUTH NEIGHBORHOOD 3 PARCEL BB LOT  52  SQ20220830268</t>
  </si>
  <si>
    <t>205-96-3220</t>
  </si>
  <si>
    <t>ROCKING K SOUTH NEIGHBORHOOD 5 PARCEL J-1  SQ20241360227 LOT 27</t>
  </si>
  <si>
    <t>Single&amp;#8209;story home with a covered patio off the great room, ideal for everyday living and entertaining. The private primary suite is thoughtfully placed for added privacy. Interior highlights include Umber cabinetry, shaded gray granite countertops, wood&amp;#8209;look tile flooring, and warm neutral carpet from the Elemental package. Rincon Crest at Rocking K is now selling in Vail, AZ, a master&amp;#8209;planned community with access to top&amp;#8209;rated Vail School District schools. Enjoy resort&amp;#8209;style amenities including pickleball courts, playgrounds, and a splash pad. Move&amp;#8209;in ready with washer, dryer, refrigerator, and whole&amp;#8209;home blinds, plus innovative energy&amp;#8209;efficient features designed to help reduce utility costs.</t>
  </si>
  <si>
    <t>207-97-4440</t>
  </si>
  <si>
    <t>Rocking K South Neighborhood 1 Parcel B-1 Sq20202530422 Lot 1</t>
  </si>
  <si>
    <t>205-95-6750</t>
  </si>
  <si>
    <t>Rocking K South Neighborhood 1 Parcel B-1 Sq20202530422 Lot 2</t>
  </si>
  <si>
    <t>205-95-6760</t>
  </si>
  <si>
    <t>Rocking K South Neighborhood 1 Parcel B-1 Sq20202530422 Lot 3</t>
  </si>
  <si>
    <t>The Yorktown's main floor offers an expansive entertaining space at the back of the home: the great room, the dining room overlooking the backyard, and the kitchen with a large center island. A 3-car garage leads to a convenient mudroom with a walk-in closet, private bedroom and adjacent bathroom nearby. On the second floor, there's an immense loft surrounded by three bedrooms, a shared bath, a laundry room and an owner's suite with its own bath and spacious walk-in closet. This home also boasts a morning room with covered patio.</t>
  </si>
  <si>
    <t>205-95-6770</t>
  </si>
  <si>
    <t>SF 0028 Plan 2380E</t>
  </si>
  <si>
    <t>Appliances Included. Energy Efficient. Vail School District.    The Citrine floorplan in Tucson offers added flexibility with an upstairs loft, along with 4 bedrooms and 2.5 bathrooms. The private primary suite is thoughtfully tucked at the back of the home for added comfort. Interior finishes feature rich Umber cabinets, white and gray granite countertops, light beige tile, and cool neutral carpet from the Charm package.  Now selling in Vail, Rincon Crest at Rocking K showcases five floorplans, access to award-winning Vail schools, and community amenities including pickleball courts, playgrounds, and a splash pad. Move-in ready with washer, dryer, refrigerator, and whole-home blinds included.</t>
  </si>
  <si>
    <t>207-97-4450</t>
  </si>
  <si>
    <t>SF 0066 Plan 2150F</t>
  </si>
  <si>
    <t>This 4-bedroom, 2.5-bath home features a spacious great room and a well&amp;#8209;appointed kitchen with a large island. Unwind in the private primary suite. Interior highlights include umber cabinets, quartz countertops, brown wood&amp;#8209;look tile, and taupe carpet from the Relaxed Transitional package. Coming soon to Vail, Summit at Rocking K offers five floorplans, access to award&amp;#8209;winning schools in the Vail School District, and amenities such as pickleball courts, playgrounds, and a splash pad. Move&amp;#8209;in ready with a washer, dryer, fridge, and whole&amp;#8209;home blinds.</t>
  </si>
  <si>
    <t>207-97-3460</t>
  </si>
  <si>
    <t>ROCKING K SOUTH NEIGHBORHOOD 5 PARCEL G  SQ20241360226 LOT 65</t>
  </si>
  <si>
    <t>Brand new, energy-efficient home available by Feb 2026! The Jasper plan features an open concept living area with a spacious pantry in the kitchen. Each of the five bedrooms in this floorplan features a walk-in closet. This master-planned community offers five floorplans with easy access to award winning schools located in the Vail School District. Residents will enjoy a wide array of amenities including pickleball courts, playgrounds and a splash pad. Move-in ready with a washer, dryer, fridge, and whole-home blinds; closing in 60 days or less - guaranteed. Each of our homes is built with innovative,  energy-efficient features designed to help you enjoy more savings, better health, real comfort and peace of mind.</t>
  </si>
  <si>
    <t>207-97-3450</t>
  </si>
  <si>
    <t>ROCKING K SOUTH NEIGHBORHOOD 4 Parcel M Lot 15</t>
  </si>
  <si>
    <t>205-96-5810</t>
  </si>
  <si>
    <t>Rocking K South Neighborhood 2 Phase 2 Sq20232070181 Lot 168</t>
  </si>
  <si>
    <t>Available February 2026, this thoughtfully designed Sanctuary floor plan offers 2 bedrooms plus a den, 2 baths, and a 2-car garage with a 4' extension. The home features 9' ceilings, a walk-in pantry, and a tankless water heater for modern comfort and efficiency. Gas connections are included in the kitchen, laundry, and backyard. The owner's suite highlights a framed walk-in shower, while the gourmet kitchen showcases upgraded Coconut cabinetry, Parisien Bleu Silestone countertops, stainless steel appliances, and a functional culinary layout. Pre-wiring for pendant lighting and ceiling fans and carefully selected finishes complete the home. The community clubhouse is now open for residents to enjoy.</t>
  </si>
  <si>
    <t>205-97-1690</t>
  </si>
  <si>
    <t>ROCKING K SOUTH NEIGHBORHOOD 3 PARCEL DD LOT 46  SQ20220330285</t>
  </si>
  <si>
    <t>205-96-0460</t>
  </si>
  <si>
    <t>ROCKING K SOUTH NEIGHBORHOOD 3 PARCEL DD LOT 45  SQ20220330285</t>
  </si>
  <si>
    <t>205-96-0450</t>
  </si>
  <si>
    <t>ROCKING K SOUTH NEIGHBORHOOD 3 PARCEL DD LOT 9  SQ20220330285</t>
  </si>
  <si>
    <t>Sienna plan with a Spanish elevation. Beautiful 2-story home has it all! This single-family gem boasts 4 bedrooms and 3 baths, featuring one bedroom downstairs. Open Greatroom, dining &amp; kitchen areas seamlessly connect as the central hub. The kitchen is a culinary haven with a spacious center island, gas range, quartz counters, and a walk-in pantry. Upstairs, a versatile loft complements the living space. The Owner's Suite offers a luxurious escape with an oversized walk-in closet, walk-in shower, linen closet, and dual sinks. The welcoming covered front porch adds a touch of charm to this modern haven, making the Sienna plan a perfect blend of style and functionality. Includes Washer/Dryer, Refrigerator &amp; blinds.</t>
  </si>
  <si>
    <t>205-96-0090</t>
  </si>
  <si>
    <t>ROCKING K SOUTH NEIGHBORHOOD 3 PARCEL BB LOT  46  SQ20220830268</t>
  </si>
  <si>
    <t>205-96-3160</t>
  </si>
  <si>
    <t>ROCKING K SOUTH NEIGHBORHOOD 3 PARCEL DD LOT 10  SQ20220330285</t>
  </si>
  <si>
    <t>Charming Brandy floorplan with Rustic Spanish elevation offers 3 bedrooms, 2 full baths, open Greatroom/Dining/Kitchen area. Kitchen features refrigerator, center island, granite counters &amp; oversized walk-in pantry. Owner's suite features huge walk-in closet, dual sinks, linen closet, walk-in shower and a view to the backyard. Includes 8' interior doors, LED disk lights and Washer/Dryer &amp; window blinds. Estimated completion: Mar '26.</t>
  </si>
  <si>
    <t>205-96-0100</t>
  </si>
  <si>
    <t>ROCKING K SOUTH NEIGHBORHOOD 3 PARCEL DD LOT 86 SQ20220330285</t>
  </si>
  <si>
    <t>Sienna plan with a Spanish elevation. Beautiful 2-story home has it all! This single-family gem boasts 4 bedrooms and 3 baths, featuring one bedroom downstairs. Open Greatroom, dining &amp; kitchen areas seamlessly connect as the central hub. The kitchen is a culinary haven with a spacious center island, gas range, granite counters, and a walk-in pantry. Upstairs, a versatile loft complements the living space. The Owner's Suite offers a luxurious escape with an oversized walk-in closet, walk-in shower, linen closet, and dual sinks. The welcoming covered front porch adds a touch of charm to this modern haven, making the Sienna plan a perfect blend of style and functionality. Estimated completion; December.</t>
  </si>
  <si>
    <t>205-96-0860</t>
  </si>
  <si>
    <t>Lagomorpha</t>
  </si>
  <si>
    <t>ROCKING K SOUTH NEIGHBORHOOD 3 PARCEL DD LOT 84 SQ20220330285</t>
  </si>
  <si>
    <t>Charming Brandy floorplan with Rustic Spanish elevation offers 3 bedrooms, 2 full baths, open Greatroom/Dining/Kitchen area. Kitchen features refrigerator, center island, granite counters &amp; oversized walk-in pantry. Owner's suite features huge walk-in closet, dual sinks, linen closet, walk-in shower and a view to the backyard. Includes 8' interior doors, LED disk lights and Washer/Dryer. Estimated completion: Jan/Feb '26.</t>
  </si>
  <si>
    <t>205-96-0840</t>
  </si>
  <si>
    <t>Astronomer</t>
  </si>
  <si>
    <t>LAS CAMPANAS SQ20212440045 LOT 172</t>
  </si>
  <si>
    <t>This home is under construction now, and will be ready approximately March/April of 2026! Stop by to see our brand new model home of this gorgeous plan today!  Introducing the York ? a thoughtfully designed new floor plan at Solterra by D.R. Horton in Green Valley. Offering 1,863 square feet of well-planned living space, the York is ideal for those seeking a home that balances comfort, flexibility, and modern design. Step inside through the welcoming entryway and experience an open-concept layout that maximizes every square foot. The expansive great room serves as the heart of the home, flowing seamlessly into the dining area and kitchen?perfect for both everyday living and entertaining.</t>
  </si>
  <si>
    <t>DR Horton</t>
  </si>
  <si>
    <t>Las Campanas PTN Block C Phase 1B2</t>
  </si>
  <si>
    <t>ROCKING K SOUTH NEIGHBORHOOD 3 PARCEL DD LOT 79  SQ20220330285</t>
  </si>
  <si>
    <t>Charming Copper plan with Rustic Spanish elevation. This thoughtfully designed layout includes open Greatroom with spacious dining area &amp; kitchen. The Owner's suite is a true retreat with a generously sized walk-in closet, a beautiful walk-in shower, vanity with twin sinks and view to the backyard. The modern kitchen is equipped with a gas range, Whirlpool refrigerator, center island and a walk-in pantry for all your culinary needs. Laundry room is complete with Washer/Dryer. Est completion May '26.</t>
  </si>
  <si>
    <t>205-96-0790</t>
  </si>
  <si>
    <t>ROCKING K SOUTH NEIGHBORHOOD 3 PARCEL DD LOT 8  SQ20220330285</t>
  </si>
  <si>
    <t>Charming Copper plan with Desert Modern elevation. This thoughtfully designed layout includes open Greatroom with spacious dining area &amp; kitchen. The Owner's suite is a true retreat with a generously sized walk-in closet, a beautiful walk-in shower, vanity with twin sinks and view to the backyard. The modern kitchen is equipped with a gas range, Whirlpool refrigerator, center island and a walk-in pantry for all your culinary needs. Laundry room is complete with Washer/Dryer. Includes faux wood blinds.</t>
  </si>
  <si>
    <t>205-96-0080</t>
  </si>
  <si>
    <t>ROCKING K SOUTH NEIGHBORHOOD 5 PARCEL J-1  SQ20241360227 LOT 46</t>
  </si>
  <si>
    <t>Rincon Mountains. Move in Ready. Vail District.    Beautifully designed, this energy-efficient Citrine plan offers 4 bedrooms, 2.5 baths, and a versatile upstairs loft--perfect for work or play. The inviting foyer opens to a bright, open-concept living space, while the private primary suite is tucked away for added comfort. Located in Rincon Crest at Rocking K in Vail, you'll enjoy access to top-rated schools and resort-style amenities including pickleball courts, playgrounds, and a splash pad. Move-in ready with washer, dryer, refrigerator, and whole-home blinds--just bring your belongings and start living!</t>
  </si>
  <si>
    <t>207-97-4630</t>
  </si>
  <si>
    <t>SF 0045 Plan 2690E</t>
  </si>
  <si>
    <t>Energy Efficient. Vail School District. Appliances Included.    Discover the spacious Sunstone floorplan featuring 4 bedrooms and 3 baths with an open layout designed for modern living. The expansive kitchen with a large island flows effortlessly into the great room, perfect for entertaining. A flexible fourth bedroom near the main living area doubles as a home office, media room, or hobby space, complete with a walk-in closet. Located in a thoughtfully planned community within the Vail School District, enjoy amenities like pickleball courts, playgrounds, and a splash pad. Move-in ready with washer, dryer, refrigerator, and whole-home blinds, plus energy-efficient features for comfort, savings, and healthier living.</t>
  </si>
  <si>
    <t>207-97-4620</t>
  </si>
  <si>
    <t>Pine Siskin</t>
  </si>
  <si>
    <t>ROCKING K SOUTH NEIGHBORHOOD 5 PARCEL J2 LOT 166</t>
  </si>
  <si>
    <t>This new single-story home maximizes space for increased tranquility. An open floorplan connects the kitchen, dining room and family room in a modern style that prioritizes functionality. Nearby is a covered patio to promote seamless indoor-outdoor living. On the opposite side of the home are two secondary bedrooms and a tranquil owner's suite with a private bathroom and walk-in closet. This home includes GE® stainless steal appliances, Rinnai Tankless Water Heater, prep for reverse osmosis, Quartz Countertops, 2'' faux wood blinds, LED lighting and so much more! As an added bonus, this home includes a washer and dryer - move-in ready and waiting for you!</t>
  </si>
  <si>
    <t>207-97-5850</t>
  </si>
  <si>
    <t>N/A</t>
  </si>
  <si>
    <t>Black Stilt</t>
  </si>
  <si>
    <t>ROCKING K SOUTH NEIGHBORHOOD 5 PARCEL J2 LOT 96</t>
  </si>
  <si>
    <t>This new single-story home boasts a convenient and low-maintenance layout ideal for modern lifestyles. An open-concept floorplan blends the kitchen, living and dining areas for easy transitions and everyday multitasking. All three bedrooms are tucked away to the side for optimal privacy and comfort, including a lavish owner's suite at the back of the home with a full bathroom and walk-in closet. This home includes GE® stainless steal appliances, Rinnai Tankless Water Heater, prep for reverse osmosis, Quartz Countertops, 2'' faux wood blinds, LED lighting and so much more! As an added bonus, this home includes a washer and dryer - move-in ready and waiting for you!</t>
  </si>
  <si>
    <t>207-97-5150</t>
  </si>
  <si>
    <t>ROCKING K SOUTH NEIGHBORHOOD 5 PARCEL J2 LOT 95</t>
  </si>
  <si>
    <t>The Great Room, kitchen and nook share a convenient and contemporary open floorplan in this single-level home, offering direct access to the covered patio through sliding glass doors. Four bedrooms offer plenty of space for the entire household, including a luxe owner's suite found at the back of the home for privacy and complemented by a walk-in closet and en-suite bathroom. This home includes GE® stainless steal appliances, Rinnai Tankless Water Heater, prep for reverse osmosis, Quartz Countertops, 2'' faux wood blinds, LED lighting and so much more! As an added bonus, this home includes a washer and dryer - move-in ready and waiting for you!</t>
  </si>
  <si>
    <t>207-97-5140</t>
  </si>
  <si>
    <t>ROCKING K SOUTH NEIGHBORHOOD 5 PARCEL J2 LOT 93</t>
  </si>
  <si>
    <t>This new two-story home is host to a spacious and flexible open-concept layout on the first floor that blends the kitchen, dining area and family room for seamless transitions and everyday multitasking. On the second level, a versatile loft provides a convenient shared living area easily accessible from three bedrooms and a lavish owner's suite with a full bathroom and walk-in closet. This home includes GE® stainless steal appliances, Rinnai Tankless Water Heater, prep for reverse osmosis, Quartz Countertops, 2'' faux wood blinds, LED lighting and so much more! As an added bonus, this home includes a washer and dryer - move-in ready and waiting for you!</t>
  </si>
  <si>
    <t>207-97-5120</t>
  </si>
  <si>
    <t>ROCKING K SOUTH NEIGHBORHOOD 5 PARCEL J2 LOT 165</t>
  </si>
  <si>
    <t>207-97-5840</t>
  </si>
  <si>
    <t>ROCKING K SOUTH NEIGHBORHOOD 5 PARCEL J2 LOT 97</t>
  </si>
  <si>
    <t>This new two-story home is host to a spacious and flexible open-concept layout on the first floor that blends the kitchen, dining area and family room for seamless transitions and everyday multitasking. On the second level, a versatile loft provides a convenient shared living area easily accessible from four bedrooms and a lavish owner's suite with a full bathroom and walk-in closet. This home includes GE® stainless steal appliances, Rinnai Tankless Water Heater, prep for reverse osmosis, Quartz Countertops, 2'' faux wood blinds, LED lighting and so much more! As an added bonus, this home includes a washer and dryer - move-in ready and waiting for you!</t>
  </si>
  <si>
    <t>207-97-5160</t>
  </si>
  <si>
    <t>ROCKING K SOUTH NEIGHBORHOOD 5 PARCEL J2 LOT 98</t>
  </si>
  <si>
    <t>This new two-story home is ready for modern lifestyles. On the first floor, an inviting open-concept layout blends the kitchen, living and dining areas, with a secluded bedroom tucked into a private rear corner. On the second level, a versatile loft provides a convenient shared living area easily accessible from four additional bedrooms and a luxurious owner's suite, complete with a full bathroom and walk-in closet.This home includes GE® stainless steal appliances, Rinnai Tankless Water Heater, prep for reverse osmosis, Quartz Countertops, 2'' faux wood blinds, LED lighting and so much more! As an added bonus, this home includes a washer and dryer - move-in ready and waiting for you!</t>
  </si>
  <si>
    <t>207-97-5170</t>
  </si>
  <si>
    <t>Reg Morrison</t>
  </si>
  <si>
    <t>ROCKING K SOUTH NEIGHBORHOOD 5 PARCEL G LOT 8</t>
  </si>
  <si>
    <t>This new four-bedroom home offers convenient single-story living, perfect for modern lifestyles. Upon entry, three secondary bedrooms boast a prime location steps a full bathroom. The main living space can be found at the back of the home among an inviting open plan shared between the kitchen, living and dining spaces, while a generous covered patio provides year-round outdoor enjoyment. A spacious owner's suite with a full bathroom and walk-in closet completes the home. This home includes GE® stainless steal appliances, Rinnai Tankless Water Heater, prep for reverse osmosis, Quartz Countertops, 2'' faux wood blinds, LED lighting and so much more! As an added bonus, this home includes a washer and dryer - move-in ready and waiting for you!</t>
  </si>
  <si>
    <t>207-97-2880</t>
  </si>
  <si>
    <t>ROCKING K SOUTH NEIGHBORHOOD 5 PARCEL G LOT 6</t>
  </si>
  <si>
    <t>This new single-story home boasts a modern and low-maintenance layout. Three bedrooms feature a secluded location upon entry, leading to an inviting open plan that provides direct access to a covered patio for year-round outdoor leisure. At the back of the home, a private owner's suite provides a tranquil retreat with a full bathroom and walk-in closet. This home includes GE® stainless steal appliances, Rinnai Tankless Water Heater, prep for reverse osmosis, Quartz Countertops, 2'' faux wood blinds, LED lighting and so much more! As an added bonus, this home includes a washer and dryer - move-in ready and waiting for you!</t>
  </si>
  <si>
    <t>207-97-2860</t>
  </si>
  <si>
    <t>ROCKING K SOUTH NEIGHBORHOOD 5 PARCEL G LOT 4</t>
  </si>
  <si>
    <t>This new single-story home embraces modern family living with an open layout featuring a spacious Great Room that flows seamlessly into the kitchen and dining areas, creating the perfect backdrop for daily gatherings and entertaining. The private owner's suite offers a serene retreat complete with a walk-in closet, while three additional bedrooms provide comfortable spaces off the foyer. Step outside onto an inviting covered patio for year-round indoor-outdoor relaxation.This home includes GE® stainless steal appliances, Rinnai Tankless Water Heater, prep for reverse osmosis, Quartz Countertops, 2'' faux wood blinds, LED lighting and so much more! As an added bonus, this home includes a washer and dryer - move-in ready and waiting for you!</t>
  </si>
  <si>
    <t>207-97-2840</t>
  </si>
  <si>
    <t>ROCKING K SOUTH NEIGHBORHOOD 5 PARCEL G LOT 7</t>
  </si>
  <si>
    <t>207-97-2870</t>
  </si>
  <si>
    <t>ROCKING K SOUTH NEIGHBORHOOD 5 PARCEL G LOT 5</t>
  </si>
  <si>
    <t>A Next Gen® single-story plan, this spacious home features an attached private suite with its own living area, kitchenette, bedroom and bathroom. In the main home is an open-concept living space that flows out to a covered patio, along with a total of three bedrooms. The owner's suite is tucked away in the back and enjoys a convenient bathroom and walk-in closet. This home includes GE® stainless steal appliances, Rinnai Tankless Water Heater, prep for reverse osmosis, Quartz Countertops, 2'' faux wood blinds, LED lighting and so much more! As an added bonus, this home includes a washer and dryer - move-in ready and waiting for you!</t>
  </si>
  <si>
    <t>207-97-2850</t>
  </si>
  <si>
    <t>Ray Carroll</t>
  </si>
  <si>
    <t>ROCKING K SOUTH NEIGHBORHOOD 5 PARCEL G LOT 134</t>
  </si>
  <si>
    <t>This new two-story home boasts desirable features, such as a bedroom suite and a spacious open-concept layout on the first floor shared between the kitchen, living and dining spaces. All three bedrooms boast a private location on the second level, including a generous owner's suite with a full bathroom and walk-in closet. A convenient loft provides additional space for entertainment and leisure on the upper floor. This home includes GE® stainless steal appliances, Rinnai Tankless Water Heater, prep for reverse osmosis, Quartz Countertops, 2'' faux wood blinds, LED lighting and so much more!</t>
  </si>
  <si>
    <t>207-97-4140</t>
  </si>
  <si>
    <t>LAS CAMPANAS SQ20212440045 LOT 173</t>
  </si>
  <si>
    <t>****THIS HOME IS TO BE BUILT****   Stop by to see our brand new model home, and available lots today!  Introducing the Hampton - a thoughtfully designed new floor plan at Solterra by D.R. Horton in Green Valley. Offering 1,658 square feet of well-planned living space, the Hampton blends modern convenience with timeless style, creating a home that is both inviting and efficient.   Upon entering, you're welcomed into an open-concept design that maximizes every square foot. The expansive great room anchors the home and flows seamlessly into the dining area and kitchen, making the space ideal for everyday living and entertaining alike.</t>
  </si>
  <si>
    <t>LAS CAMPANAS SQ20212440045 LOT 174</t>
  </si>
  <si>
    <t>This home has just started construction, and is still able to be customized! Stop by to see our brand new model home, and available lots today!  Introducing the Thomas - a thoughtfully designed new floor plan at Solterra by D.R. Horton in Green Valley. Offering 1,796 square feet of well-balanced living space, the Thomas is ideal for those seeking a home that feels both comfortable and highly functional.  Step inside through the welcoming entryway and discover an open-concept layout designed to make the most of every square foot. The expansive great room anchors the home and flows seamlessly into the dining area and kitchen, creating an inviting space for everyday living and entertaining.</t>
  </si>
  <si>
    <t>LAS CAMPANAS SQ20212440045 LOT 165</t>
  </si>
  <si>
    <t>***THIS HOME IS TO BE BUILT***  Stop by to see our brand new model home, and available lots today!  Introducing the Charleston - Offering 2,119 square feet of thoughtfully planned living space, the Charleston blends modern convenience with timeless elegance, creating a home that feels both refined and welcoming.   Step through the inviting entryway and into an open-concept layout designed to maximize every square foot. The expansive great room serves as the heart of the home, flowing seamlessly into the dining area and kitchen--ideal for both everyday living and entertaining.</t>
  </si>
  <si>
    <t>305-15-9060</t>
  </si>
  <si>
    <t>Lot 165 Of Saddlebrooke Ranch Unit Nineteen, recorded in plat fee No. 2022-122781.</t>
  </si>
  <si>
    <t>Thoughtfully designed with exceptional upgrades throughout, this home offers a 4' extension to the 2-car garage with golf cart space, a 3' extension at the primary bath, walk-in closet, and den, plus a 2' extension at the dining room for added living space. The kitchen impresses with Sollid Madison Clear Alder cabinetry, 42'' uppers with 2'' shaker crown molding, stunning quartz countertops, full-height backsplash, Kohler Vault stainless sink, Delta Emmeline pull-down faucet, and decorative pendant lighting. Premium LG stainless steel appliance package included! Outdoor living is enhanced with a BBQ gas stub. Spa-inspired baths feature upgraded Delta fixtures, quartz vanities, tiled surrounds, a curbless primary shower.</t>
  </si>
  <si>
    <t>305-03-1750</t>
  </si>
  <si>
    <t>Robson Ranch Mountains, LLC</t>
  </si>
  <si>
    <t>305-03-0790</t>
  </si>
  <si>
    <t>ROCKING K SOUTH NEIGHBORHOOD 5 PARCEL J2 LOT 167</t>
  </si>
  <si>
    <t>This new single-story home boasts a convenient and low-maintenance layout ideal for modern lifestyles. An open-concept floorplan blends the kitchen, living and dining areas for easy transitions and everyday multitasking. All three bedrooms are tucked away to the side for optimal privacy and comfort, including a lavish owner's suite at the back of the home with a full bathroom and walk-in closet. This home includes GE® stainless steal appliances, Rinnai Tankless Water Heater, prep for reverse osmosis, Quartz Countertops, 2'' faux wood blinds, LED lighting and so much more! As an added bonus, this home includes a washer and dryer.</t>
  </si>
  <si>
    <t>207-97-5860</t>
  </si>
  <si>
    <t>ROCKING K SOUTH NEIGHBORHOOD 5 PARCEL G LOT 133</t>
  </si>
  <si>
    <t>Upon entry, this new two-story home features a bedroom suite steps from a full bathroom, offering a flexible and secluded space. An open plan at the back of the home encourages simple transitions between a modern kitchen, an elegant dining room and comfortable living room. On the second floor, a versatile loft offers a convenient shared living area near two additional bedrooms and a generous owner's suite, complete with a full bathroom and walk-in closet. This home includes GE® stainless steal appliances, Rinnai Tankless Water Heater, prep for reverse osmosis, Quartz Countertops, 2'' faux wood blinds, LED lighting and so much more! As an added bonus, this home includes a washer and dryer - move-in ready and waiting for you!</t>
  </si>
  <si>
    <t>207-97-4130</t>
  </si>
  <si>
    <t>305-13-2670</t>
  </si>
  <si>
    <t>Paloma</t>
  </si>
  <si>
    <t>ROCKING K SOUTH NEIGHBORHOOD 5 PARCEL G LOT 135</t>
  </si>
  <si>
    <t>207-97-4150</t>
  </si>
  <si>
    <t>ROCKING K SOUTH NEIGHBORHOOD 3 PARCEL DD LOT 82  SQ20220330285</t>
  </si>
  <si>
    <t>Sienna plan with a Spanish elevation. Beautiful 2-story home has it all! This single-family gem boasts 4 bedrooms and 3 baths, featuring one bedroom &amp; full bath downstairs. Open Greatroom, dining &amp; kitchen areas seamlessly connect as the central hub. The kitchen is a culinary haven with a spacious center island, gas range, quartz counters, and a walk-in pantry. Upstairs, a versatile loft complements the living space. The Owner's Suite offers a luxurious escape with an oversized walk-in closet, walk-in shower, linen closet, and dual sinks. The welcoming covered front porch adds a touch of charm to this modern haven, making the Sienna plan perfect blend of style and functionality.</t>
  </si>
  <si>
    <t>205-96-0820</t>
  </si>
  <si>
    <t>ROCKING K SOUTH NEIGHBORHOOD 3 PARCEL BB LOT  53  SQ20220830268</t>
  </si>
  <si>
    <t>205-96-3230</t>
  </si>
  <si>
    <t>ROCKING K SOUTH NEIGHBORHOOD 3 PARCEL BB LOT  50  SQ20220830268</t>
  </si>
  <si>
    <t>205-96-3200</t>
  </si>
  <si>
    <t>ROCKING K SOUTH NEIGHBORHOOD 3 PARCEL BB LOT 102  SQ20220830268</t>
  </si>
  <si>
    <t>205-96-3720</t>
  </si>
  <si>
    <t>ROCKING K SOUTH NEIGHBORHOOD 4 Parcel M Lot 155</t>
  </si>
  <si>
    <t>205-96-7210</t>
  </si>
  <si>
    <t>ROCKING K SOUTH NEIGHBORHOOD 4 Parcel M Lot 10</t>
  </si>
  <si>
    <t>205-96-5760</t>
  </si>
  <si>
    <t>ROCKING K SOUTH NEIGHBORHOOD 3 PARCEL BB LOT 103  SQ20220830268</t>
  </si>
  <si>
    <t>205-96-3730</t>
  </si>
  <si>
    <t>Carter Crane</t>
  </si>
  <si>
    <t>ROCKING K SOUTH NEIGHBORHOOD 4 Parcel M Lot 2</t>
  </si>
  <si>
    <t>205-96-5680</t>
  </si>
  <si>
    <t>ROCKING K SOUTH NEIGHBORHOOD 5 PARCEL G LOT 9</t>
  </si>
  <si>
    <t>207-97-2890</t>
  </si>
  <si>
    <t>ROCKING K SOUTH NEIGHBORHOOD 5 PARCEL J2 LOT 94</t>
  </si>
  <si>
    <t>207-97-5130</t>
  </si>
  <si>
    <t>ROCKING K SOUTH NEIGHBORHOOD 3 PARCEL BB LOT  55  SQ20220830268</t>
  </si>
  <si>
    <t>This new two-story Next Gen® home is ready for multigenerational households and features a private suite with its own entrance, living area, kitchenette, bedroom, bathroom and laundry. The main home is host to an inviting open-concept layout and a flex space on the first floor. On the second level, a versatile loft provides a convenient shared living area easily accessible from three additional bedrooms and a lavish owner's suite with a full bathroom and walk-in closet. This home includes GE® stainless steel appliances, Rinnai Tankless Water Heater, Quartz Countertops, 2'' faux wood blinds, LED lighting and so much more!</t>
  </si>
  <si>
    <t>205-96-3250</t>
  </si>
  <si>
    <t>ROCKING K SOUTH NEIGHBORHOOD 5 PARCEL G LOT 12</t>
  </si>
  <si>
    <t>This new single-story home boasts a modern and low-maintenance layout. Three bedrooms feature a secluded location upon entry, leading to an inviting open plan that provides direct access to a covered patio for year-round outdoor leisure. At the back of the home, a private owner's suite provides a tranquil retreat with a full bathroom and walk-in closet. This home includes GE® stainless steal appliances, Rinnai Tankless Water Heater, prep for reverse osmosis, Quartz Countertops, 2'' faux wood blinds, LED lighting and so much more! As an added bonus, this home includes a washer and dryer.</t>
  </si>
  <si>
    <t>207-97-2920</t>
  </si>
  <si>
    <t>ROCKING K SOUTH NEIGHBORHOOD 5 PARCEL G LOT 13</t>
  </si>
  <si>
    <t>This new single-story home embraces modern family living with an open layout featuring a spacious Great Room that flows seamlessly into the kitchen and dining areas, creating the perfect backdrop for daily gatherings and entertaining. The private owner's suite offers a serene retreat complete with a walk-in closet, while three additional bedrooms provide comfortable spaces off the foyer. Step outside onto an inviting covered patio for year-round indoor-outdoor relaxation.This home includes GE® stainless steal appliances, Rinnai Tankless Water Heater, prep for reverse osmosis, Quartz Countertops, 2'' faux wood blinds, LED lighting and so much more! As an added bonus, this home includes a washer and dryer.</t>
  </si>
  <si>
    <t>207-97-2930</t>
  </si>
  <si>
    <t>SF 0080 Plan 2550D</t>
  </si>
  <si>
    <t>Vail School District. Energy Efficient. Move in Ready.    The Jasper plan offers exceptional space with 5 bedrooms and 3 bathrooms, centered around a bright open-concept living area perfect for gathering and entertaining. The kitchen shines with classic white cabinetry and a spacious pantry, while each bedroom features its own walk-in closet for added convenience.  Coming soon to Summit at Rocking K in Vail, AZ, this thoughtfully planned community offers five floorplans, access to award-winning Vail schools, and amenities including pickleball courts, playgrounds, and a splash pad. Move-in ready with washer, dryer, refrigerator, and whole-home blinds--everything you need to settle in with ease.</t>
  </si>
  <si>
    <t>207-97-3600</t>
  </si>
  <si>
    <t>SF 0077 Plan 2150D</t>
  </si>
  <si>
    <t>Entertain with ease in this spacious 4-bedroom, 2.5-bath home featuring a large great room and a well-appointed kitchen with center island--perfect for gathering with friends and family. At day's end, retreat to the private primary suite, thoughtfully tucked into a quiet corner of the home for added comfort and privacy. Summit at Rocking K is coming soon to Vail, AZ, offering a master-planned community with five floorplans and access to award-winning schools in the Vail School District. Residents will enjoy amenities including pickleball courts, playgrounds, and a splash pad. Move-in ready with washer, dryer, refrigerator, and whole-home blinds, plus innovative energy-efficient features designed to keep you comfortable while saving on utilities.</t>
  </si>
  <si>
    <t>207-97-3570</t>
  </si>
  <si>
    <t>ROCKING K SOUTH NEIGHBORHOOD 3 PARCEL DD LOT 11  SQ20220330285</t>
  </si>
  <si>
    <t>Charming Copper plan with Desert Modern elevation. This thoughtfully designed layout includes open Greatroom with spacious dining area &amp; kitchen. The Owner's suite is a true retreat with a generously sized walk-in closet, a beautiful walk-in shower, vanity with twin sinks and view to the backyard. The modern kitchen is equipped with a gas range, Whirlpool refrigerator, center island and a walk-in pantry for all your culinary needs. Laundry room is complete with Washer/Dryer.</t>
  </si>
  <si>
    <t>205-96-0110</t>
  </si>
  <si>
    <t>Lot 50 Of Saddlebrooke Ranch Unit Twenty-One B, According To The Plat Of Record In The Office Of The Pinal County Record</t>
  </si>
  <si>
    <t>Step into a kitchen designed for the culinary enthusiast, featuring a professional-grade LG Built-In Stainless Steel gas suite. Anchored by a massive 26 Cu. Ft. French Door refrigerator and a high-performance convection oven, this space is as functional as it is beautiful.     Custom Madison Clear Alder cabinetry with soaring 42'' uppers and Shaker crown moulding (kitchen only) provides a furniture-grade finish, while the Quartz countertops and full-height backsplash offer a seamless, modern aesthetic.   The luxury continues in the primary suite with a sleek curbless shower and Delta Saylor chrome fixtures. Every inch of the home has been elevated, from the engineered wood flooring to the bold 5'' contemporary baseboards.</t>
  </si>
  <si>
    <t>305-15-9400</t>
  </si>
  <si>
    <t>Bria</t>
  </si>
  <si>
    <t>ROCKING K SOUTH NEIGHBORHOOD 3 PARCEL DD LOT 76  SQ20220330285</t>
  </si>
  <si>
    <t>Charming Copper plan with Desert Modern elevation. This thoughtfully designed layout includes open Greatroom with spacious dining area &amp; kitchen. The Owner's suite is a true retreat with a generously sized walk-in closet, a beautiful walk-in shower, vanity with twin sinks and view to the backyard. The modern kitchen is equipped with a gas range, Whirlpool refrigerator, center island and a walk-in pantry for all your culinary needs. Laundry room is complete with Washer/Dryer. Garage storage area provides that much needed space.</t>
  </si>
  <si>
    <t>205-96-0760</t>
  </si>
  <si>
    <t>ROCKING K SOUTH NEIGHBORHOOD 3 PARCEL DD LOT 87 SQ20220330285</t>
  </si>
  <si>
    <t>Sienna plan with a Rustic Spanish elevation. Beautiful 2-story home has it all! This single-family gem boasts 4 bedrooms and 3 baths, featuring one bedroom downstairs. Open Greatroom, dining &amp; kitchen areas seamlessly connect as the central hub. The kitchen is a culinary haven with a spacious center island, gas range, granite counters, and a walk-in pantry. Upstairs, a versatile loft complements the living space. The Owner's Suite offers a luxurious escape with an oversized walk-in closet, walk-in shower, linen closet, and dual sinks. The welcoming covered front porch adds a touch of charm to this modern haven, making the Sienna plan perfect blend of style and functionality.</t>
  </si>
  <si>
    <t>205-96-0870</t>
  </si>
  <si>
    <t>ROCKING K SOUTH NEIGHBORHOOD 3 PARCEL DD LOT 93 SQ20220330285</t>
  </si>
  <si>
    <t>Charming Copper plan with Desert Modern elevation. This thoughtfully designed layout includes open Greatroom with spacious dining area &amp; kitchen. The Owner's suite is a true retreat with a generously sized walk-in closet, a beautiful walk-in shower, vanity with twin sinks and view to the backyard. The modern kitchen is equipped with a gas range, Whirlpool refrigerator, center island and a walk-in pantry for all your culinary needs. Laundry room is complete with Washer/Dryer. Includes Backyard Landscaping.</t>
  </si>
  <si>
    <t>205-96-0930</t>
  </si>
  <si>
    <t>ROCKING K SOUTH NEIGHBORHOOD 3 PARCEL DD LOT 92 SQ20220330285</t>
  </si>
  <si>
    <t>Charming Copper plan with Rustic Spanish elevation. This thoughtfully designed layout includes open Greatroom with spacious dining area &amp; kitchen. The Owner's suite is a true retreat with a generously sized walk-in closet, a beautiful walk-in shower, vanity with twin sinks and view to the backyard. The modern kitchen is equipped with a gas range, Whirlpool refrigerator, center island and a walk-in pantry for all your culinary needs. Laundry room is complete with Washer/Dryer. Includes Backyard landscaping.</t>
  </si>
  <si>
    <t>205-96-0920</t>
  </si>
  <si>
    <t>ROCKING K SOUTH NEIGHBORHOOD 3 PARCEL DD LOT 83 SQ20220330285</t>
  </si>
  <si>
    <t>Sienna plan with Desert Modern elevation. Beautiful 2-story home has it all! This single-family gem boasts 5 bedrooms and 3 baths, with one bedroom and bath downstairs. Open Greatroom, dining &amp; kitchen areas seamlessly connect as the central hub. The kitchen is a culinary haven with a spacious center island, gas range, quartz counters, and a walk-in pantry. Upstairs are 3 additional bedrooms, and Owner's Suite with oversized walk-in closet, walk-in shower, linen closet, and dual sinks. The welcoming covered front porch adds a touch of charm to this modern haven, making the Sienna plan a perfect blend of style and functionality. Includes Backyard Landscaping.</t>
  </si>
  <si>
    <t>205-96-0830</t>
  </si>
  <si>
    <t>ROCKING K SOUTH NEIGHBORHOOD 3 PARCEL DD LOT 94 SQ20220330285</t>
  </si>
  <si>
    <t>Charming Brandy floorplan with Spanish elevation offers 3 bedrooms, 2 full baths, open Greatroom/Dining/Kitchen area. Kitchen features refrigerator, center island, quartz counters &amp; oversized walk-in pantry. Owner's suite features huge walk-in closet, dual sinks, linen closet, walk-in shower and a view to the backyard. Includes 8' interior doors, LED disk lights and Washer/Dryer &amp; window blinds. Includes Backyard landscaping.</t>
  </si>
  <si>
    <t>205-96-0940</t>
  </si>
  <si>
    <t>ROCKING K SOUTH NEIGHBORHOOD 3 PARCEL DD LOT 80 SQ20220330285</t>
  </si>
  <si>
    <t>Charming Copper plan with Spanish elevation. This thoughtfully designed layout includes open Greatroom with spacious dining area &amp; kitchen. The Owner's suite is a true retreat with a generously sized walk-in closet, a beautiful walk-in shower, vanity with twin sinks and view to the backyard. The modern kitchen is equipped with a gas range, Whirlpool refrigerator, center island and a walk-in pantry for all your culinary needs. Laundry room is complete with Washer/Dryer. Garage storage area provides that much needed space. Backyard landscaping to be added.</t>
  </si>
  <si>
    <t>205-96-0800</t>
  </si>
  <si>
    <t>ROCKING K SOUTH NEIGHBORHOOD 3 PARCEL DD LOT 81 SQ20220330285</t>
  </si>
  <si>
    <t>Charming Brandy floorplan with Ranch elevation offers 3 bedrooms, 2 full baths, open Greatroom/Dining/Kitchen area. Kitchen features refrigerator, center island, quartz counters &amp; oversized walk-in pantry. Owner's suite features huge walk-in closet, dual sinks, linen closet, walk-in shower and a view to the backyard. Includes 8' interior doors, LED disk lights and Washer/Dryer &amp; window blinds. Backyard landscaping to be added.</t>
  </si>
  <si>
    <t>205-96-0810</t>
  </si>
  <si>
    <t>Rocking K South Neighborhood 2 Lot 53 Sq20222310045</t>
  </si>
  <si>
    <t>Completion November 2026.  This thoughtfully designed Hideaway floor plan features an open concept layout with 2 bedrooms and 2 baths.  Highlights include 9-foot ceilings, Center Sliding Glass Door, a rear home extension, walk in pantry, tankless water heater, soft water plumbing loop, gas stub outs in Kitchen, Laundry and outside, and a 4' garage extension.  Chef Kitchen with upgraded Cabinets, Kitchen Countertops and Stainless-Steel Whirlpool Chef Kitchen Gas Package.</t>
  </si>
  <si>
    <t>205-97-0530</t>
  </si>
  <si>
    <t>Rocking K South Neighborhood 2 Lot 135 Sq20222310045</t>
  </si>
  <si>
    <t>Completion November 2026. This Pursuit open floor plan offers 2 bedrooms, a den, and 2 baths designed for comfortable, modern living. Features include 10-foot ceilings, a rear home extension, walk-in pantry, tankless water heater, soft-water plumbing loop, and a 4-foot garage extension. Gas stub-outs are conveniently located in the kitchen, laundry room, and backyard.    The kitchen is highlighted by upgraded cabinetry, quartz countertops, and a chef-inspired layout featuring a stainless-steel cooktop, hood, and wall microwave/oven combination. Additional enhancements include pre-wiring for ceiling fans and pendant lighting, whole-house blinds, and carefully selected designer finishes throughout.    Community clubhouse now open.</t>
  </si>
  <si>
    <t>205-97-1350</t>
  </si>
  <si>
    <t>Rocking K South Neighborhood 2 Phase 2 Sq20232070181 Lot 207</t>
  </si>
  <si>
    <t>Completion November 2026. This Serenity open floor plan offers 3 bedrooms, a den, and 2 baths, thoughtfully designed for modern living. Features include 10-foot ceilings, a walk-in pantry, tankless water heater, soft-water plumbing loop, and a laundry room pre-plumbed for a sink. Gas stub-outs are conveniently located in the kitchen, laundry room, and backyard.  The kitchen is beautifully appointed with upgraded cabinetry, White Sand quartz countertops, and a chef-inspired layout featuring a stainless-steel cooktop, hood, and wall microwave/oven combination. Additional highlights include pre-wiring for ceiling fans and pendant lighting, whole-house blinds, and thoughtfully selected designer finishes throughout.    Community clubhouse now open.</t>
  </si>
  <si>
    <t>205-97-2080</t>
  </si>
  <si>
    <t>Rocking K South Neighborhood 2 Lot 48 Sq20222310045</t>
  </si>
  <si>
    <t>Completion November 2026. The Sanctuary features a spacious open-concept floor plan with two bedrooms, a den, and two baths. Thoughtfully designed with 9-foot ceilings, a rear home extension, and a 4-foot garage extension, this home includes a walk-in pantry, tankless water heater, soft water plumbing loop, and gas stub-outs in the kitchen, laundry, and backyard. The chef-inspired kitchen boasts upgraded cabinetry, quartz countertops, a stainless-steel cooktop with hood, and a wall-mounted microwave/oven combination. Additional upgrades include pre-wiring for ceiling fans and pendant lighting, whole-home blinds, and carefully curated design finishes throughout. Community clubhouse is now open.</t>
  </si>
  <si>
    <t>205-97-0480</t>
  </si>
  <si>
    <t>ROCKING K SOUTH NEIGHBORHOOD 5 PARCEL J2 LOT 122</t>
  </si>
  <si>
    <t>This new single-story home maximizes space for increased tranquility. An open floorplan connects the kitchen, dining room and family room in a modern style that prioritizes functionality. Nearby is a covered patio to promote seamless indoor-outdoor living. On the opposite side of the home are two secondary bedrooms and a tranquil owner's suite with a private bathroom and walk-in closet. This home includes GE® stainless steal appliances, Rinnai Tankless Water Heater, prep for reverse osmosis, Quartz Countertops, 2'' faux wood blinds, LED lighting and so much more! As an added bonus, this home includes a washer and dryer -</t>
  </si>
  <si>
    <t>207-97-5410</t>
  </si>
  <si>
    <t>ROCKING K SOUTH NEIGHBORHOOD 5 PARCEL J2 LOT 168</t>
  </si>
  <si>
    <t>The Great Room, kitchen and nook share a convenient and contemporary open floorplan in this single-level home, offering direct access to the covered patio through sliding glass doors. Four bedrooms offer plenty of space for the entire household, including a luxe owner's suite found at the back of the home for privacy and complemented by a walk-in closet and en-suite bathroom. This home includes GE® stainless steal appliances, Rinnai Tankless Water Heater, prep for reverse osmosis, Quartz Countertops, 2'' faux wood blinds, LED lighting and so much more! As an added bonus, this home includes a washer and dryer -</t>
  </si>
  <si>
    <t>207-97-5870</t>
  </si>
  <si>
    <t>ROCKING K SOUTH NEIGHBORHOOD 5 PARCEL G LOT 15</t>
  </si>
  <si>
    <t>A Next Gen® single-story plan, this spacious home features an attached private suite with its own living area, kitchenette, bedroom and bathroom. In the main home is an open-concept living space that flows out to a covered patio, along with a total of three bedrooms. The owner's suite is tucked away in the back and enjoys a convenient bathroom and walk-in closet. This home includes GE® stainless steal appliances, Rinnai Tankless Water Heater, prep for reverse osmosis, Quartz Countertops, 2'' faux wood blinds, LED lighting and so much more! As an added bonus, this home includes a washer and dryer -</t>
  </si>
  <si>
    <t>207-97-2950</t>
  </si>
  <si>
    <t>Placita Astuto</t>
  </si>
  <si>
    <t>ROCKING K SOUTH NEIGHBORHOOD 3 PARCEL BB LOT  108  SQ20220830268</t>
  </si>
  <si>
    <t>205-96-3780</t>
  </si>
  <si>
    <t>ROCKING K SOUTH NEIGHBORHOOD 4 Parcel M Lot 1</t>
  </si>
  <si>
    <t>This low-maintenance, single-story home features a generous open floorplan shared between the Great Room, kitchen and dining room, maximizing the footprint of the interior. The luxurious owner's suite is privately situated toward the back of the home, while three secondary bedrooms can be found off a hallway near the foyer. This home includes GE® stainless steal appliances, Rinnai Tankless Water Heater, prep for reverse osmosis, Granite Countertops, 2'' faux wood blinds, LED lighting and so much more! -</t>
  </si>
  <si>
    <t>205-96-5670</t>
  </si>
  <si>
    <t>ROCKING K SOUTH NEIGHBORHOOD 4 Parcel M Lot 164</t>
  </si>
  <si>
    <t>This low-maintenance, single-story home features a generous open floorplan shared between the Great Room, kitchen and dining room, maximizing the footprint of the interior. The luxurious owner's suite is privately situated toward the back of the home, while three secondary bedrooms can be found off a hallway near the foyer. This home includes GE® stainless steal appliances, Rinnai Tankless Water Heater, prep for reverse osmosis, Granite Countertops, 2'' faux wood blinds, LED lighting and so much more!</t>
  </si>
  <si>
    <t>205-96-7300</t>
  </si>
  <si>
    <t>ROCKING K SOUTH NEIGHBORHOOD 4 Parcel M Lot 158</t>
  </si>
  <si>
    <t>205-96-7240</t>
  </si>
  <si>
    <t>ROCKING K SOUTH NEIGHBORHOOD 4 Parcel M Lot 163</t>
  </si>
  <si>
    <t>205-96-7290</t>
  </si>
  <si>
    <t>ROCKING K SOUTH NEIGHBORHOOD 4 Parcel M Lot 157</t>
  </si>
  <si>
    <t>205-96-7230</t>
  </si>
  <si>
    <t>ROCKING K SOUTH NEIGHBORHOOD 4 Parcel M Lot 156</t>
  </si>
  <si>
    <t>205-96-7220</t>
  </si>
  <si>
    <t>ROCKING K SOUTH NEIGHBORHOOD 3 PARCEL DD LOT 77  SQ20220330285</t>
  </si>
  <si>
    <t>Sienna plan with Ranch elevation. Beautiful 2-story home has it all! This single-family gem boasts 4 bedrooms and 3 baths, with one bedroom and bath downstairs. Open Greatroom, dining &amp; kitchen areas seamlessly connect as the central hub. The kitchen is a culinary haven with a spacious center island, gas range, quartz counters, and a walk-in pantry. Upstairs are two additional bedrooms, a versatile Loft, and Owner's Suite with oversized walk-in closet, walk-in shower, linen closet, and dual sinks. The welcoming covered front porch adds a touch of charm to this modern haven, making the Sienna plan a perfect blend of style and functionality. Includes Backyard Landscaping.</t>
  </si>
  <si>
    <t>205-96-0770</t>
  </si>
  <si>
    <t>ROCKING K SOUTH NEIGHBORHOOD 3 PARCEL DD LOT 78  SQ20220330285</t>
  </si>
  <si>
    <t>205-96-0780</t>
  </si>
  <si>
    <t>ROCKING K SOUTH NEIGHBORHOOD 4 Parcel M Lot 11</t>
  </si>
  <si>
    <t>205-96-5770</t>
  </si>
  <si>
    <t>ROCKING K SOUTH NEIGHBORHOOD 3 PARCEL DD LOT 3  SQ20220330285</t>
  </si>
  <si>
    <t>Charming Brandy floorplan with Rustic Spanish elevation offers 3 bedrooms, 2 full baths, open Greatroom/Dining/Kitchen area. Kitchen features Whirlpool French-door refrigerator, center island, quartz counters &amp; oversized walk-in pantry. Owner's suite features huge walk-in closet, dual sinks, linen closet, walk-in shower and a view to the backyard. Includes 8' interior doors, LED disk lights, faux wood blins and Washer/Dryer.</t>
  </si>
  <si>
    <t>205-96-0030</t>
  </si>
  <si>
    <t>ROCKING K SOUTH NEIGHBORHOOD 5 PARCEL G SQ20241360226 LOT 79</t>
  </si>
  <si>
    <t>Brand new, energy-efficient home available by May 2026! The Diamond plan features five bedrooms plus a flex space that makes the perfect teen room. Make guests feel at home with a private bedroom and bathroom nestled off the foyer. Summit at Rocking K is coming soon to Vail, AZ. This master-planned community offers five floorplans with easy access to award winning schools located in the Vail School District. Residents will enjoy a wide array of amenities including pickleball courts, playgrounds and a splash pad. Move-in ready with a washer, dryer, fridge, and whole-home blinds; closing in 60 days or less - guaranteed. We'll reimburse up to $5,000 for delays we cause.</t>
  </si>
  <si>
    <t>207-97-3590</t>
  </si>
  <si>
    <t>ROCKING K SOUTH NEIGHBORHOOD 5 PARCEL J2 LOT 119</t>
  </si>
  <si>
    <t>This new two-story home is host to a spacious and flexible open-concept layout on the first floor that blends the kitchen, dining area and family room for seamless transitions and everyday multitasking. On the second level, a versatile loft provides a convenient shared living area easily accessible from three bedrooms and a lavish owner's suite with a full bathroom and walk-in closet. This home includes GE® stainless steal appliances, Rinnai Tankless Water Heater, prep for reverse osmosis, Quartz Countertops, 2'' faux wood blinds, LED lighting and so much more! As an added bonus, this home includes a washer and dryer.</t>
  </si>
  <si>
    <t>207-97-5380</t>
  </si>
  <si>
    <t>ROCKING K SOUTH NEIGHBORHOOD 5 PARCEL J2 LOT 121</t>
  </si>
  <si>
    <t>This new two-story home is host to a spacious and flexible open-concept layout on the first floor that blends the kitchen, dining area and family room for seamless transitions and everyday multitasking. On the second level, a versatile loft provides a convenient shared living area easily accessible from four bedrooms and a lavish owner's suite with a full bathroom and walk-in closet. This home includes GE® stainless steal appliances, Rinnai Tankless Water Heater, prep for reverse osmosis, Quartz Countertops, 2'' faux wood blinds, LED lighting and so much more! As an added bonus, this home includes a washer and dryer.</t>
  </si>
  <si>
    <t>207-97-5400</t>
  </si>
  <si>
    <t>ROCKING K SOUTH NEIGHBORHOOD 5 PARCEL J2 LOT 120</t>
  </si>
  <si>
    <t>This new two-story home is ready for modern lifestyles. On the first floor, an inviting open-concept layout blends the kitchen, living and dining areas, with a secluded bedroom tucked into a private rear corner. On the second level, a versatile loft provides a convenient shared living area easily accessible from four additional bedrooms and a luxurious owner's suite, complete with a full bathroom and walk-in closet.This home includes GE® stainless steal appliances, Rinnai Tankless Water Heater, prep for reverse osmosis, Quartz Countertops, 2'' faux wood blinds, LED lighting and so much more! As an added bonus, this home includes a washer and dryer.</t>
  </si>
  <si>
    <t>207-97-5390</t>
  </si>
  <si>
    <t>ROCKING K SOUTH NEIGHBORHOOD 5 PARCEL G LOT 11</t>
  </si>
  <si>
    <t>This new four-bedroom home offers convenient single-story living, perfect for modern lifestyles. Upon entry, three secondary bedrooms boast a prime location steps a full bathroom. The main living space can be found at the back of the home among an inviting open plan shared between the kitchen, living and dining spaces, while a generous covered patio provides year-round outdoor enjoyment. A spacious owner's suite with a full bathroom and walk-in closet completes the home. This home includes GE® stainless steal appliances, Rinnai Tankless Water Heater, prep for reverse osmosis, Quartz Countertops, 2'' faux wood blinds, LED lighting and so much more! As an added bonus, this home includes a washer and dryer.</t>
  </si>
  <si>
    <t>207-97-2910</t>
  </si>
  <si>
    <t>ROCKING K SOUTH NEIGHBORHOOD 5 PARCEL G LOT 131</t>
  </si>
  <si>
    <t>Upon entry, this new two-story home features a bedroom suite steps from a full bathroom, offering a flexible and secluded space. An open plan at the back of the home encourages simple transitions between a modern kitchen, an elegant dining room and comfortable living room. On the second floor, a versatile loft offers a convenient shared living area near two additional bedrooms and a generous owner's suite, complete with a full bathroom and walk-in closet. This home includes GE® stainless steal appliances, Rinnai Tankless Water Heater, prep for reverse osmosis, Quartz Countertops, 2'' faux wood blinds, LED lighting and so much more! As an added bonus, this home includes a washer and dryer.</t>
  </si>
  <si>
    <t>207-97-4110</t>
  </si>
  <si>
    <t>Lot 121 Of Saddlebrooke Ranch Unit Nineteen, According To The Plat Of Record In The Office Of The County Recorder Of Pi</t>
  </si>
  <si>
    <t>The home features an LG built-in stainless steel gas appliance package, which includes a convection oven, cooktop, microwave, refrigerator and dishwasher. The kitchen also has solid Newport Dove White cabinets with 42'' uppers, a Kohler Cairn kitchen sink in matte white, and a Delta Emmeline pull-down faucet in champagne bronze. Two-inch shaker crown molding is installed in the kitchen only. Quartz countertops are installed with a full-height backsplash.    Bathrooms: The bathrooms include upgraded Delta plumbing fixtures and coordinating bath accessories in champagne bronze. Quartz vanities and tile surrounds are installed in the primary bath and bath two.</t>
  </si>
  <si>
    <t>305-03-1310</t>
  </si>
  <si>
    <t>LOT 92 OF SADDLEBROOKE RANCH UNIT NINETEEN, RECORDED IN PLAT FEE NO. 2022-122781</t>
  </si>
  <si>
    <t>This home features a thoughtfully upgraded interior with a 2-foot extension to the spacious primary walk-in closet. The kitchen showcases Laguna Frost cabinetry with 42'' upper cabinets, accented by 2'' shaker crown moulding and stunning quartz countertops with a full-height backsplash. A Kohler Vault single-bowl stainless steel sink paired with a Delta Trinsic pull-down faucet in chrome adds both style and functionality. The laundry room includes a convenient Sterling Latitude Vikrell laundry sink.    Bathrooms are beautifully appointed with Delta Trinsic fixtures and accessories in chrome, and the primary bath offers a heavy clear glass semi-frameless shower enclosure for a modern, spa-like feel.</t>
  </si>
  <si>
    <t>303-03-1020</t>
  </si>
  <si>
    <t>Mira</t>
  </si>
  <si>
    <t>Lot 35 Of Saddlebrooke Ranch Unit Eighteen B, According To The Pl At Of Record In The Office Of The Pinal County Recorde</t>
  </si>
  <si>
    <t>This beautifully upgraded home offers a 3-foot extension to the primary bath, walk-in closet, and den, along with a 2-foot extension to Bedroom 2 suite, providing extra space and comfort throughout.    The kitchen features Madison Clear Alder cabinetry in a rich Perfect Brown finish with 42'' upper cabinets, enhanced by 2'' shaker crown moulding and striking quartz countertops with a full-height backsplash. A Kohler Vault single-bowl stainless steel sink pairs perfectly with a Delta Emmeline pull-down faucet in Lumicoat Chrome for both style and functionality.    Bathrooms are thoughtfully appointed with quartz countertops, Delta Altado fixtures and accessories in chrome, framed mirrors, and a classic pedestal sink in the powder room.</t>
  </si>
  <si>
    <t>305-15-7380</t>
  </si>
  <si>
    <t>Robson Ranch Quail Creek, LLC (4817)</t>
  </si>
  <si>
    <t>(520) 648-0332</t>
  </si>
  <si>
    <t>Sheila R Bracken</t>
  </si>
  <si>
    <t>Aruba</t>
  </si>
  <si>
    <t>QUAIL CREEK II UNIT 27 SQ20240580196 LOT 58</t>
  </si>
  <si>
    <t>Move-in-ready home ''Agave'' Open-concept, Great Room, bright open space throughout. Enjoy eating in this gourmet kitchen with Arctic White cabinets with 41'' uppers, quartz countertop, LG stainless steel appliances. Upgrades include golf cart garage, 4' extension at garage, bay window at dining room, and upper and lower cabinets at laundry. Upgraded carpet and luxury vinyl plank.  Two-tone paint throughout, 8 ft doors throughout, walk in shower and walk-in closet. Extra room is a den.  Home boasts beautiful touches with so much more.  Come and live in a luxury resort community.  Fully landscaped.</t>
  </si>
  <si>
    <t>304-91-0580</t>
  </si>
  <si>
    <t>Quail Creek II Unit 27</t>
  </si>
  <si>
    <t>Riposte</t>
  </si>
  <si>
    <t>QUAIL CREEK II UNIT 36 SQ20211830280 LOT 100</t>
  </si>
  <si>
    <t>Move-in-ready home ''Agave'' Open-concept, Great Room, bright open space throughout. Enjoy eating in this gourmet kitchen with Dungarven Oak cabinets\ quartz countertop, LG stainless steel appliances. Upgrades include alternate kitchen island, 4' extension at primary bedroom, expanded primary bath/walk in closet, upper cabinets at laundry, walk in shower at bath 2, insulation in all interior walls and window coverings.  Upgraded luxury vinyl. Extra room is a den.  Home boasts beautiful touches with so much more.  Come and live in a luxury resort community.</t>
  </si>
  <si>
    <t>304-55-3020</t>
  </si>
  <si>
    <t>QUAIL CREEK II UNIT 36 SQ20211830280 LOT 119</t>
  </si>
  <si>
    <t>:  Introducing our new Cabinet Home Program!  A new home without the long build time.  The opportunity to make this Vienta your dream home! There is 3 car garage and 2' extension at Primary suite, expanded primary walk in closet.  Arctic White Cabinets w/42'' Uppers. LG built-in gas appliance package in Stainless Steel includes: Convection Wall Oven, Cooktop, Microwave, Refrigerator and Dishwasher. Sink in laundry room with upper and lower cabinets. Buyers have the opportunity to upgrade the flooring &amp; countertops to make this home their own.</t>
  </si>
  <si>
    <t>304-55-3210</t>
  </si>
  <si>
    <t>ROCKING K SOUTH NEIGHBORHOOD 3 PARCEL DD LOT 56  SQ20220330285</t>
  </si>
  <si>
    <t>205-96-0560</t>
  </si>
  <si>
    <t>Rocking K South Neighborhood 2 Lot 49 Sq20222310045</t>
  </si>
  <si>
    <t>Available Fall 2026, this open-concept Hideaway floor plan features 2 bedrooms, 2 bathrooms, and a 2-car garage with a 4' extension. Designed for comfort and style, the home offers 9' ceilings, a walk-in pantry, and a tankless water heater. Gas connections are included in the kitchen, laundry, and backyard. The owner's suite showcases a beautifully framed walk-in shower. The kitchen is highlighted by upgraded Truffle cabinetry, Atacama granite countertops (also in both baths), stainless steel appliances, and a gourmet culinary layout with pre-wiring for ceiling fans and pendant lighting. Thoughtfully selected design finishes complete the home. Clubhouse now open.</t>
  </si>
  <si>
    <t>205-97-0490</t>
  </si>
  <si>
    <t>Tombaugh</t>
  </si>
  <si>
    <t>LAS CAMPANAS SQ20212440045 LOT 186</t>
  </si>
  <si>
    <t>This home is under construction now, and will be ready approximately July of 2026! Stop by to see our brand new model home of this gorgeous plan today!  Introducing the York -- a thoughtfully designed new floor plan at Solterra by D.R. Horton in Green Valley. Offering 1,863 square feet of well-planned living space, the York is ideal for those seeking a home that balances comfort, flexibility, and modern design. Step inside through the welcoming entryway and experience an open-concept layout that maximizes every square foot. The expansive great room serves as the heart of the home, flowing seamlessly into the dining area and kitchen--perfect for both everyday living and entertaining.</t>
  </si>
  <si>
    <t>ROCKING K SOUTH NEIGHBORHOOD 3 PARCEL DD LOT 1  SQ20220330285</t>
  </si>
  <si>
    <t>Charming Copper plan with Ranch elevation. This thoughtfully designed layout includes open Greatroom with spacious dining area &amp; kitchen. The Owner's suite is a true retreat with a generously sized walk-in closet, a beautiful walk-in shower, vanity with twin sinks and view to the backyard. The modern kitchen is equipped with a gas range, Whirlpool refrigerator, center island and a walk-in pantry for all your culinary needs. Laundry room is complete with Washer/Dryer. Includes Backyard Landscaping.</t>
  </si>
  <si>
    <t>205-96-0010</t>
  </si>
  <si>
    <t>ROCKING K SOUTH NEIGHBORHOOD 5 PARCEL G LOT 128</t>
  </si>
  <si>
    <t>207-97-4080</t>
  </si>
  <si>
    <t>ROCKING K SOUTH NEIGHBORHOOD 5 PARCEL G LOT 130</t>
  </si>
  <si>
    <t>207-97-4100</t>
  </si>
  <si>
    <t>ROCKING K SOUTH NEIGHBORHOOD 5 PARCEL J2 LOT 117</t>
  </si>
  <si>
    <t>207-97-5360</t>
  </si>
  <si>
    <t>ROCKING K SOUTH NEIGHBORHOOD 5 PARCEL G  SQ20241360226 LOT 69</t>
  </si>
  <si>
    <t>Vail School District. Move in Ready. Appliances Included.    The expansive great room is ideal for movie nights or cheering on your favorite team with friends and family. This 4-bedroom, 2.5-bath home offers plenty of space for comfortable living. At the end of the day, unwind in your private primary suite, perfectly situated in a quiet corner of the home.  Summit at Rocking K--coming soon to Vail, AZ--is a thoughtfully planned community offering five distinct floorplans and convenient access to award-winning schools in the Vail School District. Residents will enjoy a variety of amenities, including pickleball courts, playgrounds, and a splash pad.  This move-in ready home also includes a washer, dryer, refrigerator, and whole-home blinds for added convenience.</t>
  </si>
  <si>
    <t>207-97-3490</t>
  </si>
  <si>
    <t>ROCKING K SOUTH NEIGHBORHOOD 3 PARCEL BB LOT  56  SQ20220830268</t>
  </si>
  <si>
    <t>This new two-story home is ready for modern lifestyles. A luxurious first-floor owner's suite provides a tranquil retreat with a full bathroom and walk-in closet, while a nearby open-concept layout blends the kitchen, living and dining areas. Three additional bedrooms surround a versatile loft on the second level. This home includes GE® stainless steel appliances, Rinnai Tankless Water Heater, Quartz Countertops, 2'' faux wood blinds, LED lighting and so much more! As an added bonus, this home comes complete with a washer and dryer!</t>
  </si>
  <si>
    <t>205-96-3260</t>
  </si>
  <si>
    <t>ROCKING K SOUTH NEIGHBORHOOD 3 PARCEL BB LOT  107  SQ20220830268</t>
  </si>
  <si>
    <t>205-96-3770</t>
  </si>
  <si>
    <t>ROCKING K SOUTH NEIGHBORHOOD 4 Parcel M Lot 159</t>
  </si>
  <si>
    <t>205-96-7250</t>
  </si>
  <si>
    <t>ROCKING K SOUTH NEIGHBORHOOD 4 Parcel M Lot 162</t>
  </si>
  <si>
    <t>205-96-7280</t>
  </si>
  <si>
    <t>ROCKING K SOUTH NEIGHBORHOOD 5 PARCEL J2 LOT 100</t>
  </si>
  <si>
    <t>207-97-5190</t>
  </si>
  <si>
    <t>ROCKING K SOUTH NEIGHBORHOOD 5 PARCEL G LOT 132</t>
  </si>
  <si>
    <t>207-97-4120</t>
  </si>
  <si>
    <t>Rocking K South Neighborhood 2 Lot 97 Sq20222310045</t>
  </si>
  <si>
    <t>Available Fall 2026, this open-concept Preserve plan offers 2 bedrooms, a den, 2 baths, and a 2-car garage with a 4' extension. Designed for both comfort and sophistication, the home features 9' ceilings, a walk-in pantry, tankless water heater, and gas connections in the kitchen, laundry, and backyard. The gourmet kitchen showcases Coastal Shaker Regal White cabinetry, Aspen Bianco quartz countertops throughout, and stainless steel appliances. Enjoy a beautifully framed walk-in shower in the owner's suite, along with pre-wiring for ceiling fans and pendant lighting. Thoughtfully curated finishes complete this stunning home. Clubhouse is open.</t>
  </si>
  <si>
    <t>205-97-0970</t>
  </si>
  <si>
    <t>Lot 209 Of Saddlebrooke Ranch Unit Nineteen, According To The Pla T Of Record In The Office Of The County Recorder Of Pi</t>
  </si>
  <si>
    <t>Designed to impress, this beautifully upgraded home showcases exceptional craftsmanship and luxury finishes throughout. The gourmet kitchen is a true centerpiece, featuring a premium stainless steel Signature Kitchen Suite appliance package with a built-in 6-burner Pro gas rangetop, combo wall oven with speed cook and steam functionality, and dishwasher. Rich Madison Clear Alder cabinetry with 42'' upper cabinets is complemented by elegant quartz countertops, a full-height backsplash, a roll-out shelf, and a tiered cutlery drawer for added convenience. Completing the space are a Kohler Prolific stainless steel undermount sink, Delta Coranto pull-down faucet in stainless, and a convenient pot filler over the cooktop.</t>
  </si>
  <si>
    <t>305-03-2190</t>
  </si>
  <si>
    <t>Cactus</t>
  </si>
  <si>
    <t>Saddlebrooke Unit 43 Lot 1 Sec 24-10S-14E 12989 Sq Ft 0.30 Ac</t>
  </si>
  <si>
    <t>Experience elevated desert living in this beautifully appointed home, where luxury finishes and designer details create an atmosphere of sophistication and comfort. At the heart of the home is a stunning chef-inspired kitchen featuring the premium Preserve Series built-in stainless steel appliance package, including a combo wall oven with Speed Cook &amp; Steam technology, pro-style wall hood, top-control dishwasher, cooktop, and an impressive 42'' built-in Signature Kitchen Suite refrigerator. Elegant Madison Beechwood cabinetry with 42'' uppers and 2'' shaker crown moulding adds warmth and timeless style, while quartz countertops with a full-height backsplash provide a sleek, modern finish. Completing the space are a striking Kohler Cairn sink in Matte White with sink rack.</t>
  </si>
  <si>
    <t>305-13-0010</t>
  </si>
  <si>
    <t>Additional Bathroom Features|Shower &amp; Tub|Yes;Additional Bathroom Features|Exhaust Fan|Yes;Additional Bathroom Features|Double Vanity|Yes;Assoc Amenities|Park|Yes;Assoc Amenities|Tennis Courts|Yes;Assoc Amenities|Recreation Room|Yes;Builder/New Constr.|Date Complete|2025-01-31;Builder/New Constr.|Builder Name|Meritage Homes;Builder/New Constr.|New Construction|Yes;Builder/New Constr.|Site Phone|520-686-5755;Builder/New Constr.|Date Framed|2024-08-30;Income Property|Current Use|Owner Occupied;Road Maintenance|City|Yes;Road Type|Paved|Yes;Showing Service|Showing Service|None;Stories|One|Yes;Window Covering|Stay|Yes;Gas|Natural|Yes;Guest Facilities|None|Yes;Home Protection|Offered|Yes;Sewer|Connected|Yes;Construction|Stucco Finish|Yes;Construction|Model Name|Pearl;Driveway|Paved|Asphalt;Electric|Electric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Parking|None|Yes;Security|Closed Circuit Camera(s)|Yes;Subdivision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Fee|125;Association &amp; Fees|HOA Payment Frequency|Monthly;Association &amp; Fees|HOA Amt (Monthly)|84.5;Primary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</si>
  <si>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Features|Double Vanity|Yes;Assoc Amenities|Park|Yes;Assoc Amenities|Tennis Courts|Yes;Assoc Amenities|Recreation Room|Yes;Builder/New Constr.|Date Complete|2025-02-03;Builder/New Constr.|Builder Name|Meritage Homes;Builder/New Constr.|New Construction|Yes;Builder/New Constr.|Site Phone|520-686-5755;Builder/New Constr.|Date Framed|2024-10-03;Income Property|Current Use|Owner Occupied;Road Maintenance|City|Yes;Road Type|Paved|Yes;Showing Service|Showing Service|None;Stories|One|Yes;Window Covering|Stay|Yes;Gas|Natural|Yes;Guest Facilities|None|Yes;Home Protection|Offered|Yes;Sewer|Connected|Yes;Construction|Stucco Finish|Yes;Construction|Model Name|Pearl;Driveway|Paved|Asphalt;Electric|Electric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Parking|None|Yes;Security|Closed Circuit Camera(s)|Yes;Subdivision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Fee|125;Association &amp; Fees|HOA Payment Frequency|Monthly;Association &amp; Fees|HOA Amt (Monthly)|84.5;Primary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</si>
  <si>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Features|Double Vanity|Yes;Assoc Amenities|Park|Yes;Assoc Amenities|Tennis Courts|Yes;Assoc Amenities|Recreation Room|Yes;Assoc Amenities|Pool|Yes;Builder/New Constr.|Date Complete|2025-03-06;Builder/New Constr.|Builder Name|Meritage Homes;Builder/New Constr.|New Construction|Yes;Builder/New Constr.|Site Phone|520-686-5755;Builder/New Constr.|Date Framed|2024-10-16;Income Property|Current Use|Owner Occupied;Sold Info|Seller Concessions|6,802.75;Road Maintenance|City|Yes;Road Type|Paved|Yes;Showing Service|Showing Service|None;Stories|Two|Yes;Window Covering|Some|Yes;Gas|Natural|Yes;Guest Facilities|None|Yes;Home Protection|Offered|No;Sewer|Connected|Yes;Construction|Stucco Finish|Yes;Construction|Model Name|Emerald;Driveway|Paved|Asphalt;Electric|Electric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Parking|None|Yes;Security|Closed Circuit Camera(s)|Yes;Subdivision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Conditions|None|Yes;View|Residential|Yes;Extra Room|None|Yes;Landscape - Front|Desert Plantings|Yes;Landscape - Front|Sprinkler/Drip|Yes;Landscape - Front|Trees|Yes;Landscape - Rear|None|Yes;Association &amp; Fees|HOA|Yes;Association &amp; Fees|Rec Fee|0;Association &amp; Fees|HOA Payment Frequency|Monthly;Association &amp; Fees|HOA Amt (Monthly)|70;Primary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Feature|Pool|Yes;Neighborhood Feature|Paved Street|Yes;Neighborhood Feature|Park|Yes;Neighborhood Feature|Sidewalks|Yes;Neighborhood Feature|Tennis Courts|Yes;Neighborhood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Y/N|Y;</t>
  </si>
  <si>
    <t>Additional Bathroom Features|Shower &amp; Tub|Yes;Additional Bathroom Features|Exhaust Fan|Yes;Additional Bathroom Features|Double Vanity|Yes;Assoc Amenities|Park|Yes;Assoc Amenities|Tennis Courts|Yes;Assoc Amenities|Recreation Room|Yes;Builder/New Constr.|Date Complete|2025-04-02;Builder/New Constr.|Builder Name|Meritage Homes;Builder/New Constr.|New Construction|Yes;Builder/New Constr.|Site Phone|520-686-5755;Builder/New Constr.|Date Framed|2024-11-13;Income Property|Current Use|Owner Occupied;Road Maintenance|City|Yes;Road Type|Paved|Yes;Showing Service|Showing Service|None;Stories|One|Yes;Window Covering|Some|Yes;Gas|Natural|Yes;Guest Facilities|None|Yes;Home Protection|Offered|No;Sewer|Connected|Yes;Construction|Stucco Finish|Yes;Construction|Model Name|Garnet;Driveway|Paved|Asphalt;Electric|Electric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Parking|None|Yes;Security|Closed Circuit Camera(s)|Yes;Subdivision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Fee|125;Association &amp; Fees|HOA Payment Frequency|Monthly;Association &amp; Fees|HOA Amt (Monthly)|84.5;Primary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</si>
  <si>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Features|Double Vanity|Yes;Assoc Amenities|Park|Yes;Assoc Amenities|Tennis Courts|Yes;Assoc Amenities|Recreation Room|Yes;Assoc Amenities|Pool|Yes;Builder/New Constr.|Date Complete|2025-04-02;Builder/New Constr.|Builder Name|Meritage Homes;Builder/New Constr.|New Construction|Yes;Builder/New Constr.|Site Phone|520-686-5755;Builder/New Constr.|Date Framed|2024-10-23;Income Property|Current Use|Owner Occupied;Sold Info|Seller Concessions|7,500;Road Maintenance|City|Yes;Road Type|Paved|Yes;Showing Service|Showing Service|None;Stories|One|Yes;Window Covering|Some|Yes;Gas|Natural|Yes;Guest Facilities|None|Yes;Home Protection|Offered|No;Sewer|Connected|Yes;Construction|Stucco Finish|Yes;Construction|Model Name|Garnet;Driveway|Paved|Asphalt;Electric|Electric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Parking|None|Yes;Security|Closed Circuit Camera(s)|Yes;Subdivision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Conditions|None|Yes;View|Residential|Yes;Extra Room|None|Yes;Landscape - Front|Desert Plantings|Yes;Landscape - Front|Sprinkler/Drip|Yes;Landscape - Front|Trees|Yes;Landscape - Rear|None|Yes;Association &amp; Fees|HOA|Yes;Association &amp; Fees|Rec Fee|0;Association &amp; Fees|HOA Payment Frequency|Monthly;Association &amp; Fees|HOA Amt (Monthly)|70;Primary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Feature|Pool|Yes;Neighborhood Feature|Paved Street|Yes;Neighborhood Feature|Park|Yes;Neighborhood Feature|Sidewalks|Yes;Neighborhood Feature|Tennis Courts|Yes;Neighborhood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</si>
  <si>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Features|Double Vanity|Yes;Assoc Amenities|Park|Yes;Assoc Amenities|Tennis Courts|Yes;Assoc Amenities|Recreation Room|Yes;Assoc Amenities|Pool|Yes;Builder/New Constr.|Date Complete|2025-04-10;Builder/New Constr.|Builder Name|Meritage Homes;Builder/New Constr.|New Construction|Yes;Builder/New Constr.|Site Phone|520-686-5755;Builder/New Constr.|Date Framed|2024-12-04;Income Property|Current Use|Owner Occupied;Sold Info|Seller Concessions|26,690;Road Maintenance|City|Yes;Road Type|Paved|Yes;Showing Service|Showing Service|None;Stories|Two|Yes;Window Covering|Some|Yes;Gas|Natural|Yes;Guest Facilities|None|Yes;Home Protection|Offered|No;Sewer|Connected|Yes;Construction|Stucco Finish|Yes;Construction|Model Name|Emerald;Driveway|Paved|Asphalt;Electric|Electric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Parking|None|Yes;Security|Closed Circuit Camera(s)|Yes;Subdivision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Conditions|None|Yes;View|Residential|Yes;Extra Room|None|Yes;Landscape - Front|Desert Plantings|Yes;Landscape - Front|Sprinkler/Drip|Yes;Landscape - Front|Trees|Yes;Landscape - Rear|None|Yes;Association &amp; Fees|HOA|Yes;Association &amp; Fees|Rec Fee|0;Association &amp; Fees|HOA Transfer Fee|125;Association &amp; Fees|HOA Payment Frequency|Monthly;Association &amp; Fees|HOA Amt (Monthly)|84.5;Primary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Feature|Pool|Yes;Neighborhood Feature|Paved Street|Yes;Neighborhood Feature|Park|Yes;Neighborhood Feature|Sidewalks|Yes;Neighborhood Feature|Tennis Courts|Yes;Neighborhood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Y/N|Y;</t>
  </si>
  <si>
    <t>Additional Bathroom Features|Shower &amp; Tub|Yes;Additional Bathroom Features|Exhaust Fan|Yes;Additional Bathroom Features|Double Vanity|Yes;Assoc Amenities|Park|Yes;Assoc Amenities|Tennis Courts|Yes;Assoc Amenities|Recreation Room|Yes;Builder/New Constr.|Date Complete|2025-04-10;Builder/New Constr.|Builder Name|Meritage Homes;Builder/New Constr.|New Construction|Yes;Builder/New Constr.|Site Phone|520-686-5755;Builder/New Constr.|Date Framed|2024-11-27;Income Property|Current Use|Owner Occupied;Sold Info|Seller Concessions|18,086;Road Maintenance|City|Yes;Road Type|Paved|Yes;Showing Service|Showing Service|None;Stories|One|Yes;Window Covering|Some|Yes;Gas|Natural|Yes;Guest Facilities|None|Yes;Home Protection|Offered|No;Sewer|Connected|Yes;Construction|Stucco Finish|Yes;Construction|Model Name|Garnet;Driveway|Paved|Asphalt;Electric|Electric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Parking|None|Yes;Security|Closed Circuit Camera(s)|Yes;Subdivision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Fee|125;Association &amp; Fees|HOA Payment Frequency|Monthly;Association &amp; Fees|HOA Amt (Monthly)|84.5;Primary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</si>
  <si>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Tub|Yes;Additional Bathroom Features|Other|Granite Countertops;Additional Bathroom Features|Exhaust Fan|Yes;Assoc Amenities|Maintenance|Yes;Assoc Amenities|Park|Yes;Assoc Fees Includes|Common Area Maint|Yes;Builder/New Constr.|Date Complete|2025-11-30;Builder/New Constr.|Builder Warranty|Lennar;Builder/New Constr.|Builder Name|Lennar;Builder/New Constr.|Site Contact|520-399-7923;Income Property|Current Use|Owner Occupied;Sold Info|Seller Concessions|5,000;Window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Name|Wayfarer C;Driveway|Paved|Concrete;Electric|Electric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Room|Loft|Yes;Landscape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Faces|Northwest;Neighborhood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</si>
  <si>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Fan|Yes;Assoc Fees Includes|Common Area Maint|Yes;Builder/New Constr.|Date Complete|2025-08-04;Builder/New Constr.|Builder Warranty|10yr Structural;Builder/New Constr.|Builder Name|D.R. Horton, Inc;Builder/New Constr.|New Construction|Yes;Builder/New Constr.|Site Phone|520-214-0226;Builder/New Constr.|Date Framed|2025-04-28;Green Building Verification Type|ENERGY STAR Certified Homes|Yes;Green Building Verification Type|Zero Energy Ready Home|Yes;Green Building Verification Type|HERS Index Score|Yes;Income Property|Current Use|Owner Occupied;Window Features|Low-Emissivity Windows|Yes;Window Features|Double Pane Windows|Yes;Window Features|ENERGY STAR Qualified Windows|Yes;Road Maintenance|County|Yes;Road Type|Paved|Yes;Showing Service|Showing Service|ShowingTime;Stories|Two|Yes;Window Covering|None|Yes;Gas|Natural|Yes;Guest Facilities|None|Yes;Home Protection|Offered|No;Home Protection|Plan By|Builder;Sewer|Connected|Yes;Construction|Frame - Stucco|Yes;Construction|Stucco Finish|Yes;Driveway|Paved|Concrete;Electric|Electric Company|TEP;Fence|Block|Yes;Roof|Tile|Yes;Spa|None|Yes;Style|Contemporary|Yes;Water Heater|Tankless Water Heater|Yes;Fireplace|None|Yes;Floor Covering|Carpet|Yes;Floor Covering|Ceramic Tile|Yes;Laundry|Laundry Room|Yes;Living Areas|Great Room|Yes;Main Cooling|Ceiling Fans Pre-Wired|Yes;Main Cooling|SEER Rating|15;Main Cooling|Heat Pump|Yes;Main Heating|Heat Pump|Yes;Patio/Deck|Covered|Yes;Patio/Deck|Patio|Yes;RV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Feat|Electric Door Opener|Yes;Garage/Carport Feat|Attached Garage/Carport|Yes;Lot Features|Subdivided|Yes;Lot Features|Borders Common Area|Yes;Pool|None|Yes;Pool|Conventional|No;Special Conditions|Public Report|Yes;View|Mountain(s)|Yes;Extra Room|Loft|Yes;Extra Room|None|Yes;Landscape - Front|Low Care|Yes;Landscape - Front|Sprinkler/Drip|Yes;Landscape - Rear|None|Yes;Association &amp; Fees|HOA|Yes;Association &amp; Fees|HOA Website|https://rockingkhoa.com/;Association &amp; Fees|HOA Telephone|1.800.354.0257;Association &amp; Fees|HOA Name|Rocking K South;Association &amp; Fees|HOA Payment Frequency|Quarterly;Association &amp; Fees|HOA Amt (Monthly)|81;Primary Bathroom Features|Double Vanity|Yes;Primary Bathroom Features|Exhaust Fan|Yes;Primary Bathroom Features|Countertops|Solid Surface;Primary Bathroom Features|Shower Only|Yes;Technology|High Speed Internet|Yes;Technology|Smart Thermostat|Yes;Technology|Smart Panel|Yes;Terms|FHA|Yes;Terms|Cash|Yes;Terms|Conventional|Yes;Terms|VA|Yes;Water|Water Company|Yes;Exterior Features|Front Faces|North;Neighborhood Feature|Jogging/Bike Path|Yes;Neighborhood Feature|Sidewalks|Yes;Neighborhood Feature|Walking Trail|Yes;Neighborhood Feature|Park|Yes;Neighborhood Feature|Basketball Court|Yes;Property Disclosures|Other|Public Report;Accessibility Option|Door Levers|Yes;Kitchen Features|Exhaust Fan|Yes;Kitchen Features|Gas Oven|Yes;Kitchen Features|Microwave|Yes;Kitchen Features|Dishwasher|Yes;Kitchen Features|Countertops|Quartz;Kitchen Features|Appliance Color|Stainless;Kitchen Features|Pantry|Walk-In;Kitchen Features|Kitchen Island|Yes;Kitchen Features|Gas Range|Yes;Kitchen Features|Disposal|Yes;Submit With Offer|Earnest Check|Yes;Interior Features|Interior Steps Y/N|Y;Interior Features|Energy Star Qualified|Yes;Interior Features|Walk-In Closet(s)|Yes;</t>
  </si>
  <si>
    <t>Additional Bathroom Features|Shower &amp; Tub|Yes;Additional Bathroom Features|Exhaust Fan|Yes;Assoc Fees Includes|Common Area Maint|Yes;Builder/New Constr.|Date Complete|2025-08-29;Builder/New Constr.|Builder Warranty|10yr Structural;Builder/New Constr.|Builder Name|D.R. Horton, Inc;Builder/New Constr.|New Construction|Yes;Builder/New Constr.|Site Phone|520-214-0226;Builder/New Constr.|Date Framed|2025-05-09;Green Building Verification Type|ENERGY STAR Certified Homes|Yes;Green Building Verification Type|Zero Energy Ready Home|Yes;Green Building Verification Type|HERS Index Score|Yes;Income Property|Current Use|Owner Occupied;Sold Info|Seller Concessions|7,000;Window Features|Low-Emissivity Windows|Yes;Window Features|Double Pane Windows|Yes;Window Features|ENERGY STAR Qualified Windows|Yes;Road Maintenance|County|Yes;Road Type|Paved|Yes;Showing Service|Showing Service|ShowingTime;Stories|Two|Yes;Window Covering|None|Yes;Gas|Natural|Yes;Guest Facilities|None|Yes;Home Protection|Offered|No;Home Protection|Plan By|Builder;Sewer|Connected|Yes;Construction|Frame - Stucco|Yes;Construction|Stucco Finish|Yes;Driveway|Paved|Concrete;Electric|Electric Company|TEP;Fence|Block|Yes;Roof|Tile|Yes;Spa|None|Yes;Style|Contemporary|Yes;Water Heater|Tankless Water Heater|Yes;Fireplace|None|Yes;Floor Covering|Carpet|Yes;Floor Covering|Ceramic Tile|Yes;Laundry|Laundry Room|Yes;Living Areas|Great Room|Yes;Main Cooling|Ceiling Fans Pre-Wired|Yes;Main Cooling|SEER Rating|15;Main Cooling|Heat Pump|Yes;Main Heating|Heat Pump|Yes;Patio/Deck|Covered|Yes;Patio/Deck|Patio|Yes;RV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Feat|Electric Door Opener|Yes;Garage/Carport Feat|Attached Garage/Carport|Yes;Lot Features|Subdivided|Yes;Lot Features|Borders Common Area|Yes;Pool|None|Yes;Pool|Conventional|No;Special Conditions|Public Report|Yes;View|Mountain(s)|Yes;Extra Room|Loft|Yes;Extra Room|None|Yes;Landscape - Front|Low Care|Yes;Landscape - Front|Sprinkler/Drip|Yes;Landscape - Rear|None|Yes;Association &amp; Fees|HOA|Yes;Association &amp; Fees|HOA Website|https://rockingkhoa.com/;Association &amp; Fees|HOA Telephone|1.800.354.0257;Association &amp; Fees|HOA Name|Rocking K South;Association &amp; Fees|HOA Payment Frequency|Quarterly;Association &amp; Fees|HOA Amt (Monthly)|81;Primary Bathroom Features|Double Vanity|Yes;Primary Bathroom Features|Exhaust Fan|Yes;Primary Bathroom Features|Countertops|Solid Surface;Primary Bathroom Features|Shower Only|Yes;Technology|High Speed Internet|Yes;Technology|Smart Thermostat|Yes;Technology|Smart Panel|Yes;Terms|FHA|Yes;Terms|Cash|Yes;Terms|Conventional|Yes;Terms|VA|Yes;Water|Water Company|Yes;Exterior Features|Front Faces|North;Neighborhood Feature|Jogging/Bike Path|Yes;Neighborhood Feature|Sidewalks|Yes;Neighborhood Feature|Walking Trail|Yes;Neighborhood Feature|Park|Yes;Neighborhood Feature|Basketball Court|Yes;Property Disclosures|Other|Public Report;Accessibility Option|Door Levers|Yes;Kitchen Features|Exhaust Fan|Yes;Kitchen Features|Gas Oven|Yes;Kitchen Features|Microwave|Yes;Kitchen Features|Dishwasher|Yes;Kitchen Features|Countertops|Quartz;Kitchen Features|Appliance Color|Stainless;Kitchen Features|Pantry|Walk-In;Kitchen Features|Kitchen Island|Yes;Kitchen Features|Gas Range|Yes;Kitchen Features|Disposal|Yes;Submit With Offer|Earnest Check|Yes;Interior Features|Interior Steps Y/N|Y;Interior Features|Energy Star Qualified|Yes;Interior Features|Walk-In Closet(s)|Yes;</t>
  </si>
  <si>
    <t>Additional Bathroom Features|Shower &amp; Tub|Yes;Additional Bathroom Features|Powder Room|Yes;Additional Bathroom Features|Double Vanity|Yes;Assoc Amenities|Park|Yes;Assoc Amenities|Other|playground;Assoc Fees Includes|Common Area Maint|Yes;Builder/New Constr.|Date Complete|2025-09-30;Builder/New Constr.|Date Framed|2025-04-18;Green Building Verification Type|HERS Index Score|Yes;Income Property|Current Use|Owner Occupied;Sold Info|Seller Concessions|10,000;Window Features|Double Pane Windows|Yes;Road Maintenance|County|Yes;Road Type|Paved|Yes;Showing Service|Showing Service|None;Stories|One|Yes;Window Covering|None|Yes;Gas|Natural|Yes;Guest Facilities|None|Yes;Home Protection|Offered|Yes;Home Protection|Plan By|RWC;Sewer|Connected|Yes;Construction|Frame - Stucco|Yes;Construction|Model Name|Cassandra;Driveway|Paved|Pavers;Electric|Electric Company|TEP;Fence|Block|Yes;Roof|Tile|Yes;Spa|None|Yes;Style|Contemporary|Yes;Style|Ranch|Yes;Water Heater|Natural Gas|Yes;Fireplace|None|Yes;Floor Covering|Carpet|Yes;Floor Covering|Ceramic Tile|Yes;Laundry|Laundry Room|Yes;Living Areas|Off Kitchen|Yes;Living Areas|Living Room|Yes;Living Areas|Great Room|Yes;Main Cooling|Central Air|Yes;Main Heating|Forced Air|Yes;Patio/Deck|Covered|Yes;Patio/Deck|Patio|Yes;RV Parking|None|Yes;Security|None|Yes;Subdivision Restrict|Deed Restrictions|No;Subdivision Restrict|CC&amp;Rs|Yes;Subdivision Restrict|Age Restrictions|No;Dining Areas|Breakfast Bar|Yes;Dining Areas|Breakfast Nook|Yes;Fireplace Location|None|Yes;Garage/Carport Feat|Attached Garage/Carport|Yes;Garage/Carport Feat|Other|rustic metal door;Lot Features|Subdivided|Yes;Pool|Conventional|No;Special Conditions|None|Yes;View|Residential|Yes;Extra Room|None|Yes;Landscape - Front|Low Care|Yes;Landscape - Front|Decorative Gravel|Yes;Landscape - Front|Sprinkler/Drip|Yes;Landscape - Front|Shrubs|Yes;Landscape - Front|Desert Plantings|Yes;Landscape - Rear|Other|graded;Association &amp; Fees|HOA|Yes;Association &amp; Fees|HOA Payment Frequency|Quarterly;Association &amp; Fees|HOA Amt (Monthly)|55;Primary Bathroom Features|Double Vanity|Yes;Primary Bathroom Features|Exhaust Fan|Yes;Primary Bathroom Features|Countertops|quartz;Primary Bathroom Features|Shower Only|Yes;Technology|High Speed Internet|Yes;Technology|Pre-Wired Tele Lines|Yes;Terms|FHA|Yes;Terms|Cash|Yes;Terms|Conventional|Yes;Terms|VA|Yes;Water|Water Company|Yes;Exterior Features|Native Plants|Yes;Neighborhood Feature|Athletic Facilities|Yes;Neighborhood Feature|Paved Street|Yes;Neighborhood Feature|Walking Trail|Yes;Neighborhood Feature|Park|Yes;Neighborhood Feature|Sidewalks|Yes;Property Disclosures|None|Yes;Accessibility Option|Door Levers|Yes;Kitchen Features|Exhaust Fan|Yes;Kitchen Features|# of Ovens|1;Kitchen Features|Microwave|Yes;Kitchen Features|Gas Cooktop|Yes;Kitchen Features|Kitchen Island|Yes;Kitchen Features|Countertops|quartz;Kitchen Features|Appliance Color|Stainless;Kitchen Features|Pantry|Walk-In;Kitchen Features|Dishwasher|Yes;Kitchen Features|Refrigerator|Yes;Kitchen Features|Disposal|Yes;Submit With Offer|Earnest Check|Yes;Submit With Offer|Loan Pre-Qual|Yes;Interior Features|Interior Steps Y/N|N;Interior Features|High Ceilings|Yes;Interior Features|Walk-In Closet(s)|Yes;Interior Features|Entrance Foyer|Yes;</t>
  </si>
  <si>
    <t>Additional Bathroom Features|Shower &amp; Tub|Yes;Additional Bathroom Features|Double Vanity|Yes;Assoc Amenities|Park|Yes;Assoc Amenities|Other|playground;Assoc Fees Includes|Common Area Maint|Yes;Builder/New Constr.|Date Complete|2025-09-30;Builder/New Constr.|Date Framed|2025-04-18;Green Building Verification Type|HERS Index Score|Yes;Income Property|Current Use|Owner Occupied;Sold Info|Seller Concessions|14,880;Window Features|Double Pane Windows|Yes;Road Maintenance|County|Yes;Road Type|Paved|Yes;Showing Service|Showing Service|None;Stories|One|Yes;Window Covering|None|Yes;Gas|Natural|Yes;Guest Facilities|None|Yes;Home Protection|Offered|Yes;Home Protection|Plan By|RWC;Sewer|Connected|Yes;Construction|Frame - Stucco|Yes;Construction|Model Name|Raleigh;Driveway|Paved|Pavers;Electric|Electric Company|TEP;Fence|Block|Yes;Roof|Tile|Yes;Spa|None|Yes;Style|Contemporary|Yes;Style|Ranch|Yes;Water Heater|Natural Gas|Yes;Fireplace|None|Yes;Floor Covering|Carpet|Yes;Floor Covering|Ceramic Tile|Yes;Laundry|Laundry Room|Yes;Living Areas|Off Kitchen|Yes;Living Areas|Living Room|Yes;Living Areas|Great Room|Yes;Main Cooling|Central Air|Yes;Main Heating|Forced Air|Yes;Patio/Deck|Covered|Yes;Patio/Deck|Patio|Yes;RV Parking|None|Yes;Security|None|Yes;Subdivision Restrict|Deed Restrictions|No;Subdivision Restrict|CC&amp;Rs|Yes;Subdivision Restrict|Age Restrictions|No;Dining Areas|Breakfast Bar|Yes;Dining Areas|Breakfast Nook|Yes;Fireplace Location|None|Yes;Garage/Carport Feat|Attached Garage/Carport|Yes;Garage/Carport Feat|Other|rustic metal door;Lot Features|Subdivided|Yes;Pool|Conventional|No;Special Conditions|None|Yes;View|Residential|Yes;Extra Room|None|Yes;Landscape - Front|Low Care|Yes;Landscape - Front|Decorative Gravel|Yes;Landscape - Front|Sprinkler/Drip|Yes;Landscape - Front|Shrubs|Yes;Landscape - Front|Desert Plantings|Yes;Landscape - Rear|Other|graded;Association &amp; Fees|HOA|Yes;Association &amp; Fees|HOA Payment Frequency|Quarterly;Association &amp; Fees|HOA Amt (Monthly)|55;Primary Bathroom Features|Double Vanity|Yes;Primary Bathroom Features|Exhaust Fan|Yes;Primary Bathroom Features|Countertops|quartz;Primary Bathroom Features|Shower Only|Yes;Technology|High Speed Internet|Yes;Technology|Pre-Wired Tele Lines|Yes;Terms|FHA|Yes;Terms|Cash|Yes;Terms|Conventional|Yes;Terms|VA|Yes;Water|Water Company|Yes;Exterior Features|Native Plants|Yes;Neighborhood Feature|Athletic Facilities|Yes;Neighborhood Feature|Paved Street|Yes;Neighborhood Feature|Walking Trail|Yes;Neighborhood Feature|Park|Yes;Neighborhood Feature|Sidewalks|Yes;Property Disclosures|None|Yes;Accessibility Option|Door Levers|Yes;Kitchen Features|Exhaust Fan|Yes;Kitchen Features|# of Ovens|1;Kitchen Features|Microwave|Yes;Kitchen Features|Gas Cooktop|Yes;Kitchen Features|Kitchen Island|Yes;Kitchen Features|Countertops|quartz;Kitchen Features|Appliance Color|Stainless;Kitchen Features|Pantry|Walk-In;Kitchen Features|Dishwasher|Yes;Kitchen Features|Refrigerator|Yes;Kitchen Features|Disposal|Yes;Submit With Offer|Earnest Check|Yes;Submit With Offer|Loan Pre-Qual|Yes;Interior Features|Interior Steps Y/N|N;Interior Features|High Ceilings|Yes;Interior Features|Walk-In Closet(s)|Yes;Interior Features|Entrance Foyer|Yes;</t>
  </si>
  <si>
    <t>Builder/New Constr.|Date Complete|2025-05-07;Builder/New Constr.|Date Framed|2025-01-22;Income Property|Current Use|Owner Occupied;Window Features|Double Pane Windows|Yes;Road Maintenance|City|Yes;Road Type|Paved|Yes;Showing Service|Showing Service|None;Stories|One|Yes;Window Covering|Stay|Yes;Gas|Natural|Yes;Guest Facilities|None|Yes;Home Protection|Offered|No;Sewer|Connected|Yes;Construction|Stucco Finish|Yes;Construction|Wood Frame|Yes;Driveway|Paved|Concrete;Electric|Electric Company|TEP;Fence|Block|Yes;Roof|Tile|Yes;Spa|None|Yes;Style|Ranch|Yes;Water Heater|Tankless Water Heater|Yes;Fireplace|None|Yes;Floor Covering|Carpet|Yes;Floor Covering|Ceramic Tile|Yes;Laundry|Laundry Room|Yes;Living Areas|Great Room|Yes;Main Cooling|Central Air|Yes;Main Heating|Heat Pump|Yes;Patio/Deck|Covered|Yes;RV Parking|None|Yes;Security|None|Yes;Subdivision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Conditions|None|Yes;View|Mountain(s)|Yes;View|Residential|Yes;Extra Room|None|Yes;Landscape - Front|Desert Plantings|Yes;Landscape - Front|Decorative Gravel|Yes;Landscape - Front|Shrubs|Yes;Landscape - Rear|Desert Plantings|Yes;Landscape - Rear|Decorative Gravel|Yes;Association &amp; Fees|HOA|Yes;Association &amp; Fees|HOA Transfer Fee|125;Association &amp; Fees|HOA Payment Frequency|Monthly;Association &amp; Fees|HOA Amt (Monthly)|84.5;Primary Bathroom Features|Shower Only|Yes;Primary Bathroom Features|Exhaust Fan|Yes;Primary Bathroom Features|Low Flow Showerhead|Yes;Technology|Smart Panel|Yes;Terms|FHA|Yes;Terms|Cash|Yes;Terms|Conventional|Yes;Terms|VA|Yes;Water|Public|Yes;Exterior Features|None|Yes;Neighborhood Feature|Tennis Courts|Yes;Neighborhood Feature|Paved Street|Yes;Neighborhood Feature|Basketball Court|Yes;Neighborhood Feature|Jogging/Bike Path|Yes;Property Disclosures|None|Yes;Accessibility Option|None|Yes;Kitchen Features|Dishwasher|Yes;Kitchen Features|Gas Oven|Yes;Kitchen Features|Microwave|Yes;Kitchen Features|Pantry|Closet;Kitchen Features|Kitchen Island|Yes;Kitchen Features|Disposal|Yes;Submit With Offer|Earnest Check|Yes;Interior Features|Interior Steps Y/N|N;</t>
  </si>
  <si>
    <t>Additional Bathroom Features|Shower &amp; Tub|Yes;Additional Bathroom Features|Exhaust Fan|Yes;Assoc Fees Includes|Common Area Maint|Yes;Builder/New Constr.|Date Complete|2025-06-30;Builder/New Constr.|Builder Warranty|10yr Structural;Builder/New Constr.|Builder License #|B124600;Builder/New Constr.|Builder Name|D.R. Horton, Inc;Builder/New Constr.|New Construction|Yes;Builder/New Constr.|Site Phone|520-214-0226;Builder/New Constr.|Date Framed|2025-03-28;Green Building Verification Type|ENERGY STAR Certified Homes|Yes;Green Building Verification Type|Zero Energy Ready Home|Yes;Green Building Verification Type|HERS Index Score|Yes;Income Property|Current Use|Owner Occupied;Sold Info|Seller Concessions|6,866.53;Window Features|Low-Emissivity Windows|Yes;Window Features|Double Pane Windows|Yes;Window Features|ENERGY STAR Qualified Windows|Yes;Road Maintenance|County|Yes;Road Type|Paved|Yes;Showing Service|Showing Service|ShowingTime;Stories|One|Yes;Window Covering|None|Yes;Gas|Natural|Yes;Guest Facilities|None|Yes;Home Protection|Plan By|Builder Warranty;Sewer|Connected|Yes;Construction|Frame - Stucco|Yes;Construction|Stucco Finish|Yes;Driveway|Paved|Concrete;Electric|Electric Company|TEP;Fence|Block|Yes;Roof|Tile|Yes;Spa|None|Yes;Style|Contemporary|Yes;Style|Modern|Yes;Style|Ranch|Yes;Water Heater|Tankless Water Heater|Yes;Fireplace|None|Yes;Floor Covering|Carpet|Yes;Floor Covering|Ceramic Tile|Yes;Laundry|Laundry Room|Yes;Living Areas|Great Room|Yes;Main Cooling|Ceiling Fans Pre-Wired|Yes;Main Cooling|SEER Rating|15;Main Cooling|Heat Pump|Yes;Main Heating|Heat Pump|Yes;Patio/Deck|Covered|Yes;Patio/Deck|Patio|Yes;RV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Features|Subdivided|Yes;Lot Features|Corner Lot|Yes;Pool|None|Yes;Pool|Conventional|No;Special Conditions|Public Report|Yes;View|Residential|Yes;Extra Room|None|Yes;Landscape - Front|Low Care|Yes;Landscape - Front|Sprinkler/Drip|Yes;Landscape - Rear|None|Yes;Association &amp; Fees|HOA|Yes;Association &amp; Fees|HOA Website|https://rockingkhoa.com/;Association &amp; Fees|HOA Telephone|1.800.354.0257;Association &amp; Fees|HOA Name|Rocking K South;Association &amp; Fees|HOA Payment Frequency|Quarterly;Association &amp; Fees|HOA Amt (Monthly)|81;Primary Bathroom Features|Double Vanity|Yes;Primary Bathroom Features|Exhaust Fan|Yes;Primary Bathroom Features|Countertops|Solid Surface;Primary Bathroom Features|Shower Only|Yes;Technology|High Speed Internet|Yes;Technology|Smart Thermostat|Yes;Technology|Smart Panel|Yes;Terms|FHA|Yes;Terms|Cash|Yes;Terms|Conventional|Yes;Terms|VA|Yes;Water|Water Company|Yes;Exterior Features|Front Faces|Northwest;Neighborhood Feature|Jogging/Bike Path|Yes;Neighborhood Feature|Sidewalks|Yes;Neighborhood Feature|Pickleball|Yes;Neighborhood Feature|Walking Trail|Yes;Neighborhood Feature|Park|Yes;Neighborhood Feature|Basketball Court|Yes;Property Disclosures|Other|Public Report;Accessibility Option|None|Yes;Kitchen Features|Exhaust Fan|Yes;Kitchen Features|Gas Oven|Yes;Kitchen Features|Dishwasher|Yes;Kitchen Features|Countertops|Quartz;Kitchen Features|Appliance Color|Stainless;Kitchen Features|Pantry|Walk-In;Kitchen Features|Gas Range|Yes;Kitchen Features|Disposal|Yes;Submit With Offer|Earnest Check|Yes;Interior Features|Split Bedroom Plan|Yes;Interior Features|High Ceilings|Yes;Interior Features|Energy Star Qualified|Yes;Interior Features|Walk-In Closet(s)|Yes;Interior Features|Interior Steps Y/N|N;</t>
  </si>
  <si>
    <t>Additional Bathroom Features|Shower &amp; Tub|Yes;Additional Bathroom Features|Other|Quartz Countertops;Additional Bathroom Features|Exhaust Fan|Yes;Assoc Amenities|Maintenance|Yes;Assoc Amenities|Park|Yes;Assoc Fees Includes|Common Area Maint|Yes;Builder/New Constr.|Date Complete|2025-10-31;Builder/New Constr.|Builder Warranty|Lennar;Builder/New Constr.|Builder Name|Lennar;Builder/New Constr.|Site Contact|520-399-7923;Builder/New Constr.|Date Framed|2025-04-01;Income Property|Current Use|Owner Occupied;Sold Info|Seller Concessions|6,000;Window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Name|Mesquite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</si>
  <si>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Complete|2025-09-30;Builder/New Constr.|Builder Warranty|Lennar;Builder/New Constr.|Builder Name|Lennar;Builder/New Constr.|Site Contact|520-399-7923;Income Property|Current Use|Owner Occupied;Sold Info|Seller Concessions|5,000;Window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Name|Ocotillo C;Driveway|Paved|Concrete;Electric|Electric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</si>
  <si>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Only|Yes;Assoc Amenities|Park|Yes;Assoc Amenities|Pickleball|Yes;Assoc Fees Includes|Common Area Maint|Yes;Builder/New Constr.|Date Complete|2025-10-24;Builder/New Constr.|Builder Warranty|Yes;Builder/New Constr.|Builder Name|Del Webb;Builder/New Constr.|New Construction|Yes;Builder/New Constr.|Site Phone|(520) 447-4454;Builder/New Constr.|Date Framed|2025-05-09;Income Property|Current Use|Owner Occupied;Sold Info|Seller Concessions|23,500;Window Features|Double Pane Windows|Yes;Road Maintenance|County|Yes;Road Type|Paved|Yes;Showing Service|Showing Service|None;Stories|One|Yes;Window Covering|None|Yes;Gas|Natural|Yes;Guest Facilities|None|Yes;Home Protection|Offered|Yes;Home Protection|Plan By|Builder Warranty;Sewer|Connected|Yes;Construction|Frame - Stucco|Yes;Construction|Model Name|Pursuit;Driveway|Paved|Concrete;Electric|Electric Company|TEP;Fence|Block|Yes;Roof|Tile|Yes;Spa|None|Yes;Style|Ranch|Yes;Style|Southwestern|Yes;Water Heater|Natural Gas|Yes;Fireplace|None|Yes;Floor Covering|Carpet|Yes;Floor Covering|Ceramic Tile|Yes;Laundry|Laundry Room|Yes;Laundry|Washer|Yes;Laundry|Dryer|Yes;Living Areas|Great Room|Yes;Main Cooling|Central Air|Yes;Main Cooling|Ceiling Fans Pre-Wired|Yes;Main Heating|Forced Air|Yes;Patio/Deck|Covered|Yes;RV Parking|None|Yes;Security|Smoke Detector(s)|Yes;Subdivision Restrict|Deed Restrictions|Yes;Subdivision Restrict|CC&amp;Rs|Yes;Subdivision Restrict|Age Restrictions|Yes;Dining Areas|Breakfast Bar|Yes;Dining Areas|Dining Area|Yes;Dining Areas|Great Room|Yes;Fireplace Location|None|Yes;Garage/Carport Feat|Electric Door Opener|Yes;Garage/Carport Feat|Attached Garage/Carport|Yes;Lot Features|Subdivided|Yes;Pool|Conventional|No;Special Conditions|Public Report|Yes;View|Sunset|Yes;Extra Room|Den|Yes;Landscape - Front|Low Care|Yes;Landscape - Front|Decorative Gravel|Yes;Landscape - Front|Sprinkler/Drip|Yes;Landscape - Front|Desert Plantings|Yes;Landscape - Front|Natural Desert|Yes;Landscape - Rear|None|Yes;Association &amp; Fees|HOA|Yes;Association &amp; Fees|HOA Telephone|480-921-7500;Association &amp; Fees|HOA Name|Del Webb Rocking K;Association &amp; Fees|HOA Payment Frequency|Monthly;Association &amp; Fees|HOA Amt (Monthly)|276;Primary Bathroom Features|Double Vanity|Yes;Primary Bathroom Features|Shower Only|Yes;Technology|Cable TV|Yes;Technology|Smart Panel|Yes;Terms|FHA|Yes;Terms|Cash|Yes;Terms|Conventional|Yes;Terms|VA|Yes;Water|Water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Features|Dishwasher|Yes;Kitchen Features|Microwave|Yes;Kitchen Features|Countertops|quartz;Kitchen Features|Appliance Color|Stainless;Kitchen Features|Reverse Osmosis|Yes;Kitchen Features|Pantry|Closet;Kitchen Features|Kitchen Island|Yes;Kitchen Features|Disposal|Yes;Submit With Offer|Earnest Check|Yes;Interior Features|Split Bedroom Plan|Yes;Interior Features|Walk-In Closet(s)|Yes;Interior Features|Entrance Foyer|Yes;Interior Features|Entertainment Center Built-In|Yes;Interior Features|Ceiling Fan(s)|Yes;Interior Features|Interior Steps Y/N|N;</t>
  </si>
  <si>
    <t>Additional Bathroom Features|Shower &amp; Tub|Yes;Additional Bathroom Features|Exhaust Fan|Yes;Assoc Amenities|Park|Yes;Assoc Amenities|Pickleball|Yes;Builder/New Constr.|Date Complete|2025-08-29;Builder/New Constr.|Builder Warranty|Yes;Builder/New Constr.|Builder Name|Del Webb;Builder/New Constr.|New Construction|Yes;Builder/New Constr.|Site Phone|520 837-0276;Builder/New Constr.|Date Framed|2025-02-19;Income Property|Current Use|Owner Occupied;Sold Info|Seller Concessions|0;Road Maintenance|County|Yes;Road Type|Paved|Yes;Showing Service|Showing Service|None;Stories|One|Yes;Window Covering|Stay|Yes;Gas|Natural|Yes;Guest Facilities|None|Yes;Home Protection|Offered|Yes;Sewer|Connected|Yes;Construction|Frame - Stucco|Yes;Construction|Model Name|Sanctuary;Driveway|Paved|Concrete;Electric|Electric Company|TEP;Fence|Block|Yes;Roof|Tile|Yes;Spa|None|Yes;Style|Ranch|Yes;Style|Southwestern|Yes;Water Heater|Tankless Water Heater|Yes;Water Heater|Natural Gas|Yes;Fireplace|None|Yes;Floor Covering|Carpet|Yes;Floor Covering|Ceramic Tile|Yes;Laundry|Laundry Room|Yes;Laundry|Washer|Yes;Laundry|Dryer|Yes;Living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Areas|Breakfast Bar|Yes;Dining Areas|Dining Area|Yes;Fireplace Location|None|Yes;Garage/Carport Feat|Electric Door Opener|Yes;Garage/Carport Feat|Attached Garage/Carport|Yes;Lot Features|Subdivided|Yes;Lot Features|East/West Exposure|Yes;Pool|Conventional|No;Special Conditions|Public Report|Yes;View|Sunset|Yes;View|Residential|Yes;Extra Room|Den|Yes;Landscape - Front|Low Care|Yes;Landscape - Front|Decorative Gravel|Yes;Landscape - Front|Trees|Yes;Landscape - Front|Sprinkler/Drip|Yes;Landscape - Front|Shrubs|Yes;Landscape - Rear|None|Yes;Association &amp; Fees|HOA|Yes;Association &amp; Fees|HOA Payment Frequency|Monthly;Association &amp; Fees|HOA Amt (Monthly)|305;Primary Bathroom Features|Double Vanity|Yes;Primary Bathroom Features|Exhaust Fan|Yes;Primary Bathroom Features|Shower Only|Yes;Technology|Cable TV|Yes;Technology|Smart Panel|Yes;Technology|Pre-Wired Tele Lines|Yes;Terms|FHA|Yes;Terms|Cash|Yes;Terms|Conventional|Yes;Terms|VA|Yes;Water|Water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Features|Exhaust Fan|Yes;Kitchen Features|Microwave|Yes;Kitchen Features|Dishwasher|Yes;Kitchen Features|Appliance Color|Stainless;Kitchen Features|Pantry|Walk-In;Kitchen Features|Kitchen Island|Yes;Kitchen Features|Gas Range|Yes;Kitchen Features|Refrigerator|Yes;Kitchen Features|Disposal|Yes;Submit With Offer|Earnest Check|Yes;Interior Features|Split Bedroom Plan|Yes;Interior Features|Walk-In Closet(s)|Yes;Interior Features|Entrance Foyer|Yes;Interior Features|Interior Steps Y/N|N;</t>
  </si>
  <si>
    <t>Additional Bathroom Features|Shower &amp; Tub|Yes;Assoc Amenities|Park|Yes;Assoc Amenities|Pickleball|Yes;Assoc Fees Includes|Common Area Maint|Yes;Builder/New Constr.|Date Complete|2025-05-30;Builder/New Constr.|Builder Warranty|Yes;Builder/New Constr.|Builder Name|Del Webb;Builder/New Constr.|New Construction|Yes;Builder/New Constr.|Site Phone|520 447-4454;Builder/New Constr.|Date Framed|2024-12-02;Income Property|Current Use|Owner Occupied;Sold Info|Seller Concessions|0;Road Maintenance|County|Yes;Road Type|Paved|Yes;Showing Service|Showing Service|None;Stories|One|Yes;Window Covering|Stay|Yes;Gas|Natural|Yes;Guest Facilities|None|Yes;Home Protection|Offered|Yes;Home Protection|Plan By|Builder;Sewer|Connected|Yes;Construction|Frame - Stucco|Yes;Driveway|Paved|Concrete;Electric|Electric Company|TEP;Fence|Block|Yes;Roof|Tile|Yes;Spa|None|Yes;Style|Ranch|Yes;Water Heater|Tankless Water Heater|Yes;Water Heater|Natural Gas|Yes;Fireplace|None|Yes;Floor Covering|Carpet|Yes;Floor Covering|Ceramic Tile|Yes;Laundry|Laundry Room|Yes;Laundry|Washer|Yes;Laundry|Dryer|Yes;Living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Areas|Breakfast Bar|Yes;Dining Areas|Dining Area|Yes;Fireplace Location|None|Yes;Garage/Carport Feat|Electric Door Opener|Yes;Garage/Carport Feat|Attached Garage/Carport|Yes;Lot Features|Subdivided|Yes;Lot Features|East/West Exposure|Yes;Pool|Conventional|No;Special Conditions|Public Report|Yes;View|Mountain(s)|Yes;View|Sunset|Yes;Extra Room|Den|Yes;Landscape - Front|Low Care|Yes;Landscape - Front|Decorative Gravel|Yes;Landscape - Front|Trees|Yes;Landscape - Front|Sprinkler/Drip|Yes;Landscape - Front|Shrubs|Yes;Landscape - Rear|None|Yes;Association &amp; Fees|HOA|Yes;Association &amp; Fees|HOA Payment Frequency|Monthly;Association &amp; Fees|HOA Amt (Monthly)|305;Primary Bathroom Features|Double Vanity|Yes;Primary Bathroom Features|Shower Only|Yes;Technology|Cable TV|Yes;Technology|Smart Panel|Yes;Terms|FHA|Yes;Terms|Cash|Yes;Terms|Conventional|Yes;Terms|VA|Yes;Water|Water Company|Yes;Exterior Features|None|Yes;Neighborhood Feature|Pool|Yes;Neighborhood Feature|Paved Street|Yes;Neighborhood Feature|Pickleball|Yes;Neighborhood Feature|Walking Trail|Yes;Neighborhood Feature|Park|Yes;Neighborhood Feature|Sidewalks|Yes;Neighborhood Feature|Jogging/Bike Path|Yes;Neighborhood Feature|Lighted|Yes;Neighborhood Feature|Basketball Court|Yes;Property Disclosures|None|Yes;Accessibility Option|None|Yes;Kitchen Features|Dishwasher|Yes;Kitchen Features|Microwave|Yes;Kitchen Features|Countertops|Granite;Kitchen Features|Appliance Color|Stainless;Kitchen Features|Pantry|Walk-In;Kitchen Features|Kitchen Island|Yes;Kitchen Features|Gas Range|Yes;Kitchen Features|Refrigerator|Yes;Kitchen Features|Disposal|Yes;Submit With Offer|Earnest Check|Yes;Interior Features|Split Bedroom Plan|Yes;Interior Features|Walk-In Closet(s)|Yes;Interior Features|Entrance Foyer|Yes;Interior Features|Interior Steps Y/N|N;</t>
  </si>
  <si>
    <t>Additional Bathroom Features|Tub|Yes;Assoc Amenities|Park|Yes;Assoc Amenities|Pickleball|Yes;Assoc Fees Includes|Common Area Maint|Yes;Builder/New Constr.|Date Complete|2025-04-25;Builder/New Constr.|Builder Warranty|Yes;Builder/New Constr.|Builder Name|Del Webb;Builder/New Constr.|New Construction|Yes;Builder/New Constr.|Site Phone|(520) 447-4454;Builder/New Constr.|Date Framed|2024-09-26;Income Property|Current Use|Owner Occupied;Sold Info|Seller Concessions|12,000;Window Features|Double Pane Windows|Yes;Road Maintenance|County|Yes;Road Type|Paved|Yes;Showing Service|Showing Service|None;Stories|One|Yes;Window Covering|None|Yes;Gas|Natural|Yes;Guest Facilities|None|Yes;Home Protection|Offered|Yes;Home Protection|Plan By|Builder Warranty;Sewer|Connected|Yes;Construction|Frame - Stucco|Yes;Construction|Model Name|Haven;Driveway|Paved|Concrete;Electric|Electric Company|TEP;Fence|Block|Yes;Roof|Tile|Yes;Spa|None|Yes;Style|Ranch|Yes;Water Heater|Natural Gas|Yes;Fireplace|None|Yes;Floor Covering|Carpet|Yes;Floor Covering|Ceramic Tile|Yes;Laundry|Laundry Room|Yes;Laundry|Washer|Yes;Laundry|Dryer|Yes;Living Areas|Great Room|Yes;Main Cooling|Central Air|Yes;Main Cooling|Ceiling Fans Pre-Wired|Yes;Main Heating|Forced Air|Yes;Patio/Deck|Covered|Yes;RV Parking|None|Yes;Security|Smoke Detector(s)|Yes;Subdivision Restrict|Deed Restrictions|Yes;Subdivision Restrict|CC&amp;Rs|Yes;Subdivision Restrict|Age Restrictions|Yes;Dining Areas|Breakfast Bar|Yes;Dining Areas|Dining Area|Yes;Dining Areas|Great Room|Yes;Fireplace Location|None|Yes;Garage/Carport Feat|Electric Door Opener|Yes;Garage/Carport Feat|Attached Garage/Carport|Yes;Lot Features|Subdivided|Yes;Pool|Conventional|No;Special Conditions|Public Report|Yes;View|Residential|Yes;Extra Room|Den|Yes;Landscape - Front|Low Care|Yes;Landscape - Front|Decorative Gravel|Yes;Landscape - Front|Sprinkler/Drip|Yes;Landscape - Front|Desert Plantings|Yes;Landscape - Front|Natural Desert|Yes;Landscape - Rear|None|Yes;Association &amp; Fees|HOA|Yes;Association &amp; Fees|HOA Telephone|480-921-7500;Association &amp; Fees|HOA Name|Del Webb Rocking K;Association &amp; Fees|HOA Payment Frequency|Monthly;Association &amp; Fees|HOA Amt (Monthly)|305;Primary Bathroom Features|Double Vanity|Yes;Primary Bathroom Features|Shower Only|Yes;Technology|Cable TV|Yes;Technology|Smart Panel|Yes;Terms|FHA|Yes;Terms|Cash|Yes;Terms|Conventional|Yes;Terms|VA|Yes;Water|Water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Features|Dishwasher|Yes;Kitchen Features|Microwave|Yes;Kitchen Features|Countertops|quartz;Kitchen Features|Appliance Color|Stainless;Kitchen Features|Reverse Osmosis|Yes;Kitchen Features|Pantry|Walk-In;Kitchen Features|Kitchen Island|Yes;Kitchen Features|Gas Range|Yes;Kitchen Features|Refrigerator|Yes;Kitchen Features|Disposal|Yes;Submit With Offer|Earnest Check|Yes;Interior Features|Split Bedroom Plan|Yes;Interior Features|Walk-In Closet(s)|Yes;Interior Features|Entrance Foyer|Yes;Interior Features|Interior Steps Y/N|N;</t>
  </si>
  <si>
    <t>Additional Bathroom Features|Shower &amp; Tub|Yes;Additional Bathroom Features|Double Vanity|Yes;Assoc Amenities|Park|Yes;Assoc Amenities|Other|playground;Assoc Fees Includes|Common Area Maint|Yes;Builder/New Constr.|Date Complete|2025-06-30;Builder/New Constr.|Date Framed|2024-12-20;Green Building Verification Type|HERS Index Score|Yes;Income Property|Current Use|Owner Occupied;Sold Info|Seller Concessions|15,457;Window Features|Double Pane Windows|Yes;Road Maintenance|County|Yes;Road Type|Paved|Yes;Showing Service|Showing Service|None;Stories|One|Yes;Window Covering|Other|Faux wood blinds;Gas|Natural|Yes;Guest Facilities|Other|guest suite;Home Protection|Offered|Yes;Home Protection|Plan By|RWC;Sewer|Connected|Yes;Construction|Frame - Stucco|Yes;Construction|Model Name|Townsend;Driveway|Paved|Pavers;Electric|Electric Company|TEP;Fence|Block|Yes;Roof|Tile|Yes;Spa|None|Yes;Style|Contemporary|Yes;Style|Ranch|Yes;Water Heater|Natural Gas|Yes;Fireplace|None|Yes;Floor Covering|Carpet|Yes;Floor Covering|Ceramic Tile|Yes;Laundry|Laundry Room|Yes;Laundry|Washer|Yes;Laundry|Dryer|Yes;Living Areas|Off Kitchen|Yes;Living Areas|Living Room|Yes;Living Areas|Great Room|Yes;Main Cooling|Central Air|Yes;Main Heating|Forced Air|Yes;Patio/Deck|Covered|Yes;Patio/Deck|Patio|Yes;RV Parking|None|Yes;Security|None|Yes;Subdivision Restrict|Deed Restrictions|No;Subdivision Restrict|CC&amp;Rs|Yes;Subdivision Restrict|Age Restrictions|No;Dining Areas|Breakfast Bar|Yes;Dining Areas|Breakfast Nook|Yes;Fireplace Location|None|Yes;Garage/Carport Feat|Attached Garage/Carport|Yes;Garage/Carport Feat|Other|rustic metal door;Lot Features|Subdivided|Yes;Pool|Conventional|No;Special Conditions|None|Yes;View|Residential|Yes;Extra Room|Office|Yes;Landscape - Front|Low Care|Yes;Landscape - Front|Decorative Gravel|Yes;Landscape - Front|Sprinkler/Drip|Yes;Landscape - Front|Shrubs|Yes;Landscape - Front|Desert Plantings|Yes;Landscape - Rear|Other|graded;Association &amp; Fees|HOA|Yes;Association &amp; Fees|HOA Payment Frequency|Quarterly;Association &amp; Fees|HOA Amt (Monthly)|55;Primary Bathroom Features|Double Vanity|Yes;Primary Bathroom Features|Exhaust Fan|Yes;Primary Bathroom Features|Countertops|quartz;Primary Bathroom Features|Shower Only|Yes;Technology|High Speed Internet|Yes;Technology|Pre-Wired Tele Lines|Yes;Terms|FHA|Yes;Terms|Cash|Yes;Terms|Conventional|Yes;Terms|VA|Yes;Water|Water Company|Yes;Exterior Features|Native Plants|Yes;Neighborhood Feature|Athletic Facilities|Yes;Neighborhood Feature|Paved Street|Yes;Neighborhood Feature|Walking Trail|Yes;Neighborhood Feature|Park|Yes;Neighborhood Feature|Sidewalks|Yes;Property Disclosures|None|Yes;Accessibility Option|Door Levers|Yes;Kitchen Features|Exhaust Fan|Yes;Kitchen Features|# of Ovens|1;Kitchen Features|Microwave|Yes;Kitchen Features|Gas Cooktop|Yes;Kitchen Features|Gas Range|Yes;Kitchen Features|Countertops|quartz;Kitchen Features|Appliance Color|Stainless;Kitchen Features|Pantry|Walk-In;Kitchen Features|Kitchen Island|Yes;Kitchen Features|Dishwasher|Yes;Kitchen Features|Refrigerator|Yes;Kitchen Features|Disposal|Yes;Submit With Offer|Earnest Check|Yes;Submit With Offer|Loan Pre-Qual|Yes;Interior Features|Split Bedroom Plan|Yes;Interior Features|High Ceilings|Yes;Interior Features|Walk-In Closet(s)|Yes;Interior Features|Entrance Foyer|Yes;Interior Features|Interior Steps Y/N|N;</t>
  </si>
  <si>
    <t>Additional Bathroom Features|Shower &amp; Tub|Yes;Additional Bathroom Features|Exhaust Fan|Yes;Assoc Amenities|Park|Yes;Assoc Amenities|Pickleball|Yes;Assoc Fees Includes|Common Area Maint|Yes;Builder/New Constr.|Date Complete|2025-08-29;Builder/New Constr.|Builder Warranty|Yes;Builder/New Constr.|Builder Name|Del Webb;Builder/New Constr.|New Construction|Yes;Builder/New Constr.|Site Phone|520-447-4454;Builder/New Constr.|Date Framed|2025-02-19;Income Property|Current Use|Owner Occupied;Sold Info|Seller Concessions|0;Road Maintenance|County|Yes;Road Type|Paved|Yes;Showing Service|Showing Service|None;Stories|One|Yes;Window Covering|Stay|Yes;Gas|Natural|Yes;Guest Facilities|None|Yes;Home Protection|Offered|Yes;Home Protection|Plan By|Builder;Sewer|Connected|Yes;Construction|Frame - Stucco|Yes;Construction|Model Name|Haven;Driveway|Paved|Concrete;Electric|Electric Company|TEP;Fence|Block|Yes;Roof|Tile|Yes;Spa|None|Yes;Style|Ranch|Yes;Water Heater|Tankless Water Heater|Yes;Water Heater|Natural Gas|Yes;Fireplace|None|Yes;Floor Covering|Carpet|Yes;Floor Covering|Ceramic Tile|Yes;Laundry|Laundry Room|Yes;Laundry|Washer|Yes;Laundry|Dryer|Yes;Living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Areas|Formal Dining Room|Yes;Dining Areas|Dining Area|Yes;Dining Areas|Breakfast Bar|Yes;Fireplace Location|None|Yes;Garage/Carport Feat|Electric Door Opener|Yes;Garage/Carport Feat|Attached Garage/Carport|Yes;Lot Features|Subdivided|Yes;Lot Features|East/West Exposure|Yes;Pool|None|Yes;Pool|Conventional|No;Special Conditions|Public Report|Yes;View|Mountain(s)|Yes;Extra Room|Den|Yes;Landscape - Front|Low Care|Yes;Landscape - Front|Decorative Gravel|Yes;Landscape - Front|Trees|Yes;Landscape - Front|Sprinkler/Drip|Yes;Landscape - Front|Shrubs|Yes;Landscape - Rear|None|Yes;Association &amp; Fees|HOA|Yes;Association &amp; Fees|HOA Payment Frequency|Monthly;Association &amp; Fees|HOA Amt (Monthly)|276;Primary Bathroom Features|Double Vanity|Yes;Primary Bathroom Features|Exhaust Fan|Yes;Primary Bathroom Features|Shower Only|Yes;Technology|Cable TV|Yes;Technology|Smart Panel|Yes;Terms|FHA|Yes;Terms|Cash|Yes;Terms|Conventional|Yes;Terms|VA|Yes;Water|Water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Features|Exhaust Fan|Yes;Kitchen Features|Microwave|Yes;Kitchen Features|Dishwasher|Yes;Kitchen Features|Countertops|Granite;Kitchen Features|Appliance Color|Stainless;Kitchen Features|Reverse Osmosis|Yes;Kitchen Features|Pantry|Walk-In;Kitchen Features|Kitchen Island|Yes;Kitchen Features|Gas Range|Yes;Kitchen Features|Refrigerator|Yes;Kitchen Features|Disposal|Yes;Submit With Offer|Earnest Check|Yes;Interior Features|Split Bedroom Plan|Yes;Interior Features|Walk-In Closet(s)|Yes;Interior Features|Entrance Foyer|Yes;Interior Features|Interior Steps Y/N|N;</t>
  </si>
  <si>
    <t>Additional Bathroom Features|Shower &amp; Tub|Yes;Additional Bathroom Features|Exhaust Fan|Yes;Assoc Amenities|Park|Yes;Assoc Amenities|Pickleball|Yes;Assoc Fees Includes|Common Area Maint|Yes;Builder/New Constr.|Date Complete|2025-08-29;Builder/New Constr.|Builder Warranty|Yes;Builder/New Constr.|Builder Name|Del Webb;Builder/New Constr.|New Construction|Yes;Builder/New Constr.|Site Phone|(520) 837-0276;Builder/New Constr.|Date Framed|2025-02-19;Income Property|Current Use|Owner Occupied;Sold Info|Seller Concessions|20,400;Window Features|Double Pane Windows|Yes;Road Maintenance|County|Yes;Road Type|Paved|Yes;Showing Service|Showing Service|None;Stories|One|Yes;Window Covering|None|Yes;Gas|Natural|Yes;Guest Facilities|None|Yes;Home Protection|Offered|Yes;Home Protection|Plan By|Builder Warranty;Sewer|Connected|Yes;Construction|Frame - Stucco|Yes;Construction|Model Name|Hideaway;Driveway|Paved|Concrete;Electric|Electric Company|TEP;Fence|Block|Yes;Roof|Tile|Yes;Spa|None|Yes;Style|Ranch|Yes;Style|Southwestern|Yes;Water Heater|Natural Gas|Yes;Fireplace|None|Yes;Floor Covering|Carpet|Yes;Floor Covering|Ceramic Tile|Yes;Laundry|Laundry Room|Yes;Laundry|Washer|Yes;Laundry|Dryer|Yes;Living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Areas|Breakfast Bar|Yes;Dining Areas|Dining Area|Yes;Fireplace Location|None|Yes;Garage/Carport Feat|Electric Door Opener|Yes;Garage/Carport Feat|Attached Garage/Carport|Yes;Lot Features|Subdivided|Yes;Lot Features|East/West Exposure|Yes;Pool|Conventional|No;Special Conditions|Public Report|Yes;View|Mountain(s)|Yes;Extra Room|None|Yes;Landscape - Front|Low Care|Yes;Landscape - Front|Decorative Gravel|Yes;Landscape - Front|Trees|Yes;Landscape - Front|Sprinkler/Drip|Yes;Landscape - Front|Shrubs|Yes;Landscape - Front|Desert Plantings|Yes;Landscape - Rear|None|Yes;Association &amp; Fees|HOA|Yes;Association &amp; Fees|HOA Telephone|480-921-7500;Association &amp; Fees|HOA Name|Del Webb Rocking K;Association &amp; Fees|HOA Payment Frequency|Monthly;Association &amp; Fees|HOA Amt (Monthly)|305;Primary Bathroom Features|Double Vanity|Yes;Primary Bathroom Features|Exhaust Fan|Yes;Primary Bathroom Features|Shower Only|Yes;Technology|Cable TV|Yes;Technology|Smart Panel|Yes;Terms|FHA|Yes;Terms|Cash|Yes;Terms|Conventional|Yes;Terms|VA|Yes;Water|Water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Features|Exhaust Fan|Yes;Kitchen Features|Gas Cooktop|Yes;Kitchen Features|Microwave|Yes;Kitchen Features|Gas Oven|Yes;Kitchen Features|Dishwasher|Yes;Kitchen Features|Countertops|granite;Kitchen Features|Appliance Color|Stainless;Kitchen Features|Pantry|Walk-In;Kitchen Features|Kitchen Island|Yes;Kitchen Features|Refrigerator|Yes;Kitchen Features|Disposal|Yes;Submit With Offer|Earnest Check|Yes;Interior Features|Split Bedroom Plan|Yes;Interior Features|Walk-In Closet(s)|Yes;Interior Features|Entrance Foyer|Yes;Interior Features|Interior Steps Y/N|N;</t>
  </si>
  <si>
    <t>Additional Bathroom Features|Shower &amp; Tub|Yes;Additional Bathroom Features|Exhaust Fan|Yes;Assoc Amenities|Park|Yes;Assoc Amenities|Pickleball|Yes;Assoc Fees Includes|Common Area Maint|Yes;Builder/New Constr.|Date Complete|2025-09-30;Builder/New Constr.|Builder Warranty|Yes;Builder/New Constr.|Builder Name|Del Webb;Builder/New Constr.|New Construction|Yes;Builder/New Constr.|Site Phone|(520) 837-0276;Builder/New Constr.|Date Framed|2025-03-13;Income Property|Current Use|Owner Occupied;Sold Info|Seller Concessions|10,000;Window Features|Double Pane Windows|Yes;Road Maintenance|County|Yes;Road Type|Paved|Yes;Showing Service|Showing Service|None;Stories|One|Yes;Window Covering|None|Yes;Gas|Natural|Yes;Guest Facilities|None|Yes;Home Protection|Offered|Yes;Home Protection|Plan By|Builder Warranty;Sewer|Connected|Yes;Construction|Frame - Stucco|Yes;Construction|Model Name|Hideaway;Driveway|Paved|Concrete;Electric|Electric Company|TEP;Fence|Block|Yes;Roof|Tile|Yes;Spa|None|Yes;Style|Ranch|Yes;Style|Southwestern|Yes;Water Heater|Natural Gas|Yes;Fireplace|None|Yes;Floor Covering|Carpet|Yes;Floor Covering|Ceramic Tile|Yes;Laundry|Laundry Room|Yes;Living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Areas|Breakfast Bar|Yes;Dining Areas|Great Room|Yes;Fireplace Location|None|Yes;Garage/Carport Feat|Electric Door Opener|Yes;Garage/Carport Feat|Attached Garage/Carport|Yes;Lot Features|Subdivided|Yes;Lot Features|East/West Exposure|Yes;Pool|Conventional|No;Special Conditions|Public Report|Yes;View|Mountain(s)|Yes;Extra Room|None|Yes;Landscape - Front|Low Care|Yes;Landscape - Front|Decorative Gravel|Yes;Landscape - Front|Trees|Yes;Landscape - Front|Sprinkler/Drip|Yes;Landscape - Front|Shrubs|Yes;Landscape - Front|Desert Plantings|Yes;Landscape - Rear|None|Yes;Association &amp; Fees|HOA|Yes;Association &amp; Fees|HOA Telephone|480-921-7500;Association &amp; Fees|HOA Name|Del Webb Rocking K;Association &amp; Fees|HOA Payment Frequency|Monthly;Association &amp; Fees|HOA Amt (Monthly)|305;Primary Bathroom Features|Double Vanity|Yes;Primary Bathroom Features|Exhaust Fan|Yes;Primary Bathroom Features|Shower Only|Yes;Technology|Cable TV|Yes;Technology|Smart Panel|Yes;Terms|FHA|Yes;Terms|Cash|Yes;Terms|Conventional|Yes;Terms|VA|Yes;Water|Water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Features|Exhaust Fan|Yes;Kitchen Features|Electric Oven|Yes;Kitchen Features|Microwave|Yes;Kitchen Features|Dishwasher|Yes;Kitchen Features|Countertops|quartz;Kitchen Features|Appliance Color|Stainless;Kitchen Features|Pantry|Walk-In;Kitchen Features|Kitchen Island|Yes;Kitchen Features|Electric Range|Yes;Kitchen Features|Refrigerator|Yes;Kitchen Features|Disposal|Yes;Submit With Offer|Earnest Check|Yes;Interior Features|Split Bedroom Plan|Yes;Interior Features|Walk-In Closet(s)|Yes;Interior Features|Entrance Foyer|Yes;Interior Features|Interior Steps Y/N|N;</t>
  </si>
  <si>
    <t>Additional Bathroom Features|Shower &amp; Tub|Yes;Additional Bathroom Features|Exhaust Fan|Yes;Additional Bathroom Features|Powder Room|Yes;Assoc Amenities|Park|Yes;Assoc Amenities|Pickleball|Yes;Assoc Fees Includes|Common Area Maint|Yes;Builder/New Constr.|Date Complete|2025-07-31;Builder/New Constr.|Builder Warranty|Yes;Builder/New Constr.|Builder Name|Del Webb;Builder/New Constr.|New Construction|Yes;Builder/New Constr.|Site Phone|(520) 837-0276;Builder/New Constr.|Date Framed|2025-01-15;Income Property|Current Use|Owner Occupied;Window Features|Double Pane Windows|Yes;Road Maintenance|County|Yes;Road Type|Paved|Yes;Showing Service|Showing Service|None;Stories|One|Yes;Window Covering|None|Yes;Gas|Natural|Yes;Guest Facilities|None|Yes;Home Protection|Offered|Yes;Home Protection|Plan By|Builder Warranty;Sewer|Connected|Yes;Construction|Frame - Stucco|Yes;Construction|Model Name|Endeavor;Driveway|Paved|Concrete;Electric|Electric Company|TEP;Fence|Block|Yes;Roof|Tile|Yes;Spa|None|Yes;Style|Ranch|Yes;Style|Southwestern|Yes;Water Heater|Natural Gas|Yes;Fireplace|None|Yes;Floor Covering|Carpet|Yes;Floor Covering|Ceramic Tile|Yes;Laundry|Laundry Room|Yes;Living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Areas|Breakfast Bar|Yes;Dining Areas|Dining Area|Yes;Dining Areas|Breakfast Nook|Yes;Fireplace Location|None|Yes;Garage/Carport Feat|Electric Door Opener|Yes;Garage/Carport Feat|Attached Garage/Carport|Yes;Lot Features|Subdivided|Yes;Lot Features|East/West Exposure|Yes;Pool|Conventional|No;Special Conditions|Public Report|Yes;View|Mountain(s)|Yes;Extra Room|Bonus Room|Yes;Landscape - Front|Low Care|Yes;Landscape - Front|Decorative Gravel|Yes;Landscape - Front|Trees|Yes;Landscape - Front|Sprinkler/Drip|Yes;Landscape - Front|Shrubs|Yes;Landscape - Front|Desert Plantings|Yes;Landscape - Rear|None|Yes;Association &amp; Fees|HOA|Yes;Association &amp; Fees|HOA Telephone|480-921-7500;Association &amp; Fees|HOA Name|Del Webb Rocking K;Association &amp; Fees|HOA Payment Frequency|Monthly;Association &amp; Fees|HOA Amt (Monthly)|305;Primary Bathroom Features|Double Vanity|Yes;Primary Bathroom Features|Exhaust Fan|Yes;Primary Bathroom Features|Shower Only|Yes;Technology|Cable TV|Yes;Technology|Smart Panel|Yes;Technology|Pre-Wired Tele Lines|Yes;Terms|FHA|Yes;Terms|Cash|Yes;Terms|Conventional|Yes;Terms|VA|Yes;Water|Water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Features|Exhaust Fan|Yes;Kitchen Features|Microwave|Yes;Kitchen Features|Dishwasher|Yes;Kitchen Features|Countertops|quartz;Kitchen Features|Appliance Color|Stainless;Kitchen Features|Reverse Osmosis|Yes;Kitchen Features|Pantry|Walk-In;Kitchen Features|Kitchen Island|Yes;Kitchen Features|Gas Range|Yes;Kitchen Features|Disposal|Yes;Submit With Offer|Earnest Check|Yes;Interior Features|Split Bedroom Plan|Yes;Interior Features|Walk-In Closet(s)|Yes;Interior Features|Entrance Foyer|Yes;Interior Features|Interior Steps Y/N|N;</t>
  </si>
  <si>
    <t>Additional Bathroom Features|Shower &amp; Tub|Yes;Additional Bathroom Features|Exhaust Fan|Yes;Assoc Amenities|Park|Yes;Assoc Amenities|Pickleball|Yes;Assoc Fees Includes|Common Area Maint|Yes;Builder/New Constr.|Date Complete|2025-06-27;Builder/New Constr.|Builder Warranty|Yes;Builder/New Constr.|Builder Name|Del Webb;Builder/New Constr.|New Construction|Yes;Builder/New Constr.|Site Phone|(520) 837-0276;Builder/New Constr.|Date Framed|2025-01-15;Income Property|Current Use|Owner Occupied;Sold Info|Seller Concessions|0;Window Features|Double Pane Windows|Yes;Road Maintenance|County|Yes;Road Type|Paved|Yes;Showing Service|Showing Service|None;Stories|One|Yes;Window Covering|None|Yes;Gas|Natural|Yes;Guest Facilities|None|Yes;Home Protection|Offered|Yes;Home Protection|Plan By|Builder Warranty;Sewer|Connected|Yes;Construction|Frame - Stucco|Yes;Construction|Model Name|Pursuit;Driveway|Paved|Concrete;Electric|Electric Company|TEP;Fence|Block|Yes;Roof|Tile|Yes;Spa|None|Yes;Style|Ranch|Yes;Style|Southwestern|Yes;Water Heater|Natural Gas|Yes;Fireplace|None|Yes;Floor Covering|Carpet|Yes;Floor Covering|Ceramic Tile|Yes;Laundry|Laundry Room|Yes;Living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Areas|Breakfast Bar|Yes;Dining Areas|Dining Area|Yes;Dining Areas|Breakfast Nook|Yes;Fireplace Location|None|Yes;Garage/Carport Feat|Electric Door Opener|Yes;Garage/Carport Feat|Attached Garage/Carport|Yes;Lot Features|Subdivided|Yes;Lot Features|East/West Exposure|Yes;Pool|Conventional|No;Special Conditions|Public Report|Yes;View|Mountain(s)|Yes;Extra Room|Den|Yes;Landscape - Front|Low Care|Yes;Landscape - Front|Decorative Gravel|Yes;Landscape - Front|Trees|Yes;Landscape - Front|Sprinkler/Drip|Yes;Landscape - Front|Shrubs|Yes;Landscape - Front|Desert Plantings|Yes;Landscape - Rear|None|Yes;Association &amp; Fees|HOA|Yes;Association &amp; Fees|HOA Telephone|480-921-7500;Association &amp; Fees|HOA Name|Del Webb Rocking K;Association &amp; Fees|HOA Payment Frequency|Monthly;Association &amp; Fees|HOA Amt (Monthly)|305;Primary Bathroom Features|Double Vanity|Yes;Primary Bathroom Features|Exhaust Fan|Yes;Primary Bathroom Features|Shower Only|Yes;Technology|Cable TV|Yes;Technology|Smart Panel|Yes;Technology|Pre-Wired Tele Lines|Yes;Terms|FHA|Yes;Terms|Cash|Yes;Terms|Conventional|Yes;Terms|VA|Yes;Water|Water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Features|Exhaust Fan|Yes;Kitchen Features|Microwave|Yes;Kitchen Features|Dishwasher|Yes;Kitchen Features|Countertops|granite;Kitchen Features|Appliance Color|Stainless;Kitchen Features|Pantry|Walk-In;Kitchen Features|Kitchen Island|Yes;Kitchen Features|Gas Range|Yes;Kitchen Features|Disposal|Yes;Submit With Offer|Earnest Check|Yes;Interior Features|Split Bedroom Plan|Yes;Interior Features|Wet Bar|Yes;Interior Features|Walk-In Closet(s)|Yes;Interior Features|Entrance Foyer|Yes;Interior Features|Interior Steps Y/N|N;</t>
  </si>
  <si>
    <t>Additional Bathroom Features|Shower &amp; Tub|Yes;Additional Bathroom Features|Exhaust Fan|Yes;Assoc Amenities|Park|Yes;Assoc Amenities|Pickleball|Yes;Assoc Fees Includes|Common Area Maint|Yes;Builder/New Constr.|Date Complete|2025-06-27;Builder/New Constr.|Builder Warranty|Yes;Builder/New Constr.|Builder Name|Del Webb;Builder/New Constr.|New Construction|Yes;Builder/New Constr.|Site Phone|(520) 837-0276;Builder/New Constr.|Date Framed|2025-01-15;Income Property|Current Use|Owner Occupied;Sold Info|Seller Concessions|0;Window Features|Double Pane Windows|Yes;Road Maintenance|County|Yes;Road Type|Paved|Yes;Showing Service|Showing Service|None;Stories|One|Yes;Window Covering|None|Yes;Gas|Natural|Yes;Guest Facilities|None|Yes;Home Protection|Offered|Yes;Home Protection|Plan By|Builder Warranty;Sewer|Connected|Yes;Construction|Frame - Stucco|Yes;Construction|Model Name|Sanctuary;Driveway|Paved|Concrete;Electric|Electric Company|TEP;Fence|Block|Yes;Roof|Tile|Yes;Spa|None|Yes;Style|Ranch|Yes;Style|Southwestern|Yes;Water Heater|Natural Gas|Yes;Fireplace|None|Yes;Floor Covering|Carpet|Yes;Floor Covering|Ceramic Tile|Yes;Laundry|Laundry Room|Yes;Laundry|Washer|Yes;Laundry|Dryer|Yes;Living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Areas|Breakfast Bar|Yes;Dining Areas|Dining Area|Yes;Dining Areas|Breakfast Nook|Yes;Fireplace Location|None|Yes;Garage/Carport Feat|Electric Door Opener|Yes;Garage/Carport Feat|Attached Garage/Carport|Yes;Lot Features|Subdivided|Yes;Lot Features|East/West Exposure|Yes;Pool|Conventional|No;Special Conditions|Public Report|Yes;View|Mountain(s)|Yes;Extra Room|Den|Yes;Landscape - Front|Low Care|Yes;Landscape - Front|Decorative Gravel|Yes;Landscape - Front|Trees|Yes;Landscape - Front|Sprinkler/Drip|Yes;Landscape - Front|Shrubs|Yes;Landscape - Front|Desert Plantings|Yes;Landscape - Rear|None|Yes;Association &amp; Fees|HOA|Yes;Association &amp; Fees|HOA Telephone|480-921-7500;Association &amp; Fees|HOA Name|Del Webb Rocking K;Association &amp; Fees|HOA Payment Frequency|Monthly;Association &amp; Fees|HOA Amt (Monthly)|305;Primary Bathroom Features|Double Vanity|Yes;Primary Bathroom Features|Exhaust Fan|Yes;Primary Bathroom Features|Shower Only|Yes;Technology|Cable TV|Yes;Technology|Smart Panel|Yes;Technology|Pre-Wired Tele Lines|Yes;Terms|FHA|Yes;Terms|Cash|Yes;Terms|Conventional|Yes;Terms|VA|Yes;Water|Water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Features|Exhaust Fan|Yes;Kitchen Features|Microwave|Yes;Kitchen Features|Dishwasher|Yes;Kitchen Features|Countertops|granite;Kitchen Features|Appliance Color|Stainless;Kitchen Features|Pantry|Walk-In;Kitchen Features|Kitchen Island|Yes;Kitchen Features|Gas Range|Yes;Kitchen Features|Disposal|Yes;Submit With Offer|Earnest Check|Yes;Interior Features|Split Bedroom Plan|Yes;Interior Features|Wet Bar|Yes;Interior Features|Walk-In Closet(s)|Yes;Interior Features|Entrance Foyer|Yes;Interior Features|Interior Steps Y/N|N;</t>
  </si>
  <si>
    <t>Additional Bathroom Features|Shower &amp; Tub|Yes;Additional Bathroom Features|Other|Granite Countertops;Additional Bathroom Features|Exhaust Fan|Yes;Assoc Amenities|Maintenance|Yes;Assoc Amenities|Park|Yes;Assoc Fees Includes|Common Area Maint|Yes;Builder/New Constr.|Date Complete|2025-10-31;Builder/New Constr.|Builder Warranty|Lennar;Builder/New Constr.|Builder Name|Lennar;Builder/New Constr.|Site Contact|520-399-7923;Income Property|Current Use|Owner Occupied;Sold Info|Seller Concessions|5,000;Window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Name|Wayfarer B;Driveway|Paved|Concrete;Electric|Electric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Room|Loft|Yes;Landscape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Faces|Southeast;Neighborhood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</si>
  <si>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Features|Double Vanity|Yes;Assoc Amenities|Park|Yes;Assoc Amenities|Other|playground;Assoc Fees Includes|Common Area Maint|Yes;Builder/New Constr.|Date Complete|2025-12-31;Builder/New Constr.|Date Framed|2025-07-25;Green Building Verification Type|HERS Index Score|Yes;Income Property|Current Use|Owner Occupied;Sold Info|Seller Concessions|10,000;Window Features|Double Pane Windows|Yes;Road Maintenance|County|Yes;Road Type|Paved|Yes;Showing Service|Showing Service|None;Stories|One|Yes;Window Covering|Other|Faux wood blinds;Gas|Natural|Yes;Guest Facilities|None|Yes;Home Protection|Offered|Yes;Home Protection|Plan By|RWC;Sewer|Connected|Yes;Construction|Frame - Stucco|Yes;Construction|Model Name|Townsend;Driveway|Paved|Pavers;Electric|Electric Company|TEP;Fence|Block|Yes;Roof|Tile|Yes;Spa|None|Yes;Style|Contemporary|Yes;Style|Ranch|Yes;Water Heater|Natural Gas|Yes;Fireplace|None|Yes;Floor Covering|Carpet|Yes;Floor Covering|Ceramic Tile|Yes;Laundry|Laundry Room|Yes;Laundry|Washer|Yes;Laundry|Dryer|Yes;Living Areas|Off Kitchen|Yes;Living Areas|Living Room|Yes;Living Areas|Great Room|Yes;Main Cooling|Central Air|Yes;Main Heating|Forced Air|Yes;Patio/Deck|Covered|Yes;Patio/Deck|Patio|Yes;RV Parking|None|Yes;Security|None|Yes;Subdivision Restrict|Deed Restrictions|No;Subdivision Restrict|CC&amp;Rs|Yes;Subdivision Restrict|Age Restrictions|No;Dining Areas|Breakfast Bar|Yes;Dining Areas|Breakfast Nook|Yes;Fireplace Location|None|Yes;Garage/Carport Feat|Attached Garage/Carport|Yes;Garage/Carport Feat|Other|rustic metal door;Lot Features|Subdivided|Yes;Pool|Conventional|No;Special Conditions|None|Yes;View|Residential|Yes;Extra Room|Office|Yes;Landscape - Front|Low Care|Yes;Landscape - Front|Decorative Gravel|Yes;Landscape - Front|Sprinkler/Drip|Yes;Landscape - Front|Shrubs|Yes;Landscape - Front|Desert Plantings|Yes;Landscape - Rear|Other|graded;Association &amp; Fees|HOA|Yes;Association &amp; Fees|HOA Payment Frequency|Quarterly;Association &amp; Fees|HOA Amt (Monthly)|55;Primary Bathroom Features|Double Vanity|Yes;Primary Bathroom Features|Exhaust Fan|Yes;Primary Bathroom Features|Countertops|quartz;Primary Bathroom Features|Shower Only|Yes;Technology|High Speed Internet|Yes;Technology|Pre-Wired Tele Lines|Yes;Terms|FHA|Yes;Terms|Cash|Yes;Terms|Conventional|Yes;Terms|VA|Yes;Water|Water Company|Yes;Exterior Features|Native Plants|Yes;Neighborhood Feature|Athletic Facilities|Yes;Neighborhood Feature|Paved Street|Yes;Neighborhood Feature|Walking Trail|Yes;Neighborhood Feature|Park|Yes;Neighborhood Feature|Sidewalks|Yes;Property Disclosures|None|Yes;Accessibility Option|Door Levers|Yes;Kitchen Features|Exhaust Fan|Yes;Kitchen Features|# of Ovens|1;Kitchen Features|Microwave|Yes;Kitchen Features|Gas Cooktop|Yes;Kitchen Features|Gas Range|Yes;Kitchen Features|Countertops|quartz;Kitchen Features|Appliance Color|Stainless;Kitchen Features|Pantry|Walk-In;Kitchen Features|Kitchen Island|Yes;Kitchen Features|Dishwasher|Yes;Kitchen Features|Refrigerator|Yes;Kitchen Features|Disposal|Yes;Submit With Offer|Earnest Check|Yes;Submit With Offer|Loan Pre-Qual|Yes;Interior Features|Split Bedroom Plan|Yes;Interior Features|High Ceilings|Yes;Interior Features|Walk-In Closet(s)|Yes;Interior Features|Entrance Foyer|Yes;Interior Features|Interior Steps Y/N|N;</t>
  </si>
  <si>
    <t>Additional Bathroom Features|Shower &amp; Tub|Yes;Additional Bathroom Features|Other|Granite Countertops;Additional Bathroom Features|Exhaust Fan|Yes;Assoc Amenities|Maintenance|Yes;Assoc Amenities|Park|Yes;Assoc Fees Includes|Common Area Maint|Yes;Builder/New Constr.|Date Complete|2026-01-30;Builder/New Constr.|Builder Warranty|Lennar;Builder/New Constr.|Builder Name|Lennar;Builder/New Constr.|Site Contact|520-399-7923;Builder/New Constr.|Date Framed|2025-02-28;Income Property|Current Use|Owner Occupied;Sold Info|Seller Concessions|9,002.1;Window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Name|Traverse B;Driveway|Paved|Concrete;Electric|Electric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Garage/Carport|Yes;Garage/Carport Feat|Tandem Garage|Yes;Lot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</si>
  <si>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Fan|Yes;Assoc Amenities|Maintenance|Yes;Assoc Amenities|Park|Yes;Assoc Fees Includes|Common Area Maint|Yes;Builder/New Constr.|Date Complete|2025-11-28;Builder/New Constr.|Builder Warranty|Lennar;Builder/New Constr.|Builder Name|Lennar;Builder/New Constr.|Site Contact|520-399-7923;Income Property|Current Use|Owner Occupied;Sold Info|Seller Concessions|7,538.61;Window Features|Low-Emissivity Windows|Yes;Road Maintenance|County|Yes;Road Type|Paved|Yes;Showing Service|Showing Service|None;Stories|One|Yes;Window Covering|Some|Yes;Gas|Natural|Yes;Guest Facilities|None|Yes;Home Protection|Offered|No;Sewer|Connected|Yes;Construction|Frame - Stucco|Yes;Construction|Model Name|Daisy C;Driveway|Paved|Concrete;Electric|Electric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</si>
  <si>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Fan|Yes;Assoc Amenities|Maintenance|Yes;Assoc Amenities|Park|Yes;Assoc Fees Includes|Common Area Maint|Yes;Builder/New Constr.|Date Complete|2025-10-31;Builder/New Constr.|Builder Warranty|Lennar;Builder/New Constr.|Builder Name|Lennar;Builder/New Constr.|Site Contact|520-399-7923;Income Property|Current Use|Owner Occupied;Sold Info|Seller Concessions|7,579.97;Window Features|Low-Emissivity Windows|Yes;Road Maintenance|County|Yes;Road Type|Paved|Yes;Showing Service|Showing Service|None;Stories|One|Yes;Window Covering|Some|Yes;Gas|Natural|Yes;Guest Facilities|None|Yes;Home Protection|Offered|No;Sewer|Connected|Yes;Construction|Frame - Stucco|Yes;Construction|Model Name|Dolly A;Driveway|Paved|Concrete;Electric|Electric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</si>
  <si>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Fan|Yes;Additional Bathroom Features|Powder Room|Yes;Additional Bathroom Features|Double Vanity|Yes;Assoc Amenities|Maintenance|Yes;Assoc Amenities|Park|Yes;Assoc Fees Includes|Common Area Maint|Yes;Builder/New Constr.|Date Complete|2025-11-28;Builder/New Constr.|Builder Warranty|Lennar;Builder/New Constr.|Builder Name|Lennar;Builder/New Constr.|Site Contact|520-399-7923;Income Property|Current Use|Owner Occupied;Sold Info|Seller Concessions|7,500;Window Features|Low-Emissivity Windows|Yes;Road Maintenance|County|Yes;Road Type|Paved|Yes;Showing Service|Showing Service|None;Stories|Two|Yes;Window Covering|Some|Yes;Gas|Natural|Yes;Guest Facilities|None|Yes;Home Protection|Offered|No;Sewer|Connected|Yes;Construction|Frame - Stucco|Yes;Construction|Model Name|Gwen B;Driveway|Paved|Concrete;Electric|Electric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Features|North/South Exposure|Yes;Pool|None|Yes;Pool|Conventional|No;Special Conditions|Public Report|Yes;View|None|Yes;Extra Room|Loft|Yes;Extra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Features|Double Vanity|Yes;Primary Bathroom Features|Exhaust Fan|Yes;Primary Bathroom Features|Shower Only|Yes;Technology|Smart Thermostat|Yes;Terms|FHA|Yes;Terms|Cash|Yes;Terms|Conventional|Yes;Terms|VA|Yes;Water|Other|Spanish Trail Water;Water|Water Company|Yes;Exterior Features|None|Yes;Exterior Features|Front Faces|North;Neighborhood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Y/N|Y;Interior Features|Energy Efficient Lighting|Some;Interior Features|Walk-In Closet(s)|Yes;Interior Features|Entrance Foyer|Yes;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</si>
  <si>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Complete|2025-09-09;Builder/New Constr.|Builder Name|Meritage Homes;Builder/New Constr.|New Construction|Yes;Builder/New Constr.|Site Phone|520-686-5755;Builder/New Constr.|Date Framed|2025-06-17;Income Property|Current Use|Owner Occupied;Road Maintenance|City|Yes;Road Type|Paved|Yes;Showing Service|Showing Service|None;Stories|One|Yes;Window Covering|Some|Yes;Gas|Natural|Yes;Guest Facilities|None|Yes;Home Protection|Offered|No;Sewer|Connected|Yes;Construction|Stucco Finish|Yes;Construction|Model Name|Topaz;Driveway|Paved|Asphalt;Electric|Electric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Parking|None|Yes;Security|Smoke Detector(s)|Yes;Subdivision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Conditions|None|Yes;View|City|Yes;View|Residential|Yes;Extra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Fee|125;Association &amp; Fees|HOA Payment Frequency|Monthly;Association &amp; Fees|HOA Amt (Monthly)|84.5;Primary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</si>
  <si>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Features|Double Vanity|Yes;Assoc Amenities|Park|Yes;Assoc Amenities|Tennis Courts|Yes;Assoc Amenities|Recreation Room|Yes;Assoc Amenities|Pool|Yes;Assoc Fees Includes|Common Area Maint|Yes;Builder/New Constr.|Date Complete|2025-09-09;Builder/New Constr.|Builder Name|Meritage Homes;Builder/New Constr.|New Construction|Yes;Builder/New Constr.|Site Phone|520-686-5755;Builder/New Constr.|Date Framed|2025-06-17;Income Property|Current Use|Owner Occupied;Sold Info|Seller Concessions|13,747;Sold Info|Seller Paid Repairs|0;Road Maintenance|City|Yes;Road Type|Paved|Yes;Showing Service|Showing Service|None;Stories|One|Yes;Window Covering|Some|Yes;Gas|Natural|Yes;Guest Facilities|None|Yes;Home Protection|Offered|No;Sewer|Connected|Yes;Construction|Stucco Finish|Yes;Construction|Model Name|Topaz;Driveway|Paved|Asphalt;Electric|Electric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Parking|None|Yes;Security|Smoke Detector(s)|Yes;Subdivision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Conditions|None|Yes;View|City|Yes;View|Residential|Yes;Extra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Fee|125;Association &amp; Fees|HOA Payment Frequency|Monthly;Association &amp; Fees|HOA Amt (Monthly)|84.5;Primary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Feature|Pool|Yes;Neighborhood Feature|Paved Street|Yes;Neighborhood Feature|Park|Yes;Neighborhood Feature|Sidewalks|Yes;Neighborhood Feature|Tennis Courts|Yes;Neighborhood Feature|Basketball Court|Yes;Neighborhood Feature|Jogging/Bike Path|Yes;Property Disclosures|None|Yes;Accessibility Option|Wide Doorways|Yes;Kitchen Features|Dishwasher|Yes;Kitchen Features|Gas Oven|Yes;Kitchen Features|Microwave|Yes;Kitchen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</si>
  <si>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Complete|2025-04-04;Builder/New Constr.|Builder Name|Meritage Homes;Builder/New Constr.|New Construction|Yes;Builder/New Constr.|Site Phone|520-686-5755;Builder/New Constr.|Date Framed|2024-11-06;Income Property|Current Use|Owner Occupied;Road Maintenance|City|Yes;Road Type|Paved|Yes;Showing Service|Showing Service|None;Stories|One|Yes;Window Covering|Stay|Yes;Gas|Natural|Yes;Guest Facilities|None|Yes;Home Protection|Offered|Yes;Sewer|Connected|Yes;Construction|Stucco Finish|Yes;Construction|Model Name|Pearl;Driveway|Paved|Asphalt;Electric|Electric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Parking|None|Yes;Security|Other|Cameras;Subdivision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Conditions|None|Yes;View|City|Yes;View|Residential|Yes;Extra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Fee|125;Association &amp; Fees|HOA Payment Frequency|Monthly;Association &amp; Fees|HOA Amt (Monthly)|84.5;Primary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</si>
  <si>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Complete|2025-08-04;Builder/New Constr.|Builder Name|Meritage Homes;Builder/New Constr.|New Construction|Yes;Builder/New Constr.|Site Phone|520-686-5755;Builder/New Constr.|Date Framed|2025-05-12;Income Property|Current Use|Owner Occupied;Road Maintenance|City|Yes;Road Type|Paved|Yes;Showing Service|Showing Service|None;Stories|One|Yes;Window Covering|Some|Yes;Gas|Natural|Yes;Guest Facilities|None|Yes;Home Protection|Offered|No;Sewer|Connected|Yes;Construction|Stucco Finish|Yes;Construction|Model Name|Garnet;Driveway|Paved|Asphalt;Electric|Electric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Parking|None|Yes;Security|Other|Cameras;Subdivision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Conditions|None|Yes;View|City|Yes;View|Residential|Yes;Extra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Fee|125;Association &amp; Fees|HOA Payment Frequency|Monthly;Association &amp; Fees|HOA Amt (Monthly)|84.5;Primary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</si>
  <si>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Complete|2025-08-04;Builder/New Constr.|Builder Name|Meritage Homes;Builder/New Constr.|New Construction|Yes;Builder/New Constr.|Site Phone|520-686-5755;Builder/New Constr.|Date Framed|2025-05-12;Income Property|Current Use|Owner Occupied;Road Maintenance|City|Yes;Road Type|Paved|Yes;Showing Service|Showing Service|None;Stories|One|Yes;Window Covering|Stay|Yes;Gas|Natural|Yes;Guest Facilities|None|Yes;Home Protection|Offered|Yes;Sewer|Connected|Yes;Construction|Stucco Finish|Yes;Construction|Model Name|Pearl;Driveway|Paved|Asphalt;Electric|Electric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Parking|None|Yes;Security|Other|Cameras;Subdivision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Conditions|None|Yes;View|City|Yes;View|Residential|Yes;Extra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Fee|125;Association &amp; Fees|HOA Payment Frequency|Monthly;Association &amp; Fees|HOA Amt (Monthly)|84.5;Primary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</si>
  <si>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Complete|2025-10-16;Builder/New Constr.|Builder Name|Meritage Homes;Builder/New Constr.|New Construction|Yes;Builder/New Constr.|Site Phone|520-686-5755;Builder/New Constr.|Date Framed|2025-07-15;Income Property|Current Use|Owner Occupied;Road Maintenance|City|Yes;Road Type|Paved|Yes;Showing Service|Showing Service|None;Stories|One|Yes;Window Covering|Some|Yes;Gas|Natural|Yes;Guest Facilities|None|Yes;Home Protection|Offered|No;Sewer|Connected|Yes;Construction|Stucco Finish|Yes;Construction|Model Name|Garnet;Driveway|Paved|Asphalt;Electric|Electric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Parking|None|Yes;Security|Other|Cameras;Subdivision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Conditions|None|Yes;View|City|Yes;View|Residential|Yes;Extra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Fee|125;Association &amp; Fees|HOA Payment Frequency|Monthly;Association &amp; Fees|HOA Amt (Monthly)|84.5;Primary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</si>
  <si>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Features|Double Vanity|Yes;Assoc Amenities|Park|Yes;Assoc Amenities|Tennis Courts|Yes;Assoc Amenities|Recreation Room|Yes;Assoc Amenities|Pool|Yes;Assoc Fees Includes|Common Area Maint|Yes;Builder/New Constr.|Date Complete|2025-10-16;Builder/New Constr.|Builder Name|Meritage Homes;Builder/New Constr.|New Construction|Yes;Builder/New Constr.|Site Phone|520-686-5755;Builder/New Constr.|Date Framed|2025-07-15;Income Property|Current Use|Owner Occupied;Sold Info|Seller Concessions|7,132.23;Road Maintenance|City|Yes;Road Type|Paved|Yes;Showing Service|Showing Service|None;Stories|One|Yes;Window Covering|Some|Yes;Gas|Natural|Yes;Guest Facilities|None|Yes;Home Protection|Offered|No;Sewer|Connected|Yes;Construction|Stucco Finish|Yes;Construction|Model Name|Topaz;Driveway|Paved|Asphalt;Electric|Electric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Parking|None|Yes;Security|Other|Cameras;Subdivision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Conditions|None|Yes;View|City|Yes;View|Residential|Yes;Extra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Fee|46;Association &amp; Fees|HOA Payment Frequency|Monthly;Association &amp; Fees|HOA Amt (Monthly)|70;Primary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Feature|Pool|Yes;Neighborhood Feature|Paved Street|Yes;Neighborhood Feature|Park|Yes;Neighborhood Feature|Sidewalks|Yes;Neighborhood Feature|Tennis Courts|Yes;Neighborhood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</si>
  <si>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Features|Double Vanity|Yes;Assoc Amenities|Park|Yes;Assoc Amenities|Tennis Courts|Yes;Assoc Amenities|Recreation Room|Yes;Assoc Amenities|Pool|Yes;Assoc Fees Includes|Common Area Maint|Yes;Builder/New Constr.|Date Complete|2025-09-24;Builder/New Constr.|Builder Name|Meritage Homes;Builder/New Constr.|New Construction|Yes;Builder/New Constr.|Site Phone|520-686-5755;Builder/New Constr.|Date Framed|2025-07-03;Income Property|Current Use|Owner Occupied;Sold Info|Seller Concessions|19,997.73;Road Maintenance|City|Yes;Road Type|Paved|Yes;Showing Service|Showing Service|None;Stories|One|Yes;Window Covering|Some|Yes;Gas|Natural|Yes;Guest Facilities|None|Yes;Home Protection|Offered|No;Sewer|Connected|Yes;Construction|Stucco Finish|Yes;Construction|Model Name|Topaz;Driveway|Paved|Asphalt;Electric|Electric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Parking|None|Yes;Security|Other|cameras;Subdivision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Conditions|None|Yes;View|City|Yes;View|Residential|Yes;Extra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Fee|46;Association &amp; Fees|HOA Payment Frequency|Monthly;Association &amp; Fees|HOA Amt (Monthly)|70;Primary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Feature|Pool|Yes;Neighborhood Feature|Paved Street|Yes;Neighborhood Feature|Park|Yes;Neighborhood Feature|Sidewalks|Yes;Neighborhood Feature|Tennis Courts|Yes;Neighborhood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</si>
  <si>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Complete|2025-09-24;Builder/New Constr.|Builder Name|Meritage Homes;Builder/New Constr.|New Construction|Yes;Builder/New Constr.|Site Phone|520-686-5755;Builder/New Constr.|Date Framed|2025-07-03;Income Property|Current Use|Owner Occupied;Road Maintenance|City|Yes;Road Type|Paved|Yes;Showing Service|Showing Service|None;Stories|One|Yes;Window Covering|Some|Yes;Gas|Natural|Yes;Guest Facilities|None|Yes;Home Protection|Offered|No;Sewer|Connected|Yes;Construction|Stucco Finish|Yes;Construction|Model Name|Topaz;Driveway|Paved|Asphalt;Electric|Electric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Parking|None|Yes;Security|Other|cameras;Subdivision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Conditions|None|Yes;View|City|Yes;View|Residential|Yes;Extra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Fee|125;Association &amp; Fees|HOA Payment Frequency|Monthly;Association &amp; Fees|HOA Amt (Monthly)|84.5;Primary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</si>
  <si>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Tub|Yes;Additional Bathroom Features|Exhaust Fan|Yes;Assoc Fees Includes|Common Area Maint|Yes;Builder/New Constr.|Date Complete|2025-09-26;Builder/New Constr.|Builder Warranty|10yr Structural;Builder/New Constr.|Builder Name|D.R. Horton, Inc;Builder/New Constr.|New Construction|Yes;Builder/New Constr.|Site Phone|520-214-0226;Builder/New Constr.|Date Framed|2025-06-17;Green Building Verification Type|ENERGY STAR Certified Homes|Yes;Green Building Verification Type|Zero Energy Ready Home|Yes;Green Building Verification Type|HERS Index Score|Yes;Income Property|Current Use|Owner Occupied;Sold Info|Seller Concessions|9,000;Window Features|Low-Emissivity Windows|Yes;Window Features|Double Pane Windows|Yes;Window Features|ENERGY STAR Qualified Windows|Yes;Road Maintenance|County|Yes;Road Type|Paved|Yes;Showing Service|Showing Service|ShowingTime;Stories|One|Yes;Window Covering|None|Yes;Gas|Natural|Yes;Guest Facilities|None|Yes;Home Protection|Offered|No;Home Protection|Plan By|Builder Warranty;Sewer|Connected|Yes;Construction|Frame - Stucco|Yes;Construction|Stucco Finish|Yes;Driveway|Paved|Concrete;Electric|Electric Company|TEP;Fence|Block|Yes;Roof|Tile|Yes;Spa|None|Yes;Style|Contemporary|Yes;Style|Ranch|Yes;Water Heater|Tankless Water Heater|Yes;Fireplace|None|Yes;Floor Covering|Carpet|Yes;Floor Covering|Ceramic Tile|Yes;Laundry|Laundry Room|Yes;Living Areas|Great Room|Yes;Main Cooling|Ceiling Fans Pre-Wired|Yes;Main Cooling|SEER Rating|15;Main Cooling|Heat Pump|Yes;Main Heating|Heat Pump|Yes;Patio/Deck|Covered|Yes;Patio/Deck|Patio|Yes;RV Parking|None|Yes;Security|Smoke Detector(s)|Yes;Security|Carbon Monoxide Detector(s)|Yes;Subdivision Restrict|Deed Restrictions|Yes;Subdivision Restrict|CC&amp;Rs|Yes;Subdivision Restrict|Age Restrictions|No;Dining Areas|Great Room|Yes;Dining Areas|Dining Area|Yes;Fireplace Location|None|Yes;Garage/Carport Feat|Attached Garage/Carport|Yes;Garage/Carport Feat|Tandem Garage|Yes;Lot Features|Borders Common Area|Yes;Pool|None|Yes;Pool|Conventional|No;Special Conditions|Public Report|Yes;View|Mountain(s)|Yes;Extra Room|None|Yes;Landscape - Front|Low Care|Yes;Landscape - Front|Sprinkler/Drip|Yes;Landscape - Rear|None|Yes;Association &amp; Fees|HOA|Yes;Association &amp; Fees|HOA Website|https://rockingkhoa.com/;Association &amp; Fees|HOA Telephone|1.800.354.0257;Association &amp; Fees|HOA Name|Rocking K South;Association &amp; Fees|HOA Payment Frequency|Quarterly;Association &amp; Fees|HOA Amt (Monthly)|81;Primary Bathroom Features|Double Vanity|Yes;Primary Bathroom Features|Exhaust Fan|Yes;Primary Bathroom Features|Countertops|Solid Surface;Primary Bathroom Features|Shower Only|Yes;Technology|High Speed Internet|Yes;Technology|Smart Thermostat|Yes;Technology|Smart Panel|Yes;Terms|Cash|Yes;Water|Water Company|Yes;Exterior Features|Front Faces|Southwest;Neighborhood Feature|Jogging/Bike Path|Yes;Neighborhood Feature|Sidewalks|Yes;Neighborhood Feature|Pickleball|Yes;Neighborhood Feature|Walking Trail|Yes;Neighborhood Feature|Park|Yes;Neighborhood Feature|Basketball Court|Yes;Property Disclosures|Unknown|Yes;Property Disclosures|Other|Public Report;Accessibility Option|Door Levers|Yes;Kitchen Features|Exhaust Fan|Yes;Kitchen Features|ENERGY STAR Qualified Dishwasher|Yes;Kitchen Features|Microwave|Yes;Kitchen Features|Dishwasher|Yes;Kitchen Features|Countertops|Quartz;Kitchen Features|Appliance Color|Stainless;Kitchen Features|Pantry|Walk-In;Kitchen Features|Gas Range|Yes;Kitchen Features|Disposal|Yes;Submit With Offer|Other|Proof of funds;Interior Features|Interior Steps Y/N|N;Interior Features|High Ceilings|Yes;Interior Features|Energy Star Qualified|Yes;Interior Features|Walk-In Closet(s)|Yes;</t>
  </si>
  <si>
    <t>Additional Bathroom Features|Shower &amp; Tub|Yes;Additional Bathroom Features|Exhaust Fan|Yes;Assoc Amenities|Park|Yes;Assoc Amenities|Tennis Courts|Yes;Assoc Amenities|Recreation Room|Yes;Assoc Fees Includes|Common Area Maint|Yes;Builder/New Constr.|Date Complete|2025-10-23;Builder/New Constr.|Builder Name|Meritage Homes;Builder/New Constr.|New Construction|Yes;Builder/New Constr.|Site Phone|520-686-5755;Builder/New Constr.|Date Framed|2025-07-17;Income Property|Current Use|Owner Occupied;Sold Info|Seller Concessions|2,787;Road Maintenance|City|Yes;Road Type|Paved|Yes;Showing Service|Showing Service|None;Stories|One|Yes;Window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Conditions|None|Yes;View|City|Yes;View|Residential|Yes;Extra Room|None|Yes;Landscape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Fee|125;Association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Feature|Paved Street|Yes;Neighborhood Feature|Walking Trail|Yes;Neighborhood Feature|Sidewalks|Yes;Neighborhood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Features|Pantry|Closet;Kitchen Features|Kitchen Island|Yes;Kitchen Features|Gas Range|Yes;Kitchen Features|Refrigerator|Yes;Kitchen Features|Disposal|Yes;Submit With Offer|Earnest Check|Yes;Interior Features|Interior Steps Y/N|N;Interior Features|Energy Star Qualified|Yes;Interior Features|Walk-In Closet(s)|Yes;</t>
  </si>
  <si>
    <t>Additional Bathroom Features|Shower &amp; Tub|Yes;Additional Bathroom Features|Exhaust Fan|Yes;Assoc Amenities|Park|Yes;Assoc Amenities|Tennis Courts|Yes;Assoc Amenities|Recreation Room|Yes;Assoc Fees Includes|Common Area Maint|Yes;Builder/New Constr.|Date Complete|2025-10-22;Builder/New Constr.|Builder Name|Meritage Homes;Builder/New Constr.|New Construction|Yes;Builder/New Constr.|Site Phone|520-686-5755;Builder/New Constr.|Date Framed|2025-07-24;Income Property|Current Use|Owner Occupied;Sold Info|Seller Concessions|11,275;Road Maintenance|City|Yes;Road Type|Paved|Yes;Showing Service|Showing Service|None;Stories|One|Yes;Window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Conditions|None|Yes;View|City|Yes;View|Residential|Yes;Extra Room|None|Yes;Landscape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Fee|125;Association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Feature|Paved Street|Yes;Neighborhood Feature|Walking Trail|Yes;Neighborhood Feature|Sidewalks|Yes;Neighborhood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Features|Pantry|Closet;Kitchen Features|Kitchen Island|Yes;Kitchen Features|Gas Range|Yes;Kitchen Features|Refrigerator|Yes;Kitchen Features|Disposal|Yes;Submit With Offer|Earnest Check|Yes;Interior Features|Interior Steps Y/N|N;Interior Features|Energy Star Qualified|Yes;Interior Features|Walk-In Closet(s)|Yes;</t>
  </si>
  <si>
    <t>Additional Bathroom Features|Shower &amp; Tub|Yes;Additional Bathroom Features|Exhaust Fan|Yes;Assoc Amenities|Park|Yes;Assoc Amenities|Tennis Courts|Yes;Assoc Amenities|Recreation Room|Yes;Assoc Fees Includes|Common Area Maint|Yes;Builder/New Constr.|Date Complete|2025-10-22;Builder/New Constr.|Builder Name|Meritage Homes;Builder/New Constr.|New Construction|Yes;Builder/New Constr.|Site Phone|520-686-5755;Builder/New Constr.|Date Framed|2025-07-24;Income Property|Current Use|Owner Occupied;Sold Info|Seller Concessions|11,095.2;Road Maintenance|City|Yes;Road Type|Paved|Yes;Showing Service|Showing Service|None;Stories|One|Yes;Window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Conditions|None|Yes;View|City|Yes;View|Residential|Yes;Extra Room|None|Yes;Landscape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Fee|125;Association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Feature|Paved Street|Yes;Neighborhood Feature|Walking Trail|Yes;Neighborhood Feature|Sidewalks|Yes;Neighborhood Feature|Jogging/Bike Path|Yes;Property Disclosures|None|Yes;Accessibility Option|Wide Doorways|Yes;Kitchen Features|Dishwasher|Yes;Kitchen Features|Microwave|Yes;Kitchen Features|Countertops|Quartz/Granite;Kitchen Features|Appliance Color|Stainless;Kitchen Features|Pantry|Closet;Kitchen Features|Kitchen Island|Yes;Kitchen Features|Gas Range|Yes;Kitchen Features|Refrigerator|Yes;Kitchen Features|Disposal|Yes;Submit With Offer|Earnest Check|Yes;Interior Features|Interior Steps Y/N|N;Interior Features|Energy Star Qualified|Yes;Interior Features|Walk-In Closet(s)|Yes;</t>
  </si>
  <si>
    <t>Additional Bathroom Features|Shower &amp; Tub|Yes;Additional Bathroom Features|Exhaust Fan|Yes;Assoc Amenities|Park|Yes;Assoc Amenities|Tennis Courts|Yes;Assoc Amenities|Recreation Room|Yes;Assoc Fees Includes|Common Area Maint|Yes;Builder/New Constr.|Date Complete|2025-11-05;Builder/New Constr.|Builder Name|Meritage Homes;Builder/New Constr.|New Construction|Yes;Builder/New Constr.|Site Phone|520-686-5755;Builder/New Constr.|Date Framed|2025-08-06;Income Property|Current Use|Owner Occupied;Road Maintenance|City|Yes;Road Type|Paved|Yes;Showing Service|Showing Service|None;Stories|One|Yes;Window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Conditions|None|Yes;View|City|Yes;View|Residential|Yes;Extra Room|None|Yes;Landscape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Fee|125;Association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Feature|Sidewalks|Yes;Neighborhood Feature|Walking Trail|Yes;Neighborhood Feature|Park|Yes;Neighborhood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Features|Refrigerator|Yes;Kitchen Features|Disposal|Yes;Submit With Offer|Earnest Check|Yes;Interior Features|Interior Steps Y/N|N;Interior Features|Primary Downstairs|Yes;Interior Features|Energy Star Qualified|Yes;Interior Features|Walk-In Closet(s)|Yes;</t>
  </si>
  <si>
    <t>Additional Bathroom Features|Shower &amp; Tub|Yes;Additional Bathroom Features|Exhaust Fan|Yes;Additional Bathroom Features|Powder Room|Yes;Additional Bathroom Features|Double Vanity|Yes;Assoc Amenities|Maintenance|Yes;Assoc Amenities|Park|Yes;Assoc Fees Includes|Common Area Maint|Yes;Builder/New Constr.|Date Complete|2025-12-12;Builder/New Constr.|Builder Warranty|Lennar;Builder/New Constr.|Builder Name|Lennar;Builder/New Constr.|Site Contact|520-399-7923;Income Property|Current Use|Owner Occupied;Sold Info|Seller Concessions|4,000;Window Features|Low-Emissivity Windows|Yes;Road Maintenance|County|Yes;Road Type|Paved|Yes;Showing Service|Showing Service|None;Stories|Two|Yes;Window Covering|Some|Yes;Gas|Natural|Yes;Guest Facilities|None|Yes;Home Protection|Offered|No;Sewer|Connected|Yes;Construction|Frame - Stucco|Yes;Construction|Model Name|Poppy A;Driveway|Paved|Concrete;Electric|Electric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Room|Loft|Yes;Extra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Features|Double Vanity|Yes;Primary Bathroom Features|Exhaust Fan|Yes;Primary Bathroom Features|Shower Only|Yes;Technology|Smart Thermostat|Yes;Terms|FHA|Yes;Terms|Cash|Yes;Terms|Conventional|Yes;Terms|VA|Yes;Water|Other|Spanish Trail Water;Water|Water Company|Yes;Exterior Features|None|Yes;Exterior Features|Front Faces|Northwest;Neighborhood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Y/N|Y;Interior Features|Energy Efficient Lighting|Some;Interior Features|Walk-In Closet(s)|Yes;Interior Features|Entrance Foyer|Yes;</t>
  </si>
  <si>
    <t>Additional Bathroom Features|Shower &amp; Tub|Yes;Additional Bathroom Features|Exhaust Fan|Yes;Assoc Amenities|Park|Yes;Assoc Amenities|Pickleball|Yes;Assoc Fees Includes|Common Area Maint|Yes;Builder/New Constr.|Date Complete|2025-12-26;Builder/New Constr.|Builder Warranty|Yes;Builder/New Constr.|Builder Name|Del Webb;Builder/New Constr.|New Construction|Yes;Builder/New Constr.|Site Phone|(520) 837-0276;Builder/New Constr.|Date Framed|2025-08-01;Income Property|Current Use|Owner Occupied;Sold Info|Seller Concessions|13,000;Window Features|Double Pane Windows|Yes;Road Maintenance|County|Yes;Road Type|Paved|Yes;Showing Service|Showing Service|None;Stories|One|Yes;Window Covering|None|Yes;Gas|Natural|Yes;Guest Facilities|None|Yes;Home Protection|Offered|Yes;Home Protection|Plan By|Builder Warranty;Sewer|Connected|Yes;Construction|Frame - Stucco|Yes;Construction|Model Name|Haven;Driveway|Paved|Concrete;Electric|Electric Company|TEP;Fence|Block|Yes;Roof|Tile|Yes;Spa|None|Yes;Style|Ranch|Yes;Style|Southwestern|Yes;Water Heater|Natural Gas|Yes;Fireplace|None|Yes;Floor Covering|Carpet|Yes;Floor Covering|Ceramic Tile|Yes;Laundry|Laundry Room|Yes;Living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Areas|Breakfast Bar|Yes;Dining Areas|Great Room|Yes;Fireplace Location|None|Yes;Garage/Carport Feat|Electric Door Opener|Yes;Garage/Carport Feat|Attached Garage/Carport|Yes;Garage/Carport Feat|Golf Cart Garage|Yes;Lot Features|Subdivided|Yes;Lot Features|Borders Common Area|Yes;Lot Features|North/South Exposure|Yes;Pool|Conventional|No;Special Conditions|Public Report|Yes;View|Mountain(s)|Yes;Extra Room|Den|Yes;Landscape - Front|Low Care|Yes;Landscape - Front|Decorative Gravel|Yes;Landscape - Front|Sprinkler/Drip|Yes;Landscape - Rear|None|Yes;Association &amp; Fees|HOA|Yes;Association &amp; Fees|HOA Telephone|480-921-7500;Association &amp; Fees|HOA Name|Del Webb Rocking K;Association &amp; Fees|HOA Payment Frequency|Monthly;Association &amp; Fees|HOA Amt (Monthly)|305;Primary Bathroom Features|Double Vanity|Yes;Primary Bathroom Features|Exhaust Fan|Yes;Primary Bathroom Features|Shower Only|Yes;Technology|Cable TV|Yes;Technology|Pre-Wired Tele Lines|Yes;Technology|Smart Panel|Yes;Terms|FHA|Yes;Terms|Cash|Yes;Terms|Conventional|Yes;Terms|VA|Yes;Water|Water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Features|Exhaust Fan|Yes;Kitchen Features|Microwave|Yes;Kitchen Features|Dishwasher|Yes;Kitchen Features|Countertops|granite;Kitchen Features|Appliance Color|Stainless;Kitchen Features|Reverse Osmosis|Yes;Kitchen Features|Pantry|Walk-In;Kitchen Features|Kitchen Island|Yes;Kitchen Features|Gas Range|Yes;Kitchen Features|Disposal|Yes;Submit With Offer|Earnest Check|Yes;Interior Features|Split Bedroom Plan|Yes;Interior Features|Walk-In Closet(s)|Yes;Interior Features|Entrance Foyer|Yes;Interior Features|Interior Steps Y/N|N;</t>
  </si>
  <si>
    <t>Additional Bathroom Features|Shower &amp; Tub|Yes;Additional Bathroom Features|Exhaust Fan|Yes;Additional Bathroom Features|Double Vanity|Yes;Assoc Amenities|Park|Yes;Assoc Amenities|Tennis Courts|Yes;Assoc Amenities|Recreation Room|Yes;Assoc Amenities|Pool|Yes;Assoc Fees Includes|Common Area Maint|Yes;Builder/New Constr.|Date Complete|2025-11-06;Builder/New Constr.|Builder Name|Meritage Homes;Builder/New Constr.|New Construction|Yes;Builder/New Constr.|Site Phone|520-686-5755;Builder/New Constr.|Date Framed|2025-07-29;Income Property|Current Use|Owner Occupied;Sold Info|Seller Concessions|9,860;Window Features|ENERGY STAR Qualified Windows|Yes;Road Maintenance|City|Yes;Road Type|Paved|Yes;Showing Service|Showing Service|None;Stories|Two|Yes;Window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Room|Loft|Yes;Landscape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Fee|125;Association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Feature|Pool|Yes;Neighborhood Feature|Paved Street|Yes;Neighborhood Feature|Walking Trail|Yes;Neighborhood Feature|Park|Yes;Neighborhood Feature|Tennis Courts|Yes;Neighborhood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Features|Pantry|Closet;Kitchen Features|Kitchen Island|Yes;Kitchen Features|Gas Range|Yes;Kitchen Features|Refrigerator|Yes;Kitchen Features|Disposal|Yes;Submit With Offer|Earnest Check|Yes;Interior Features|Interior Steps Y/N|Y;Interior Features|Primary Downstairs|Yes;</t>
  </si>
  <si>
    <t>Additional Bathroom Features|Shower &amp; Tub|Yes;Additional Bathroom Features|Exhaust Fan|Yes;Additional Bathroom Features|Double Vanity|Yes;Assoc Amenities|Park|Yes;Assoc Amenities|Tennis Courts|Yes;Assoc Amenities|Recreation Room|Yes;Assoc Amenities|Pool|Yes;Assoc Fees Includes|Common Area Maint|Yes;Builder/New Constr.|Date Complete|2025-10-31;Builder/New Constr.|Builder Name|Meritage Homes;Builder/New Constr.|New Construction|Yes;Builder/New Constr.|Site Phone|520-686-5755;Builder/New Constr.|Date Framed|2025-07-17;Income Property|Current Use|Owner Occupied;Sold Info|Seller Concessions|28,250;Window Features|ENERGY STAR Qualified Windows|Yes;Road Maintenance|City|Yes;Road Type|Paved|Yes;Showing Service|Showing Service|None;Stories|Two|Yes;Window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Room|Loft|Yes;Landscape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Fee|0;Association &amp; Fees|HOA Payment Frequency|Quarterly;Association &amp; Fees|HOA Amt (Monthly)|241.5;Primary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Feature|Pool|Yes;Neighborhood Feature|Paved Street|Yes;Neighborhood Feature|Walking Trail|Yes;Neighborhood Feature|Park|Yes;Neighborhood Feature|Sidewalks|Yes;Neighborhood Feature|Tennis Courts|Yes;Neighborhood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Features|Refrigerator|Yes;Submit With Offer|Earnest Check|Yes;Interior Features|Interior Steps Y/N|Y;Interior Features|Walk-In Closet(s)|Yes;</t>
  </si>
  <si>
    <t>Additional Bathroom Features|Shower &amp; Tub|Yes;Additional Bathroom Features|Exhaust Fan|Yes;Additional Bathroom Features|Double Vanity|Yes;Assoc Amenities|Park|Yes;Assoc Amenities|Tennis Courts|Yes;Assoc Amenities|Recreation Room|Yes;Assoc Amenities|Pool|Yes;Assoc Fees Includes|Common Area Maint|Yes;Builder/New Constr.|Date Complete|2025-10-30;Builder/New Constr.|Builder Name|Meritage Homes;Builder/New Constr.|New Construction|Yes;Builder/New Constr.|Site Phone|520-686-5755;Builder/New Constr.|Date Framed|2025-07-29;Income Property|Current Use|Owner Occupied;Sold Info|Seller Concessions|8,592.46;Window Features|ENERGY STAR Qualified Windows|Yes;Road Maintenance|City|Yes;Road Type|Paved|Yes;Showing Service|Showing Service|None;Stories|Two|Yes;Window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Room|Loft|Yes;Landscape - Front|Desert Plantings|Yes;Landscape - Front|Decorative Gravel|Yes;Landscape - Front|Shrubs|Yes;Landscape - Rear|None|Yes;Association &amp; Fees|HOA|Yes;Association &amp; Fees|Rec Fee|0;Association &amp; Fees|HOA Name|5206031889;Association &amp; Fees|HOA Transfer Fee|0;Association &amp; Fees|HOA Payment Frequency|Quarterly;Association &amp; Fees|HOA Amt (Monthly)|241.5;Primary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Feature|Pool|Yes;Neighborhood Feature|Paved Street|Yes;Neighborhood Feature|Walking Trail|Yes;Neighborhood Feature|Park|Yes;Neighborhood Feature|Sidewalks|Yes;Neighborhood Feature|Tennis Courts|Yes;Neighborhood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Features|Refrigerator|Yes;Submit With Offer|Earnest Check|Yes;Interior Features|Interior Steps Y/N|Y;Interior Features|Walk-In Closet(s)|Yes;</t>
  </si>
  <si>
    <t>Additional Bathroom Features|Shower &amp; Tub|Yes;Additional Bathroom Features|Other|Granite Countertops;Additional Bathroom Features|Exhaust Fan|Yes;Assoc Amenities|Maintenance|Yes;Assoc Amenities|Park|Yes;Assoc Fees Includes|Common Area Maint|Yes;Builder/New Constr.|Date Complete|2026-01-31;Builder/New Constr.|Builder Warranty|Lennar;Builder/New Constr.|Builder Name|Lennar;Builder/New Constr.|Site Contact|520-399-7923;Income Property|Current Use|Owner Occupied;Sold Info|Seller Concessions|7,000;Window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Name|Venture C;Driveway|Paved|Concrete;Electric|Electric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Areas|Breakfast Nook|Yes;Fireplace Location|None|Yes;Garage/Carport Feat|Attached Garage/Carport|Yes;Lot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</si>
  <si>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Fan|Yes;Additional Bathroom Features|Powder Room|Yes;Assoc Amenities|Clubhouse|Yes;Assoc Amenities|Pickleball|Yes;Assoc Amenities|Tennis Courts|Yes;Assoc Amenities|Security|Yes;Assoc Amenities|Recreation Room|Yes;Assoc Amenities|Pool|Yes;Assoc Fees Includes|Common Area Maint|Yes;Assoc Fees Includes|Gated Community|Yes;Builder/New Constr.|Date Complete|2025-09-15;Builder/New Constr.|Builder Name|Robson Communities;Builder/New Constr.|New Construction|Yes;Builder/New Constr.|Date Framed|2025-05-12;Income Property|Current Use|Owner Occupied;Sold Info|Seller Concessions|0;Sold Info|Seller Paid Repairs|0;Window Features|Low-Emissivity Windows|Yes;Road Maintenance|HOA|Yes;Road Type|Paved|Yes;Showing Service|Showing Service|None;Stories|One|Yes;Window Covering|None|Yes;Gas|Natural|Yes;Guest Facilities|None|Yes;Home Protection|Offered|No;Sewer|Connected|Yes;Construction|Frame|Yes;Construction|Stucco Finish|Yes;Driveway|Paved|Concrete;Electric|Electric Company|Trico Electric;Fence|None|Yes;Roof|Tile|Yes;Spa|None|Yes;Style|Contemporary|Yes;Style|Modern|Yes;Water Heater|Tankless Water Heater|Yes;Fireplace|None|Yes;Floor Covering|Carpet|Yes;Floor Covering|Ceramic Tile|Yes;Laundry|Laundry Room|Yes;Laundry|Gas Dryer Hookup|Yes;Living Areas|Great Room|Yes;Main Cooling|Central Air|Yes;Main Cooling|Ceiling Fans Pre-Wired|Yes;Main Heating|Forced Air|Yes;Patio/Deck|Patio|Yes;RV Parking|None|Yes;Security|Smoke Detector(s)|Yes;Security|Carbon Monoxide Detector(s)|Yes;Subdivision Restrict|Deed Restrictions|Yes;Subdivision Restrict|CC&amp;Rs|Yes;Subdivision Restrict|Age Restrictions|Yes;Dining Areas|Breakfast Bar|Yes;Dining Areas|Dining Area|Yes;Fireplace Location|None|Yes;Garage/Carport Feat|Electric Door Opener|Yes;Garage/Carport Feat|Extended Length|Yes;Lot Features|Subdivided|Yes;Lot Features|East/West Exposure|Yes;Pool|Conventional|No;Special Conditions|Public Report|Yes;View|Residential|Yes;Extra Room|Den|Yes;Landscape - Front|None|Yes;Landscape - Rear|None|Yes;Association &amp; Fees|HOA|Yes;Association &amp; Fees|HOA Payment Frequency|Semi-Annually;Association &amp; Fees|HOA Amt (Monthly)|276;Primary Bathroom Features|Shower Only|Yes;Primary Bathroom Features|Exhaust Fan|Yes;Primary Bathroom Features|Countertops|Quartz;Technology|Pre-Wired Sat Dish|Yes;Technology|Pre-Wired Tele Lines|Yes;Terms|Conventional|Yes;Terms|Cash|Yes;Water|Water Company|Yes;Exterior Features|Front Faces|Southeast;Exterior Features|Other|BBQ Gas Stub;Neighborhood Feature|Pool|Yes;Neighborhood Feature|Walking Trail|Yes;Neighborhood Feature|Pickleball|Yes;Neighborhood Feature|Gated|Yes;Neighborhood Feature|Golf|Yes;Neighborhood Feature|Rec Center|Yes;Neighborhood Feature|Exercise Facilities|Yes;Neighborhood Feature|Putting Green|Yes;Neighborhood Feature|Jogging/Bike Path|Yes;Neighborhood Feature|Tennis Courts|Yes;Property Disclosures|Other|CC&amp;Rs;Accessibility Option|None|Yes;Kitchen Features|Dishwasher|Yes;Kitchen Features|# of Ovens|1;Kitchen Features|Microwave|Yes;Kitchen Features|Gas Cooktop|Yes;Kitchen Features|Appliance Color|Stainless;Kitchen Features|Pantry|Butler;Kitchen Features|Kitchen Island|Yes;Kitchen Features|Disposal|Yes;Submit With Offer|Earnest Check|Yes;Submit With Offer|Other|New Home Contract;Interior Features|Split Bedroom Plan|Yes;Interior Features|High Ceilings|Yes;Interior Features|Walk-In Closet(s)|Yes;Interior Features|Entrance Foyer|Yes;Interior Features|Interior Steps Y/N|N;</t>
  </si>
  <si>
    <t>Additional Bathroom Features|Shower &amp; Tub|Yes;Additional Bathroom Features|Exhaust Fan|Yes;Additional Bathroom Features|Powder Room|Yes;Additional Bathroom Features|Double Vanity|Yes;Assoc Amenities|Maintenance|Yes;Assoc Amenities|Park|Yes;Assoc Fees Includes|Common Area Maint|Yes;Builder/New Constr.|Date Complete|2025-12-31;Builder/New Constr.|Builder Warranty|Lennar;Builder/New Constr.|Builder Name|Lennar;Builder/New Constr.|Site Contact|520-399-7923;Income Property|Current Use|Owner Occupied;Sold Info|Seller Concessions|7,998.94;Window Features|Low-Emissivity Windows|Yes;Road Maintenance|County|Yes;Road Type|Paved|Yes;Showing Service|Showing Service|None;Stories|Two|Yes;Window Covering|Some|Yes;Gas|Natural|Yes;Guest Facilities|None|Yes;Home Protection|Offered|No;Sewer|Connected|Yes;Construction|Frame - Stucco|Yes;Construction|Model Name|Gwen C;Driveway|Paved|Concrete;Electric|Electric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Features|North/South Exposure|Yes;Pool|None|Yes;Pool|Conventional|No;Special Conditions|Public Report|Yes;View|None|Yes;Extra Room|Loft|Yes;Extra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Features|Double Vanity|Yes;Primary Bathroom Features|Exhaust Fan|Yes;Primary Bathroom Features|Shower Only|Yes;Technology|Smart Thermostat|Yes;Terms|FHA|Yes;Terms|Cash|Yes;Terms|Conventional|Yes;Terms|VA|Yes;Water|Other|Spanish Trail Water;Water|Water Company|Yes;Exterior Features|None|Yes;Exterior Features|Front Faces|Northwest;Neighborhood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Y/N|Y;Interior Features|Energy Efficient Lighting|Some;Interior Features|Walk-In Closet(s)|Yes;Interior Features|Entrance Foyer|Yes;</t>
  </si>
  <si>
    <t>Additional Bathroom Features|Shower &amp; Tub|Yes;Additional Bathroom Features|Exhaust Fan|Yes;Additional Bathroom Features|Powder Room|Yes;Additional Bathroom Features|Double Vanity|Yes;Assoc Amenities|Maintenance|Yes;Assoc Amenities|Park|Yes;Assoc Fees Includes|Common Area Maint|Yes;Builder/New Constr.|Date Complete|2026-02-28;Builder/New Constr.|Builder Warranty|Lennar;Builder/New Constr.|Builder Name|Lennar;Builder/New Constr.|Site Contact|520-399-7923;Income Property|Current Use|Owner Occupied;Sold Info|Seller Concessions|9,400;Window Features|Low-Emissivity Windows|Yes;Road Maintenance|County|Yes;Road Type|Paved|Yes;Showing Service|Showing Service|None;Stories|Two|Yes;Window Covering|Some|Yes;Gas|Natural|Yes;Guest Facilities|None|Yes;Home Protection|Offered|No;Sewer|Connected|Yes;Construction|Frame - Stucco|Yes;Construction|Model Name|Poppy C;Driveway|Paved|Concrete;Electric|Electric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Features|North/South Exposure|Yes;Pool|None|Yes;Pool|Conventional|No;Special Conditions|Public Report|Yes;View|None|Yes;Extra Room|Loft|Yes;Extra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Features|Double Vanity|Yes;Primary Bathroom Features|Exhaust Fan|Yes;Primary Bathroom Features|Shower Only|Yes;Technology|Smart Thermostat|Yes;Terms|FHA|Yes;Terms|Cash|Yes;Terms|Conventional|Yes;Terms|VA|Yes;Water|Other|Spanish Trail Water;Water|Water Company|Yes;Exterior Features|None|Yes;Exterior Features|Front Faces|South;Neighborhood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Y/N|Y;Interior Features|Energy Efficient Lighting|Some;Interior Features|Walk-In Closet(s)|Yes;Interior Features|Entrance Foyer|Yes;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</si>
  <si>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Complete|2025-11-13;Builder/New Constr.|Builder Name|Meritage Homes;Builder/New Constr.|New Construction|Yes;Builder/New Constr.|Site Phone|520-686-5755;Builder/New Constr.|Date Framed|2025-08-15;Income Property|Current Use|Owner Occupied;Road Maintenance|City|Yes;Road Type|Paved|Yes;Showing Service|Showing Service|None;Stories|Two|Yes;Window Covering|Some|Yes;Gas|Natural|Yes;Guest Facilities|None|Yes;Home Protection|Offered|No;Sewer|Connected|Yes;Construction|Stucco Finish|Yes;Construction|Model Name|Sapphire;Driveway|Paved|Asphalt;Electric|Electric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Parking|None|Yes;Security|Other|Cameras;Subdivision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Fee|46;Association &amp; Fees|HOA Payment Frequency|Quarterly;Association &amp; Fees|HOA Amt (Monthly)|84.5;Primary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Y/N|Y;</t>
  </si>
  <si>
    <t>Additional Bathroom Features|Shower &amp; Tub|Yes;Additional Bathroom Features|Exhaust Fan|Yes;Additional Bathroom Features|Double Vanity|Yes;Assoc Amenities|Park|Yes;Assoc Amenities|Tennis Courts|Yes;Assoc Amenities|Recreation Room|Yes;Assoc Amenities|Pool|Yes;Assoc Fees Includes|Common Area Maint|Yes;Builder/New Constr.|Date Complete|2025-11-11;Builder/New Constr.|Builder Name|Meritage Homes;Builder/New Constr.|New Construction|Yes;Builder/New Constr.|Site Phone|520-686-5755;Builder/New Constr.|Date Framed|2025-08-15;Income Property|Current Use|Owner Occupied;Sold Info|Seller Concessions|7,500;Road Maintenance|City|Yes;Road Type|Paved|Yes;Showing Service|Showing Service|None;Stories|One|Yes;Window Covering|Some|Yes;Gas|Natural|Yes;Guest Facilities|None|Yes;Home Protection|Offered|No;Sewer|Connected|Yes;Construction|Stucco Finish|Yes;Construction|Model Name|Topaz;Driveway|Paved|Asphalt;Electric|Electric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Parking|None|Yes;Security|Other|Cameras;Subdivision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Fee|46;Association &amp; Fees|HOA Payment Frequency|Monthly;Association &amp; Fees|HOA Amt (Monthly)|70;Primary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Feature|Pool|Yes;Neighborhood Feature|Paved Street|Yes;Neighborhood Feature|Park|Yes;Neighborhood Feature|Sidewalks|Yes;Neighborhood Feature|Tennis Courts|Yes;Neighborhood Feature|Basketball Court|Yes;Neighborhood Feature|Jogging/Bike Path|Yes;Property Disclosures|None|Yes;Accessibility Option|Wide Doorways|Yes;Kitchen Features|Dishwasher|Yes;Kitchen Features|# of Ovens|1;Kitchen Features|Microwave|Yes;Kitchen Features|Gas Oven|Yes;Kitchen Features|Countertops|Granite;Kitchen Features|Appliance Color|Stainless;Kitchen Features|Pantry|Walk-In;Kitchen Features|Kitchen Island|Yes;Kitchen Features|Refrigerator|Yes;Kitchen Features|Disposal|Yes;Submit With Offer|Loan Pre-Qual|Yes;Interior Features|Split Bedroom Plan|Yes;Interior Features|High Ceilings|Yes;Interior Features|Walk-In Closet(s)|Yes;Interior Features|Interior Steps Y/N|N;</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</si>
  <si>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Concessions|16,019;Window Features|Low-Emissivity Windows|Yes;Window Features|Double Pane Windows|Yes;Window Features|ENERGY STAR Qualified Windows|Yes;Road Maintenance|HOA|Yes;Road Type|Paved|Yes;Showing Service|Showing Service|ShowingTime;Stories|One|Yes;Window Covering|None|Yes;Gas|Natural|Yes;Guest Facilities|None|Yes;Home Protection|Plan By|Builder;Sewer|Connected|Yes;Construction|Frame - Stucco|Yes;Construction|Model Name|Copper;Driveway|Paved|Concrete;Electric|Electric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Room|Den|Yes;Landscape - Front|Low Care|Yes;Landscape - Front|Decorative Gravel|Yes;Landscape - Front|Sprinkler/Drip|Yes;Landscape - Front|Shrubs|Yes;Landscape - Front|Desert Plantings|Yes;Landscape - Rear|None|Yes;Association &amp; Fees|HOA|Yes;Association &amp; Fees|HOA Payment Frequency|Quarterly;Association &amp; Fees|HOA Amt (Monthly)|80;Primary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Features|Split Bedroom Plan|Yes;Interior Features|High Ceilings|Yes;Interior Features|Energy Star Qualified|Yes;Interior Features|Walk-In Closet(s)|Yes;Interior Features|Entrance Foyer|Yes;Interior Features|Interior Steps Y/N|N;</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</si>
  <si>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Concessions|25,169;Window Features|Low-Emissivity Windows|Yes;Window Features|Double Pane Windows|Yes;Window Features|ENERGY STAR Qualified Windows|Yes;Road Maintenance|HOA|Yes;Road Type|Paved|Yes;Showing Service|Showing Service|ShowingTime;Stories|One|Yes;Window Covering|None|Yes;Gas|Natural|Yes;Guest Facilities|None|Yes;Home Protection|Plan By|Builder;Sewer|Connected|Yes;Construction|Frame - Stucco|Yes;Construction|Model Name|Copper;Driveway|Paved|Concrete;Electric|Electric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Room|Den|Yes;Landscape - Front|Low Care|Yes;Landscape - Front|Decorative Gravel|Yes;Landscape - Front|Sprinkler/Drip|Yes;Landscape - Front|Shrubs|Yes;Landscape - Front|Desert Plantings|Yes;Landscape - Rear|None|Yes;Association &amp; Fees|HOA|Yes;Association &amp; Fees|HOA Payment Frequency|Quarterly;Association &amp; Fees|HOA Amt (Monthly)|80;Primary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Features|Split Bedroom Plan|Yes;Interior Features|High Ceilings|Yes;Interior Features|Energy Star Qualified|Yes;Interior Features|Walk-In Closet(s)|Yes;Interior Features|Entrance Foyer|Yes;Interior Features|Interior Steps Y/N|N;</t>
  </si>
  <si>
    <t>Additional Bathroom Features|Shower &amp; Tub|Yes;Additional Bathroom Features|Exhaust Fan|Yes;Assoc Amenities|Maintenance|Yes;Assoc Amenities|Park|Yes;Assoc Fees Includes|Common Area Maint|Yes;Builder/New Constr.|Date Complete|2025-12-31;Builder/New Constr.|Builder Warranty|Lennar;Builder/New Constr.|Builder Name|Lennar;Builder/New Constr.|Site Contact|520-399-7923;Income Property|Current Use|Owner Occupied;Sold Info|Seller Concessions|7,000;Window Features|Low-Emissivity Windows|Yes;Road Maintenance|County|Yes;Road Type|Paved|Yes;Showing Service|Showing Service|None;Stories|One|Yes;Window Covering|Some|Yes;Gas|Natural|Yes;Guest Facilities|None|Yes;Home Protection|Offered|No;Sewer|Connected|Yes;Construction|Frame - Stucco|Yes;Construction|Model Name|Dolly B;Driveway|Paved|Concrete;Electric|Electric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</si>
  <si>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Complete|2026-01-30;Builder/New Constr.|Builder Warranty|Lennar;Builder/New Constr.|Builder Name|Lennar;Builder/New Constr.|Site Contact|520-399-7923;Builder/New Constr.|Date Framed|2025-02-28;Income Property|Current Use|Owner Occupied;Sold Info|Seller Concessions|7,954.25;Window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Name|Traverse A;Driveway|Paved|Concrete;Electric|Electric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Garage/Carport|Yes;Garage/Carport Feat|Tandem Garage|Yes;Lot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Faces|Southwest;Neighborhood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</si>
  <si>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Fan|Yes;Assoc Amenities|Maintenance|Yes;Assoc Amenities|Park|Yes;Assoc Fees Includes|Common Area Maint|Yes;Builder/New Constr.|Date Complete|2026-02-28;Builder/New Constr.|Builder Warranty|Lennar;Builder/New Constr.|Builder Name|Lennar;Builder/New Constr.|Site Contact|520-399-7923;Income Property|Current Use|Owner Occupied;Sold Info|Seller Concessions|7,374;Window Features|Low-Emissivity Windows|Yes;Road Maintenance|County|Yes;Road Type|Paved|Yes;Showing Service|Showing Service|None;Stories|One|Yes;Window Covering|Some|Yes;Gas|Natural|Yes;Guest Facilities|None|Yes;Home Protection|Offered|No;Sewer|Connected|Yes;Construction|Frame - Stucco|Yes;Construction|Model Name|Daisy B;Driveway|Paved|Concrete;Electric|Electric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Faces|Southwest;Neighborhood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</si>
  <si>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Fan|Yes;Additional Bathroom Features|Powder Room|Yes;Additional Bathroom Features|Double Vanity|Yes;Assoc Amenities|Maintenance|Yes;Assoc Amenities|Park|Yes;Assoc Fees Includes|Common Area Maint|Yes;Builder/New Constr.|Date Complete|2026-03-31;Builder/New Constr.|Builder Warranty|Lennar;Builder/New Constr.|Builder Name|Lennar;Builder/New Constr.|Site Contact|520-399-7923;Income Property|Current Use|Owner Occupied;Sold Info|Seller Concessions|7,657.34;Window Features|Low-Emissivity Windows|Yes;Road Maintenance|County|Yes;Road Type|Paved|Yes;Showing Service|Showing Service|None;Stories|Two|Yes;Window Covering|Some|Yes;Gas|Natural|Yes;Guest Facilities|None|Yes;Home Protection|Offered|No;Sewer|Connected|Yes;Construction|Frame - Stucco|Yes;Construction|Model Name|Poppy B;Driveway|Paved|Concrete;Electric|Electric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Features|North/South Exposure|Yes;Pool|None|Yes;Pool|Conventional|No;Special Conditions|Public Report|Yes;View|None|Yes;Extra Room|Loft|Yes;Extra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Features|Double Vanity|Yes;Primary Bathroom Features|Exhaust Fan|Yes;Primary Bathroom Features|Shower Only|Yes;Technology|Smart Thermostat|Yes;Terms|FHA|Yes;Terms|Cash|Yes;Terms|Conventional|Yes;Terms|VA|Yes;Water|Other|Spanish Trail Water;Water|Water Company|Yes;Exterior Features|None|Yes;Exterior Features|Front Faces|South;Neighborhood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Y/N|Y;Interior Features|Energy Efficient Lighting|Some;Interior Features|Walk-In Closet(s)|Yes;Interior Features|Entrance Foyer|Yes;</t>
  </si>
  <si>
    <t>Additional Bathroom Features|Shower &amp; Tub|Yes;Additional Bathroom Features|Exhaust Fan|Yes;Assoc Amenities|Park|Yes;Assoc Amenities|Tennis Courts|Yes;Assoc Amenities|Recreation Room|Yes;Assoc Amenities|Pool|Yes;Assoc Fees Includes|Common Area Maint|Yes;Builder/New Constr.|Date Complete|2025-11-25;Builder/New Constr.|Builder Name|Meritage Homes;Builder/New Constr.|New Construction|Yes;Builder/New Constr.|Site Phone|520-686-5755;Builder/New Constr.|Date Framed|2025-08-27;Income Property|Current Use|Owner Occupied;Sold Info|Seller Concessions|9,108.5;Road Maintenance|City|Yes;Road Type|Paved|Yes;Showing Service|Showing Service|None;Stories|One|Yes;Window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Conditions|None|Yes;View|City|Yes;View|Residential|Yes;Extra Room|None|Yes;Landscape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Fee|0;Association &amp; Fees|HOA Payment Frequency|Quarterly;Association &amp; Fees|HOA Amt (Monthly)|241.5;Primary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Feature|Paved Street|Yes;Neighborhood Feature|Walking Trail|Yes;Neighborhood Feature|Sidewalks|Yes;Neighborhood Feature|Jogging/Bike Path|Yes;Property Disclosures|None|Yes;Accessibility Option|Wide Doorways|Yes;Kitchen Features|Dishwasher|Yes;Kitchen Features|# of Ovens|1;Kitchen Features|Countertops|Quartz/Granite;Kitchen Features|Appliance Color|Stainless;Kitchen Features|Pantry|Closet;Kitchen Features|Gas Range|Yes;Kitchen Features|Disposal|Yes;Submit With Offer|Earnest Check|Yes;Interior Features|Interior Steps Y/N|N;Interior Features|Energy Star Qualified|Yes;Interior Features|Walk-In Closet(s)|Yes;</t>
  </si>
  <si>
    <t>Additional Bathroom Features|Shower &amp; Tub|Yes;Additional Bathroom Features|Double Vanity|Yes;Assoc Amenities|Park|Yes;Assoc Amenities|Other|playground;Assoc Fees Includes|Common Area Maint|Yes;Builder/New Constr.|Date Complete|2025-11-30;Builder/New Constr.|Date Framed|2025-01-31;Green Building Verification Type|HERS Index Score|Yes;Income Property|Current Use|Owner Occupied;Sold Info|Seller Concessions|10,000;Window Features|Double Pane Windows|Yes;Road Maintenance|County|Yes;Road Type|Paved|Yes;Showing Service|Showing Service|None;Stories|Two|Yes;Window Covering|Other|Faux wood blinds;Gas|Natural|Yes;Guest Facilities|None|Yes;Home Protection|Offered|Yes;Home Protection|Plan By|RWC;Sewer|Connected|Yes;Construction|Frame - Stucco|Yes;Construction|Model Name|Yorktown;Driveway|Paved|Pavers;Electric|Electric Company|TEP;Fence|Block|Yes;Roof|Tile|Yes;Spa|None|Yes;Style|Contemporary|Yes;Water Heater|Natural Gas|Yes;Fireplace|None|Yes;Floor Covering|Carpet|Yes;Floor Covering|Ceramic Tile|Yes;Laundry|Laundry Room|Yes;Laundry|Washer|Yes;Laundry|Dryer|Yes;Living Areas|Off Kitchen|Yes;Living Areas|Living Room|Yes;Living Areas|Great Room|Yes;Main Cooling|Central Air|Yes;Main Heating|Forced Air|Yes;Patio/Deck|Covered|Yes;Patio/Deck|Patio|Yes;RV Parking|None|Yes;Security|None|Yes;Subdivision Restrict|Deed Restrictions|No;Subdivision Restrict|CC&amp;Rs|Yes;Subdivision Restrict|Age Restrictions|No;Dining Areas|Breakfast Bar|Yes;Dining Areas|Dining Area|Yes;Dining Areas|Breakfast Nook|Yes;Fireplace Location|None|Yes;Garage/Carport Feat|Electric Door Opener|Yes;Garage/Carport Feat|Attached Garage/Carport|Yes;Garage/Carport Feat|Other|rustic metal door;Lot Features|Subdivided|Yes;Pool|Conventional|No;Special Conditions|None|Yes;View|Residential|Yes;Extra Room|Loft|Yes;Landscape - Front|Low Care|Yes;Landscape - Front|Decorative Gravel|Yes;Landscape - Front|Sprinkler/Drip|Yes;Landscape - Front|Shrubs|Yes;Landscape - Front|Desert Plantings|Yes;Landscape - Rear|Other|graded;Association &amp; Fees|HOA|Yes;Association &amp; Fees|HOA Payment Frequency|Quarterly;Association &amp; Fees|HOA Amt (Monthly)|55;Primary Bathroom Features|Double Vanity|Yes;Primary Bathroom Features|Exhaust Fan|Yes;Primary Bathroom Features|Countertops|quartz;Primary Bathroom Features|Shower Only|Yes;Technology|High Speed Internet|Yes;Technology|Pre-Wired Tele Lines|Yes;Terms|FHA|Yes;Terms|Cash|Yes;Terms|Conventional|Yes;Terms|VA|Yes;Water|Water Company|Yes;Exterior Features|Native Plants|Yes;Neighborhood Feature|Athletic Facilities|Yes;Neighborhood Feature|Paved Street|Yes;Neighborhood Feature|Walking Trail|Yes;Neighborhood Feature|Park|Yes;Neighborhood Feature|Sidewalks|Yes;Property Disclosures|None|Yes;Accessibility Option|Door Levers|Yes;Kitchen Features|Exhaust Fan|Yes;Kitchen Features|# of Ovens|1;Kitchen Features|Microwave|Yes;Kitchen Features|Gas Range|Yes;Kitchen Features|Countertops|quartz;Kitchen Features|Appliance Color|Stainless;Kitchen Features|Pantry|Walk-In;Kitchen Features|Kitchen Island|Yes;Kitchen Features|Dishwasher|Yes;Kitchen Features|Refrigerator|Yes;Kitchen Features|Disposal|Yes;Submit With Offer|Earnest Check|Yes;Submit With Offer|Loan Pre-Qual|Yes;Interior Features|Split Bedroom Plan|Yes;Interior Features|High Ceilings|Yes;Interior Features|Walk-In Closet(s)|Yes;Interior Features|Entrance Foyer|Yes;Interior Features|Interior Steps Y/N|Y;</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</si>
  <si>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Complete|2025-12-16;Builder/New Constr.|Builder Name|Meritage Homes;Builder/New Constr.|New Construction|Yes;Builder/New Constr.|Site Phone|520-686-5755;Builder/New Constr.|Date Framed|2025-09-12;Income Property|Current Use|Owner Occupied;Road Maintenance|City|Yes;Road Type|Paved|Yes;Showing Service|Showing Service|None;Stories|One|Yes;Window Covering|Some|Yes;Gas|Natural|Yes;Guest Facilities|None|Yes;Home Protection|Offered|No;Sewer|Connected|Yes;Construction|Stucco Finish|Yes;Construction|Model Name|Garnet;Driveway|Paved|Asphalt;Electric|Electric Company|Tucson Electric;Fence|Block|Yes;Roof|Tile|Yes;Spa|None|Yes;Style|Contemporary|Yes;Water Heater|Tankless Water Heater|Yes;Fireplace|None|Yes;Floor Covering|Carpet|Yes;Floor Covering|Ceramic Tile|Yes;Laundry|Laundry Room|Yes;Living Areas|Great Room|Yes;Main Cooling|Central Air|Yes;Main Heating|Heat Pump|Yes;Patio/Deck|Covered|Yes;RV Parking|None|Yes;Security|Other|Cameras;Subdivision Restrict|Deed Restrictions|Yes;Subdivision Restrict|CC&amp;Rs|Yes;Subdivision Restrict|Age Restrictions|No;Dining Areas|Dining Area|Yes;Fireplace Location|None|Yes;Garage/Carport Feat|Electric Door Opener|Yes;Lot Features|Subdivided|Yes;Pool|None|Yes;Pool|Conventional|No;Special Conditions|None|Yes;View|City|Yes;View|Residential|Yes;Extra Room|None|Yes;Landscape - Front|Desert Plantings|Yes;Landscape - Front|Sprinkler/Drip|Yes;Landscape - Front|Trees|Yes;Landscape - Rear|None|Yes;Association &amp; Fees|HOA|Yes;Association &amp; Fees|Rec Fee|0;Association &amp; Fees|HOA Telephone|520-603-1889;Association &amp; Fees|HOA Name|Rocking K South Mast;Association &amp; Fees|HOA Transfer Fee|125;Association &amp; Fees|HOA Payment Frequency|Monthly;Association &amp; Fees|HOA Amt (Monthly)|84.5;Primary Bathroom Features|Double Vanity|Yes;Primary Bathroom Features|Exhaust Fan|Yes;Primary Bathroom Features|Low Flow Showerhead|Yes;Primary Bathroom Features|Shower Only|Yes;Technology|Cable TV|Yes;Technology|Smart Panel|Yes;Technology|Home Automation|Yes;Technology|High Speed Internet|Yes;Terms|FHA|Yes;Terms|Cash|Yes;Terms|Conventional|Yes;Terms|VA|Yes;Water|Public|Yes;Exterior Features|None|Yes;Neighborhood Feature|Jogging/Bike Path|Yes;Neighborhood Feature|Paved Street|Yes;Neighborhood Feature|Park|Yes;Neighborhood Feature|Sidewalks|Yes;Neighborhood Feature|Basketball Court|Yes;Property Disclosures|None|Yes;Accessibility Option|Wide Doorways|Yes;Kitchen Features|Dishwasher|Yes;Kitchen Features|# of Ovens|1;Kitchen Features|Countertops|Granite;Kitchen Features|Appliance Color|Stainless;Kitchen Features|Pantry|Walk-In;Submit With Offer|Loan Pre-Qual|Yes;Interior Features|Interior Steps Y/N|N;</t>
  </si>
  <si>
    <t>Additional Bathroom Features|Shower &amp; Tub|Yes;Additional Bathroom Features|Exhaust Fan|Yes;Assoc Fees Includes|Common Area Maint|Yes;Builder/New Constr.|Date Complete|2026-02-27;Builder/New Constr.|Builder Warranty|10yr Structural;Builder/New Constr.|Builder License #|B124600;Builder/New Constr.|Builder Name|D.R. Horton, Inc;Builder/New Constr.|New Construction|Yes;Builder/New Constr.|Site Phone|520-214-0226;Builder/New Constr.|Date Framed|2025-11-24;Green Building Verification Type|ENERGY STAR Certified Homes|Yes;Green Building Verification Type|Zero Energy Ready Home|Yes;Green Building Verification Type|HERS Index Score|Yes;Income Property|Current Use|Owner Occupied;Sold Info|Seller Concessions|7,000;Window Features|Low-Emissivity Windows|Yes;Window Features|Double Pane Windows|Yes;Window Features|ENERGY STAR Qualified Windows|Yes;Road Maintenance|County|Yes;Road Type|Paved|Yes;Showing Service|Showing Service|ShowingTime;Stories|One|Yes;Window Covering|None|Yes;Gas|Natural|Yes;Guest Facilities|None|Yes;Home Protection|Plan By|Builder Warranty;Sewer|Connected|Yes;Construction|Frame - Stucco|Yes;Construction|Stucco Finish|Yes;Driveway|Paved|Concrete;Electric|Electric Company|TEP;Fence|Block|Yes;Roof|Tile|Yes;Spa|None|Yes;Style|Contemporary|Yes;Style|Modern|Yes;Style|Ranch|Yes;Water Heater|Tankless Water Heater|Yes;Fireplace|None|Yes;Floor Covering|Carpet|Yes;Floor Covering|Ceramic Tile|Yes;Laundry|Laundry Room|Yes;Living Areas|Great Room|Yes;Main Cooling|Ceiling Fans Pre-Wired|Yes;Main Cooling|SEER Rating|15;Main Cooling|Heat Pump|Yes;Main Heating|Heat Pump|Yes;Patio/Deck|Covered|Yes;Patio/Deck|Patio|Yes;RV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Features|Subdivided|Yes;Lot Features|Corner Lot|Yes;Pool|None|Yes;Pool|Conventional|No;Special Conditions|Public Report|Yes;View|Residential|Yes;Extra Room|None|Yes;Landscape - Front|Low Care|Yes;Landscape - Front|Sprinkler/Drip|Yes;Landscape - Rear|None|Yes;Association &amp; Fees|HOA|Yes;Association &amp; Fees|HOA Website|https://rockingkhoa.com/;Association &amp; Fees|HOA Telephone|1.800.354.0257;Association &amp; Fees|HOA Name|Rocking K South;Association &amp; Fees|HOA Payment Frequency|Quarterly;Association &amp; Fees|HOA Amt (Monthly)|81;Primary Bathroom Features|Double Vanity|Yes;Primary Bathroom Features|Exhaust Fan|Yes;Primary Bathroom Features|Countertops|Solid Surface;Primary Bathroom Features|Shower Only|Yes;Technology|High Speed Internet|Yes;Technology|Smart Thermostat|Yes;Technology|Smart Panel|Yes;Terms|FHA|Yes;Terms|Cash|Yes;Terms|Conventional|Yes;Terms|VA|Yes;Water|Water Company|Yes;Exterior Features|Front Faces|Northwest;Neighborhood Feature|Jogging/Bike Path|Yes;Neighborhood Feature|Sidewalks|Yes;Neighborhood Feature|Pickleball|Yes;Neighborhood Feature|Walking Trail|Yes;Neighborhood Feature|Park|Yes;Neighborhood Feature|Basketball Court|Yes;Property Disclosures|Other|Public Report;Accessibility Option|None|Yes;Kitchen Features|Exhaust Fan|Yes;Kitchen Features|Gas Oven|Yes;Kitchen Features|Dishwasher|Yes;Kitchen Features|Countertops|Quartz;Kitchen Features|Appliance Color|Stainless;Kitchen Features|Pantry|Walk-In;Kitchen Features|Gas Range|Yes;Kitchen Features|Disposal|Yes;Submit With Offer|Earnest Check|Yes;Interior Features|Split Bedroom Plan|Yes;Interior Features|High Ceilings|Yes;Interior Features|Energy Star Qualified|Yes;Interior Features|Walk-In Closet(s)|Yes;Interior Features|Interior Steps Y/N|N;</t>
  </si>
  <si>
    <t>Additional Bathroom Features|Shower &amp; Tub|Yes;Additional Bathroom Features|Powder Room|Yes;Additional Bathroom Features|Double Vanity|Yes;Assoc Amenities|Park|Yes;Assoc Amenities|Other|playground;Assoc Fees Includes|Common Area Maint|Yes;Builder/New Constr.|Date Complete|2025-12-31;Builder/New Constr.|Date Framed|2025-07-25;Green Building Verification Type|HERS Index Score|Yes;Income Property|Current Use|Owner Occupied;Sold Info|Seller Concessions|0;Window Features|Double Pane Windows|Yes;Road Maintenance|County|Yes;Road Type|Paved|Yes;Showing Service|Showing Service|None;Stories|One|Yes;Window Covering|Other|Faux wood blinds;Gas|Natural|Yes;Guest Facilities|None|Yes;Home Protection|Offered|Yes;Home Protection|Plan By|RWC;Sewer|Connected|Yes;Construction|Frame - Stucco|Yes;Construction|Model Name|Cassandra;Driveway|Paved|Pavers;Electric|Electric Company|TEP;Fence|Block|Yes;Roof|Tile|Yes;Spa|None|Yes;Style|Contemporary|Yes;Style|Ranch|Yes;Water Heater|Natural Gas|Yes;Fireplace|None|Yes;Floor Covering|Carpet|Yes;Floor Covering|Ceramic Tile|Yes;Laundry|Laundry Room|Yes;Laundry|Washer|Yes;Laundry|Dryer|Yes;Living Areas|Off Kitchen|Yes;Living Areas|Living Room|Yes;Living Areas|Great Room|Yes;Main Cooling|Central Air|Yes;Main Heating|Forced Air|Yes;Patio/Deck|Covered|Yes;Patio/Deck|Patio|Yes;RV Parking|None|Yes;Security|None|Yes;Subdivision Restrict|Deed Restrictions|No;Subdivision Restrict|CC&amp;Rs|Yes;Subdivision Restrict|Age Restrictions|No;Dining Areas|Breakfast Bar|Yes;Dining Areas|Breakfast Nook|Yes;Fireplace Location|None|Yes;Garage/Carport Feat|Attached Garage/Carport|Yes;Garage/Carport Feat|Other|rustic metal door;Lot Features|Subdivided|Yes;Pool|Conventional|No;Special Conditions|None|Yes;View|Residential|Yes;Extra Room|None|Yes;Landscape - Front|Low Care|Yes;Landscape - Front|Decorative Gravel|Yes;Landscape - Front|Sprinkler/Drip|Yes;Landscape - Front|Shrubs|Yes;Landscape - Front|Desert Plantings|Yes;Landscape - Rear|Other|graded;Association &amp; Fees|HOA|Yes;Association &amp; Fees|HOA Payment Frequency|Quarterly;Association &amp; Fees|HOA Amt (Monthly)|55;Primary Bathroom Features|Double Vanity|Yes;Primary Bathroom Features|Exhaust Fan|Yes;Primary Bathroom Features|Countertops|quartz;Primary Bathroom Features|Shower Only|Yes;Technology|High Speed Internet|Yes;Technology|Pre-Wired Tele Lines|Yes;Terms|FHA|Yes;Terms|Cash|Yes;Terms|Conventional|Yes;Terms|VA|Yes;Water|Water Company|Yes;Exterior Features|Native Plants|Yes;Neighborhood Feature|Athletic Facilities|Yes;Neighborhood Feature|Paved Street|Yes;Neighborhood Feature|Walking Trail|Yes;Neighborhood Feature|Park|Yes;Neighborhood Feature|Sidewalks|Yes;Property Disclosures|None|Yes;Accessibility Option|Door Levers|Yes;Kitchen Features|Exhaust Fan|Yes;Kitchen Features|# of Ovens|1;Kitchen Features|Microwave|Yes;Kitchen Features|Gas Cooktop|Yes;Kitchen Features|Gas Range|Yes;Kitchen Features|Countertops|quartz;Kitchen Features|Appliance Color|Stainless;Kitchen Features|Pantry|Walk-In;Kitchen Features|Kitchen Island|Yes;Kitchen Features|Dishwasher|Yes;Kitchen Features|Refrigerator|Yes;Kitchen Features|Disposal|Yes;Submit With Offer|Earnest Check|Yes;Submit With Offer|Loan Pre-Qual|Yes;Interior Features|Split Bedroom Plan|Yes;Interior Features|High Ceilings|Yes;Interior Features|Walk-In Closet(s)|Yes;Interior Features|Entrance Foyer|Yes;Interior Features|Interior Steps Y/N|N;</t>
  </si>
  <si>
    <t>Additional Bathroom Features|Shower &amp; Tub|Yes;Additional Bathroom Features|Other|Granite Countertops;Additional Bathroom Features|Exhaust Fan|Yes;Assoc Amenities|Maintenance|Yes;Assoc Amenities|Park|Yes;Assoc Fees Includes|Common Area Maint|Yes;Builder/New Constr.|Date Complete|2026-01-30;Builder/New Constr.|Builder Warranty|Lennar;Builder/New Constr.|Builder Name|Lennar;Builder/New Constr.|Site Contact|520-399-7923;Builder/New Constr.|Date Framed|2025-02-28;Income Property|Current Use|Owner Occupied;Sold Info|Seller Concessions|9,411.12;Window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Name|Traverse B;Driveway|Paved|Concrete;Electric|Electric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Garage/Carport|Yes;Garage/Carport Feat|Tandem Garage|Yes;Lot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</si>
  <si>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Complete|2025-12-31;Builder/New Constr.|Builder Warranty|Lennar;Builder/New Constr.|Builder Name|Lennar;Builder/New Constr.|Site Contact|520-399-7923;Income Property|Current Use|Owner Occupied;Sold Info|Seller Concessions|5,000;Window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Name|Wayfarer C;Driveway|Paved|Concrete;Electric|Electric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Room|Loft|Yes;Landscape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</si>
  <si>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Fan|Yes;Assoc Amenities|Park|Yes;Assoc Amenities|Tennis Courts|Yes;Assoc Amenities|Recreation Room|Yes;Assoc Fees Includes|Common Area Maint|Yes;Builder/New Constr.|Date Complete|2025-12-22;Builder/New Constr.|Builder Name|Meritage Homes;Builder/New Constr.|New Construction|Yes;Builder/New Constr.|Site Phone|520-686-5755;Builder/New Constr.|Date Framed|2025-09-17;Income Property|Current Use|Owner Occupied;Sold Info|Seller Concessions|11,474.39;Road Maintenance|City|Yes;Road Type|Paved|Yes;Showing Service|Showing Service|None;Stories|One|Yes;Window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Conditions|None|Yes;View|City|Yes;View|Residential|Yes;Extra Room|None|Yes;Landscape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Fee|125;Association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Feature|Paved Street|Yes;Neighborhood Feature|Walking Trail|Yes;Neighborhood Feature|Sidewalks|Yes;Neighborhood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Features|Pantry|Closet;Kitchen Features|Kitchen Island|Yes;Kitchen Features|Gas Range|Yes;Kitchen Features|Refrigerator|Yes;Kitchen Features|Disposal|Yes;Submit With Offer|Earnest Check|Yes;Interior Features|Interior Steps Y/N|N;Interior Features|Walk-In Closet(s)|Yes;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</si>
  <si>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Complete|2025-12-19;Builder/New Constr.|Builder Name|Meritage Homes;Builder/New Constr.|New Construction|Yes;Builder/New Constr.|Site Phone|520-686-5755;Builder/New Constr.|Date Framed|2025-09-17;Income Property|Current Use|Owner Occupied;Road Maintenance|City|Yes;Road Type|Paved|Yes;Showing Service|Showing Service|None;Stories|Two|Yes;Window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Conditions|None|Yes;View|City|Yes;View|Residential|Yes;Extra Room|Loft|Yes;Landscape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Fee|125;Association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Feature|Paved Street|Yes;Neighborhood Feature|Walking Trail|Yes;Neighborhood Feature|Park|Yes;Neighborhood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Features|Pantry|Closet;Kitchen Features|Kitchen Island|Yes;Kitchen Features|Gas Range|Yes;Kitchen Features|Refrigerator|Yes;Kitchen Features|Disposal|Yes;Submit With Offer|Earnest Check|Yes;Interior Features|Interior Steps Y/N|Y;Interior Features|Primary Downstairs|Yes;</t>
  </si>
  <si>
    <t>Additional Bathroom Features|Shower &amp; Tub|Yes;Additional Bathroom Features|Exhaust Fan|Yes;Additional Bathroom Features|Double Vanity|Yes;Assoc Amenities|Park|Yes;Assoc Amenities|Tennis Courts|Yes;Assoc Amenities|Recreation Room|Yes;Assoc Amenities|Pool|Yes;Assoc Fees Includes|Common Area Maint|Yes;Builder/New Constr.|Date Complete|2025-12-26;Builder/New Constr.|Builder Name|Meritage Homes;Builder/New Constr.|New Construction|Yes;Builder/New Constr.|Site Phone|520-686-5755;Builder/New Constr.|Date Framed|2025-09-23;Income Property|Current Use|Owner Occupied;Sold Info|Seller Concessions|7,597.57;Road Maintenance|City|Yes;Road Type|Paved|Yes;Showing Service|Showing Service|None;Stories|One|Yes;Window Covering|None|Yes;Gas|Natural|Yes;Guest Facilities|None|Yes;Home Protection|Offered|No;Sewer|Connected|Yes;Construction|Stucco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Conditions|None|Yes;View|City|Yes;View|Residential|Yes;Extra Room|None|Yes;Landscape - Front|Desert Plantings|Yes;Landscape - Front|Decorative Gravel|Yes;Landscape - Front|Shrubs|Yes;Landscape - Rear|None|Yes;Association &amp; Fees|HOA|Yes;Association &amp; Fees|Rec Fee|0;Association &amp; Fees|HOA Telephone|(520) 603-1889;Association &amp; Fees|HOA Name|The Rocking K South;Association &amp; Fees|HOA Transfer Fee|0;Association &amp; Fees|HOA Payment Frequency|Quarterly;Association &amp; Fees|HOA Amt (Monthly)|241.5;Primary Bathroom Features|Double Vanity|Yes;Primary Bathroom Features|Exhaust Fan|Yes;Primary Bathroom Features|Shower Only|Yes;Technology|High Speed Internet|Yes;Technology|Smart Panel|Yes;Terms|FHA|Yes;Terms|Cash|Yes;Terms|Conventional|Yes;Terms|VA|Yes;Water|Public|Yes;Exterior Features|None|Yes;Neighborhood Feature|Pool|Yes;Neighborhood Feature|Paved Street|Yes;Neighborhood Feature|Walking Trail|Yes;Neighborhood Feature|Park|Yes;Neighborhood Feature|Tennis Courts|Yes;Neighborhood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Features|Refrigerator|Yes;Kitchen Features|Disposal|Yes;Submit With Offer|Earnest Check|Yes;Interior Features|Interior Steps Y/N|N;Interior Features|Walk-In Closet(s)|Yes;</t>
  </si>
  <si>
    <t>Additional Bathroom Features|Shower &amp; Tub|Yes;Additional Bathroom Features|Exhaust Fan|Yes;Additional Bathroom Features|Double Vanity|Yes;Assoc Amenities|Park|Yes;Assoc Amenities|Tennis Courts|Yes;Assoc Amenities|Recreation Room|Yes;Assoc Amenities|Pool|Yes;Assoc Fees Includes|Common Area Maint|Yes;Builder/New Constr.|Date Complete|2026-01-07;Builder/New Constr.|Builder Name|Meritage Homes;Builder/New Constr.|New Construction|Yes;Builder/New Constr.|Site Phone|520-686-5755;Builder/New Constr.|Date Framed|2025-09-30;Income Property|Current Use|Owner Occupied;Sold Info|Seller Concessions|30,265;Road Maintenance|City|Yes;Road Type|Paved|Yes;Showing Service|Showing Service|None;Stories|One|Yes;Window Covering|None|Yes;Gas|Natural|Yes;Guest Facilities|None|Yes;Home Protection|Offered|No;Sewer|Connected|Yes;Construction|Stucco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Conditions|None|Yes;View|City|Yes;View|Residential|Yes;Extra Room|None|Yes;Landscape - Front|Desert Plantings|Yes;Landscape - Front|Decorative Gravel|Yes;Landscape - Front|Shrubs|Yes;Landscape - Rear|None|Yes;Association &amp; Fees|HOA|Yes;Association &amp; Fees|Rec Fee|0;Association &amp; Fees|HOA Telephone|(520) 603-1889;Association &amp; Fees|HOA Name|The Rocking K South;Association &amp; Fees|HOA Transfer Fee|0;Association &amp; Fees|HOA Payment Frequency|Quarterly;Association &amp; Fees|HOA Amt (Monthly)|84.5;Primary Bathroom Features|Double Vanity|Yes;Primary Bathroom Features|Exhaust Fan|Yes;Primary Bathroom Features|Shower Only|Yes;Technology|High Speed Internet|Yes;Technology|Smart Panel|Yes;Terms|FHA|Yes;Terms|Cash|Yes;Terms|Conventional|Yes;Terms|VA|Yes;Water|Public|Yes;Exterior Features|None|Yes;Neighborhood Feature|Pool|Yes;Neighborhood Feature|Paved Street|Yes;Neighborhood Feature|Walking Trail|Yes;Neighborhood Feature|Park|Yes;Neighborhood Feature|Tennis Courts|Yes;Neighborhood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Features|Refrigerator|Yes;Kitchen Features|Disposal|Yes;Submit With Offer|Earnest Check|Yes;Interior Features|Interior Steps Y/N|N;Interior Features|Walk-In Closet(s)|Yes;</t>
  </si>
  <si>
    <t>Additional Bathroom Features|Shower &amp; Tub|Yes;Additional Bathroom Features|Exhaust Fan|Yes;Additional Bathroom Features|Double Vanity|Yes;Assoc Amenities|Park|Yes;Assoc Amenities|Tennis Courts|Yes;Assoc Amenities|Recreation Room|Yes;Assoc Amenities|Pool|Yes;Assoc Fees Includes|Common Area Maint|Yes;Builder/New Constr.|Date Complete|2025-12-26;Builder/New Constr.|Builder Name|Meritage Homes;Builder/New Constr.|New Construction|Yes;Builder/New Constr.|Site Phone|520-686-5755;Builder/New Constr.|Date Framed|2025-09-23;Income Property|Current Use|Owner Occupied;Sold Info|Seller Concessions|7,595.86;Road Maintenance|City|Yes;Road Type|Paved|Yes;Showing Service|Showing Service|None;Stories|One|Yes;Window Covering|None|Yes;Gas|Natural|Yes;Guest Facilities|None|Yes;Home Protection|Offered|No;Sewer|Connected|Yes;Construction|Stucco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Pump|Yes;Patio/Deck|Patio|Yes;RV Parking|None|Yes;Security|Smoke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Conditions|None|Yes;View|City|Yes;View|Residential|Yes;Extra Room|None|Yes;Landscape - Front|Desert Plantings|Yes;Landscape - Front|Decorative Gravel|Yes;Landscape - Front|Shrubs|Yes;Landscape - Rear|None|Yes;Association &amp; Fees|HOA|Yes;Association &amp; Fees|Rec Fee|0;Association &amp; Fees|HOA Telephone|(520) 603-1889;Association &amp; Fees|HOA Name|The Rocking K South;Association &amp; Fees|HOA Transfer Fee|0;Association &amp; Fees|HOA Payment Frequency|Quarterly;Association &amp; Fees|HOA Amt (Monthly)|241.5;Primary Bathroom Features|Double Vanity|Yes;Primary Bathroom Features|Exhaust Fan|Yes;Primary Bathroom Features|Shower Only|Yes;Technology|High Speed Internet|Yes;Technology|Smart Panel|Yes;Terms|FHA|Yes;Terms|Cash|Yes;Terms|Conventional|Yes;Terms|VA|Yes;Water|Public|Yes;Exterior Features|None|Yes;Neighborhood Feature|Tennis Courts|Yes;Neighborhood Feature|Paved Street|Yes;Neighborhood Feature|Walking Trail|Yes;Neighborhood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Features|Refrigerator|Yes;Kitchen Features|Disposal|Yes;Submit With Offer|Earnest Check|Yes;Interior Features|Interior Steps Y/N|Y;Interior Features|Walk-In Closet(s)|Yes;</t>
  </si>
  <si>
    <t>Additional Bathroom Features|Shower &amp; Tub|Yes;Additional Bathroom Features|Exhaust Fan|Yes;Additional Bathroom Features|Double Vanity|Yes;Assoc Amenities|Park|Yes;Assoc Amenities|Tennis Courts|Yes;Assoc Amenities|Recreation Room|Yes;Assoc Amenities|Pool|Yes;Assoc Fees Includes|Common Area Maint|Yes;Builder/New Constr.|Date Complete|2026-01-08;Builder/New Constr.|Builder Name|Meritage Homes;Builder/New Constr.|New Construction|Yes;Builder/New Constr.|Site Phone|520-686-5755;Builder/New Constr.|Date Framed|2025-09-30;Income Property|Current Use|Owner Occupied;Sold Info|Seller Concessions|11,426.52;Road Maintenance|City|Yes;Road Type|Paved|Yes;Showing Service|Showing Service|None;Stories|One|Yes;Window Covering|None|Yes;Gas|Natural|Yes;Guest Facilities|None|Yes;Home Protection|Offered|No;Sewer|Connected|Yes;Construction|Stucco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Pump|Yes;Patio/Deck|Patio|Yes;RV Parking|None|Yes;Security|Smoke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Conditions|None|Yes;View|City|Yes;View|Residential|Yes;Extra Room|None|Yes;Landscape - Front|Desert Plantings|Yes;Landscape - Front|Decorative Gravel|Yes;Landscape - Front|Shrubs|Yes;Landscape - Rear|None|Yes;Association &amp; Fees|HOA|Yes;Association &amp; Fees|Rec Fee|0;Association &amp; Fees|HOA Telephone|(520) 603-1889;Association &amp; Fees|HOA Name|The Rocking K South;Association &amp; Fees|HOA Transfer Fee|0;Association &amp; Fees|HOA Payment Frequency|Quarterly;Association &amp; Fees|HOA Amt (Monthly)|241.5;Primary Bathroom Features|Double Vanity|Yes;Primary Bathroom Features|Exhaust Fan|Yes;Primary Bathroom Features|Shower Only|Yes;Technology|High Speed Internet|Yes;Technology|Smart Panel|Yes;Terms|FHA|Yes;Terms|Cash|Yes;Terms|Conventional|Yes;Terms|VA|Yes;Water|Public|Yes;Exterior Features|None|Yes;Neighborhood Feature|Tennis Courts|Yes;Neighborhood Feature|Paved Street|Yes;Neighborhood Feature|Walking Trail|Yes;Neighborhood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Features|Refrigerator|Yes;Kitchen Features|Disposal|Yes;Submit With Offer|Earnest Check|Yes;Interior Features|Interior Steps Y/N|Y;Interior Features|Walk-In Closet(s)|Yes;</t>
  </si>
  <si>
    <t>Additional Bathroom Features|Shower &amp; Tub|Yes;Additional Bathroom Features|Exhaust Fan|Yes;Assoc Amenities|Park|Yes;Assoc Amenities|Tennis Courts|Yes;Assoc Amenities|Recreation Room|Yes;Assoc Fees Includes|Common Area Maint|Yes;Builder/New Constr.|Date Complete|2025-12-23;Builder/New Constr.|Builder Name|Meritage Homes;Builder/New Constr.|New Construction|Yes;Builder/New Constr.|Site Phone|520-686-5755;Builder/New Constr.|Date Framed|2025-09-25;Income Property|Current Use|Owner Occupied;Sold Info|Seller Concessions|15,183;Road Maintenance|City|Yes;Road Type|Paved|Yes;Showing Service|Showing Service|None;Stories|One|Yes;Window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Conditions|None|Yes;View|City|Yes;View|Residential|Yes;Extra Room|None|Yes;Landscape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Fee|125;Association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Feature|Sidewalks|Yes;Neighborhood Feature|Walking Trail|Yes;Neighborhood Feature|Park|Yes;Neighborhood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Features|Refrigerator|Yes;Kitchen Features|Disposal|Yes;Submit With Offer|Earnest Check|Yes;Interior Features|Interior Steps Y/N|N;Interior Features|Primary Downstairs|Yes;Interior Features|Walk-In Closet(s)|Yes;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</si>
  <si>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Complete|2025-12-26;Builder/New Constr.|Builder Name|Meritage Homes;Builder/New Constr.|New Construction|Yes;Builder/New Constr.|Site Phone|520-686-5755;Builder/New Constr.|Date Framed|2025-09-25;Income Property|Current Use|Owner Occupied;Road Maintenance|City|Yes;Road Type|Paved|Yes;Showing Service|Showing Service|None;Stories|Two|Yes;Window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Conditions|None|Yes;View|City|Yes;View|Residential|Yes;Extra Room|Loft|Yes;Landscape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Fee|125;Association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Feature|Paved Street|Yes;Neighborhood Feature|Walking Trail|Yes;Neighborhood Feature|Park|Yes;Neighborhood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Features|Pantry|Closet;Kitchen Features|Kitchen Island|Yes;Kitchen Features|Gas Range|Yes;Kitchen Features|Refrigerator|Yes;Kitchen Features|Disposal|Yes;Submit With Offer|Earnest Check|Yes;Interior Features|Interior Steps Y/N|Y;Interior Features|Primary Downstairs|Yes;</t>
  </si>
  <si>
    <t>Additional Bathroom Features|Shower &amp; Tub|Yes;Additional Bathroom Features|Exhaust Fan|Yes;Assoc Amenities|Park|Yes;Assoc Amenities|Pickleball|Yes;Assoc Fees Includes|Common Area Maint|Yes;Builder/New Constr.|Date Complete|2026-01-30;Builder/New Constr.|Builder Warranty|Yes;Builder/New Constr.|Builder Name|Del Webb;Builder/New Constr.|New Construction|Yes;Builder/New Constr.|Site Phone|(520) 837-0276;Builder/New Constr.|Date Framed|2025-09-01;Income Property|Current Use|Owner Occupied;Sold Info|Seller Concessions|22,000;Window Features|Double Pane Windows|Yes;Road Maintenance|County|Yes;Road Type|Paved|Yes;Showing Service|Showing Service|None;Stories|One|Yes;Window Covering|None|Yes;Gas|Natural|Yes;Guest Facilities|None|Yes;Home Protection|Offered|Yes;Home Protection|Plan By|Builder Warranty;Sewer|Connected|Yes;Construction|Frame - Stucco|Yes;Construction|Model Name|Pursuit;Driveway|Paved|Concrete;Electric|Electric Company|TEP;Fence|Block|Yes;Fence|Wrought Iron|Yes;Roof|Tile|Yes;Spa|None|Yes;Style|Ranch|Yes;Style|Southwestern|Yes;Water Heater|Natural Gas|Yes;Fireplace|None|Yes;Floor Covering|Carpet|Yes;Floor Covering|Ceramic Tile|Yes;Laundry|Laundry Room|Yes;Living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Areas|Breakfast Bar|Yes;Dining Areas|Breakfast Nook|Yes;Fireplace Location|None|Yes;Garage/Carport Feat|Electric Door Opener|Yes;Garage/Carport Feat|Attached Garage/Carport|Yes;Lot Features|Subdivided|Yes;Lot Features|Borders Common Area|Yes;Lot Features|East/West Exposure|Yes;Pool|Conventional|No;Special Conditions|Public Report|Yes;View|Sunset|Yes;Extra Room|Den|Yes;Landscape - Front|Low Care|Yes;Landscape - Front|Decorative Gravel|Yes;Landscape - Front|Sprinkler/Drip|Yes;Landscape - Rear|None|Yes;Association &amp; Fees|HOA|Yes;Association &amp; Fees|HOA Telephone|480-921-7500;Association &amp; Fees|HOA Name|Del Webb Rocking K;Association &amp; Fees|HOA Payment Frequency|Monthly;Association &amp; Fees|HOA Amt (Monthly)|305;Primary Bathroom Features|Double Vanity|Yes;Primary Bathroom Features|Exhaust Fan|Yes;Primary Bathroom Features|Shower Only|Yes;Technology|Cable TV|Yes;Technology|Smart Panel|Yes;Technology|Pre-Wired Tele Lines|Yes;Terms|FHA|Yes;Terms|Cash|Yes;Terms|Conventional|Yes;Terms|VA|Yes;Water|Water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Features|Exhaust Fan|Yes;Kitchen Features|Microwave|Yes;Kitchen Features|Dishwasher|Yes;Kitchen Features|Countertops|granite;Kitchen Features|Appliance Color|Stainless;Kitchen Features|Reverse Osmosis|Yes;Kitchen Features|Pantry|Walk-In;Kitchen Features|Kitchen Island|Yes;Kitchen Features|Disposal|Yes;Submit With Offer|Earnest Check|Yes;Interior Features|Split Bedroom Plan|Yes;Interior Features|Walk-In Closet(s)|Yes;Interior Features|Entrance Foyer|Yes;Interior Features|Entertainment Center Built-In|Yes;Interior Features|Ceiling Fan(s)|Yes;Interior Features|Interior Steps Y/N|N;</t>
  </si>
  <si>
    <t>Additional Bathroom Features|Shower &amp; Tub|Yes;Additional Bathroom Features|Exhaust Fan|Yes;Assoc Fees Includes|Common Area Maint|Yes;Builder/New Constr.|Date Complete|2026-04-17;Builder/New Constr.|Builder Warranty|10yr Structural;Builder/New Constr.|Builder Name|D.R. Horton, Inc;Builder/New Constr.|New Construction|Yes;Builder/New Constr.|Site Phone|520-214-0226;Builder/New Constr.|Date Framed|2026-01-16;Green Building Verification Type|ENERGY STAR Certified Homes|Yes;Green Building Verification Type|Zero Energy Ready Home|Yes;Green Building Verification Type|HERS Index Score|Yes;Income Property|Current Use|Owner Occupied;Window Features|Low-Emissivity Windows|Yes;Window Features|Double Pane Windows|Yes;Window Features|ENERGY STAR Qualified Windows|Yes;Road Maintenance|County|Yes;Road Type|Paved|Yes;Showing Service|Showing Service|ShowingTime;Stories|One|Yes;Window Covering|None|Yes;Gas|Natural|Yes;Guest Facilities|None|Yes;Home Protection|Offered|Yes;Home Protection|Plan By|Builder Warranty;Sewer|Connected|Yes;Construction|Frame - Stucco|Yes;Construction|Stucco Finish|Yes;Driveway|Paved|Concrete;Electric|Electric Company|TEP;Fence|Block|Yes;Roof|Tile|Yes;Spa|None|Yes;Style|Contemporary|Yes;Style|Ranch|Yes;Water Heater|Tankless Water Heater|Yes;Fireplace|None|Yes;Floor Covering|Carpet|Yes;Floor Covering|Ceramic Tile|Yes;Laundry|Laundry Room|Yes;Living Areas|Great Room|Yes;Main Cooling|Ceiling Fans Pre-Wired|Yes;Main Cooling|SEER Rating|15;Main Cooling|Heat Pump|Yes;Main Heating|Heat Pump|Yes;Patio/Deck|Covered|Yes;Patio/Deck|Patio|Yes;RV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Features|Subdivided|Yes;Lot Features|Borders Common Area|Yes;Pool|None|Yes;Pool|Conventional|No;Special Conditions|Public Report|Yes;View|Mountain(s)|Yes;Extra Room|None|Yes;Landscape - Front|Low Care|Yes;Landscape - Front|Sprinkler/Drip|Yes;Landscape - Rear|None|Yes;Association &amp; Fees|HOA|Yes;Association &amp; Fees|HOA Website|https://rockingkhoa.com/;Association &amp; Fees|HOA Telephone|1.800.354.0257;Association &amp; Fees|HOA Name|Rocking K South;Association &amp; Fees|HOA Payment Frequency|Quarterly;Association &amp; Fees|HOA Amt (Monthly)|81;Primary Bathroom Features|Double Vanity|Yes;Primary Bathroom Features|Exhaust Fan|Yes;Primary Bathroom Features|Countertops|Solid Surface;Primary Bathroom Features|Shower Only|Yes;Technology|High Speed Internet|Yes;Technology|Smart Thermostat|Yes;Technology|Smart Panel|Yes;Terms|FHA|Yes;Terms|Cash|Yes;Terms|Conventional|Yes;Terms|VA|Yes;Water|Water Company|Yes;Exterior Features|Front Faces|Southwest;Neighborhood Feature|Jogging/Bike Path|Yes;Neighborhood Feature|Sidewalks|Yes;Neighborhood Feature|Pickleball|Yes;Neighborhood Feature|Walking Trail|Yes;Neighborhood Feature|Park|Yes;Neighborhood Feature|Basketball Court|Yes;Property Disclosures|Other|Public Report;Accessibility Option|Door Levers|Yes;Kitchen Features|Exhaust Fan|Yes;Kitchen Features|Gas Oven|Yes;Kitchen Features|Dishwasher|Yes;Kitchen Features|Countertops|Quartz;Kitchen Features|Appliance Color|Stainless;Kitchen Features|Pantry|Walk-In;Kitchen Features|Gas Range|Yes;Kitchen Features|Disposal|Yes;Submit With Offer|Earnest Check|Yes;Interior Features|Split Bedroom Plan|Yes;Interior Features|High Ceilings|Yes;Interior Features|Energy Star Qualified|Yes;Interior Features|Walk-In Closet(s)|Yes;Interior Features|Interior Steps Y/N|N;</t>
  </si>
  <si>
    <t>Additional Bathroom Features|Shower &amp; Tub|Yes;Additional Bathroom Features|Exhaust Fan|Yes;Assoc Fees Includes|Common Area Maint|Yes;Builder/New Constr.|Date Complete|2026-04-17;Builder/New Constr.|Builder Warranty|10yr Structural;Builder/New Constr.|Builder License #|124600-B;Builder/New Constr.|Builder Name|D.R. Horton, Inc;Builder/New Constr.|New Construction|Yes;Builder/New Constr.|Site Phone|520-214-0226;Builder/New Constr.|Date Framed|2026-01-09;Green Building Verification Type|ENERGY STAR Certified Homes|Yes;Income Property|Current Use|Owner Occupied;Window Features|Low-Emissivity Windows|Yes;Window Features|Double Pane Windows|Yes;Window Features|ENERGY STAR Qualified Windows|Yes;Road Maintenance|County|Yes;Road Type|Paved|Yes;Showing Service|Showing Service|ShowingTime;Stories|One|Yes;Window Covering|None|Yes;Gas|Natural|Yes;Guest Facilities|None|Yes;Home Protection|Offered|No;Home Protection|Plan By|Builder;Sewer|Connected|Yes;Construction|Frame - Stucco|Yes;Construction|Stucco Finish|Yes;Driveway|Paved|Concrete;Electric|Electric Company|TEP;Fence|Block|Yes;Roof|Tile|Yes;Spa|None|Yes;Style|Contemporary|Yes;Style|Ranch|Yes;Water Heater|Tankless Water Heater|Yes;Fireplace|None|Yes;Floor Covering|Carpet|Yes;Floor Covering|Ceramic Tile|Yes;Laundry|Laundry Room|Yes;Living Areas|Great Room|Yes;Main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Features|Subdivided|Yes;Pool|None|Yes;Pool|Conventional|No;Special Conditions|Public Report|Yes;View|Residential|Yes;Extra Room|None|Yes;Landscape - Front|Low Care|Yes;Landscape - Front|Sprinkler/Drip|Yes;Landscape - Rear|None|Yes;Association &amp; Fees|HOA|Yes;Association &amp; Fees|HOA Website|https://rockingkhoa.com/;Association &amp; Fees|HOA Telephone|1.800.354.0257;Association &amp; Fees|HOA Name|Rocking K South;Association &amp; Fees|HOA Payment Frequency|Quarterly;Association &amp; Fees|HOA Amt (Monthly)|81;Primary Bathroom Features|Double Vanity|Yes;Primary Bathroom Features|Exhaust Fan|Yes;Primary Bathroom Features|Countertops|Quartz;Primary Bathroom Features|Shower Only|Yes;Technology|High Speed Internet|Yes;Technology|Smart Thermostat|Yes;Technology|Smart Panel|Yes;Terms|Cash|Yes;Water|Water Company|Yes;Exterior Features|Front Faces|West;Neighborhood Feature|Jogging/Bike Path|Yes;Neighborhood Feature|Sidewalks|Yes;Neighborhood Feature|Basketball Court|Yes;Property Disclosures|Other|Public Report;Accessibility Option|None|Yes;Kitchen Features|Exhaust Fan|Yes;Kitchen Features|# of Ovens|1;Kitchen Features|Gas Oven|Yes;Kitchen Features|Gas Hookup Available|Yes;Kitchen Features|Dishwasher|Yes;Kitchen Features|Countertops|Quartz;Kitchen Features|Appliance Color|Stainless;Kitchen Features|Reverse Osmosis|Yes;Kitchen Features|Pantry|Walk-In;Kitchen Features|Gas Range|Yes;Kitchen Features|Disposal|Yes;Submit With Offer|Earnest Check|Yes;Interior Features|Split Bedroom Plan|Yes;Interior Features|High Ceilings|Yes;Interior Features|Energy Star Qualified|Yes;Interior Features|Walk-In Closet(s)|Yes;Interior Features|Interior Steps Y/N|N;</t>
  </si>
  <si>
    <t>Additional Bathroom Features|Shower &amp; Tub|Yes;Additional Bathroom Features|Exhaust Fan|Yes;Assoc Amenities|Clubhouse|Yes;Assoc Amenities|Pickleball|Yes;Assoc Amenities|Recreation Room|Yes;Assoc Amenities|Pool|Yes;Assoc Amenities|Park|Yes;Assoc Fees Includes|Common Area Maint|Yes;Builder/New Constr.|Site Phone|(520) 447-4454;Builder/New Constr.|Builder Warranty|Yes;Builder/New Constr.|Builder Name|Del Webb;Builder/New Constr.|New Construction|Yes;Income Property|Current Use|Owner Occupied;Sold Info|Seller Concessions|0;Window Features|Double Pane Windows|Yes;Road Maintenance|County|Yes;Road Type|Paved|Yes;Showing Service|Showing Service|None;Stories|One|Yes;Window Covering|None|Yes;Gas|Natural|Yes;Guest Facilities|None|Yes;Home Protection|Offered|Yes;Home Protection|Plan By|Builder Warranty;Sewer|Connected|Yes;Construction|Frame - Stucco|Yes;Construction|Model Name|Pursuit;Driveway|Paved|Concrete;Electric|Electric Company|TEP;Fence|Block|Yes;Roof|Tile|Yes;Spa|None|Yes;Style|Ranch|Yes;Style|Southwestern|Yes;Water Heater|Natural Gas|Yes;Fireplace|None|Yes;Floor Covering|Carpet|Yes;Floor Covering|Ceramic Tile|Yes;Laundry|Laundry Room|Yes;Living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Areas|Breakfast Bar|Yes;Dining Areas|Dining Area|Yes;Dining Areas|Great Room|Yes;Fireplace Location|None|Yes;Garage/Carport Feat|Electric Door Opener|Yes;Garage/Carport Feat|Attached Garage/Carport|Yes;Lot Features|Subdivided|Yes;Lot Features|Adjacent to Wash|Yes;Lot Features|East/West Exposure|Yes;Lot Features|Corner Lot|Yes;Lot Features|Borders Common Area|Yes;Pool|Conventional|No;Special Conditions|Public Report|Yes;View|Mountain(s)|Yes;Extra Room|None|Yes;Landscape - Front|Low Care|Yes;Landscape - Front|Decorative Gravel|Yes;Landscape - Front|Trees|Yes;Landscape - Front|Sprinkler/Drip|Yes;Landscape - Front|Shrubs|Yes;Landscape - Front|Desert Plantings|Yes;Landscape - Rear|None|Yes;Association &amp; Fees|HOA|Yes;Association &amp; Fees|HOA Telephone|480-921-7500;Association &amp; Fees|HOA Name|Del Webb Rocking K;Association &amp; Fees|HOA Payment Frequency|Monthly;Association &amp; Fees|HOA Amt (Monthly)|305;Primary Bathroom Features|Double Vanity|Yes;Primary Bathroom Features|Exhaust Fan|Yes;Primary Bathroom Features|Shower &amp; Tub|Yes;Technology|Cable TV|Yes;Technology|Smart Panel|Yes;Terms|FHA|Yes;Terms|Cash|Yes;Terms|Conventional|Yes;Terms|VA|Yes;Water|Water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Feature|Athletic Facilities|Yes;Neighborhood Feature|Jogging/Bike Path|Yes;Neighborhood Feature|Lighted|Yes;Neighborhood Feature|Exercise Facilities|Yes;Property Disclosures|None|Yes;Accessibility Option|None|Yes;Kitchen Features|Exhaust Fan|Yes;Kitchen Features|Electric Oven|Yes;Kitchen Features|Microwave|Yes;Kitchen Features|Dishwasher|Yes;Kitchen Features|Countertops|Granite;Kitchen Features|Appliance Color|Stainless;Kitchen Features|Pantry|Walk-In;Kitchen Features|Kitchen Island|Yes;Kitchen Features|Electric Range|Yes;Kitchen Features|Refrigerator|Yes;Kitchen Features|Disposal|Yes;Submit With Offer|Earnest Check|Yes;Interior Features|Split Bedroom Plan|Yes;Interior Features|Walk-In Closet(s)|Yes;Interior Features|Entrance Foyer|Yes;Interior Features|Ceiling Fan(s)|Yes;Interior Features|Interior Steps Y/N|N;</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</si>
  <si>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Concessions|22,001;Window Features|Low-Emissivity Windows|Yes;Window Features|Double Pane Windows|Yes;Window Features|ENERGY STAR Qualified Windows|Yes;Road Maintenance|HOA|Yes;Road Type|Paved|Yes;Showing Service|Showing Service|ShowingTime;Stories|One|Yes;Window Covering|None|Yes;Gas|Natural|Yes;Guest Facilities|None|Yes;Home Protection|Plan By|Builder;Sewer|Connected|Yes;Construction|Frame - Stucco|Yes;Construction|Model Name|Copper;Driveway|Paved|Concrete;Electric|Electric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Room|Den|Yes;Landscape - Front|Low Care|Yes;Landscape - Front|Decorative Gravel|Yes;Landscape - Front|Sprinkler/Drip|Yes;Landscape - Front|Shrubs|Yes;Landscape - Front|Desert Plantings|Yes;Landscape - Rear|None|Yes;Association &amp; Fees|HOA|Yes;Association &amp; Fees|HOA Payment Frequency|Quarterly;Association &amp; Fees|HOA Amt (Monthly)|80;Primary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Features|Split Bedroom Plan|Yes;Interior Features|High Ceilings|Yes;Interior Features|Energy Star Qualified|Yes;Interior Features|Walk-In Closet(s)|Yes;Interior Features|Entrance Foyer|Yes;Interior Features|Interior Steps Y/N|N;</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</si>
  <si>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Concessions|15,150;Window Features|Low-Emissivity Windows|Yes;Window Features|Double Pane Windows|Yes;Window Features|ENERGY STAR Qualified Windows|Yes;Road Maintenance|HOA|Yes;Road Type|Paved|Yes;Showing Service|Showing Service|ShowingTime;Stories|One|Yes;Window Covering|None|Yes;Gas|Natural|Yes;Guest Facilities|None|Yes;Home Protection|Plan By|Builder;Sewer|Connected|Yes;Construction|Frame - Stucco|Yes;Construction|Model Name|Brandy;Driveway|Paved|Concrete;Electric|Electric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Room|None|Yes;Landscape - Front|Low Care|Yes;Landscape - Front|Decorative Gravel|Yes;Landscape - Front|Sprinkler/Drip|Yes;Landscape - Front|Shrubs|Yes;Landscape - Front|Desert Plantings|Yes;Landscape - Rear|None|Yes;Association &amp; Fees|HOA|Yes;Association &amp; Fees|HOA Payment Frequency|Quarterly;Association &amp; Fees|HOA Amt (Monthly)|80;Primary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Y/N|N;Interior Features|High Ceilings|Yes;Interior Features|Energy Star Qualified|Yes;Interior Features|Walk-In Closet(s)|Yes;Interior Features|Entrance Foyer|Yes;</t>
  </si>
  <si>
    <t>Additional Bathroom Features|Shower &amp; Tub|Yes;Additional Bathroom Features|Exhaust Fan|Yes;Additional Bathroom Features|Powder Room|Yes;Additional Bathroom Features|Double Vanity|Yes;Assoc Amenities|Maintenance|Yes;Assoc Amenities|Park|Yes;Assoc Fees Includes|Common Area Maint|Yes;Builder/New Constr.|Date Complete|2026-05-30;Builder/New Constr.|Builder Warranty|Lennar;Builder/New Constr.|Builder Name|Lennar;Builder/New Constr.|Site Contact|520-399-7923;Income Property|Current Use|Owner Occupied;Window Features|Low-Emissivity Windows|Yes;Road Maintenance|County|Yes;Road Type|Paved|Yes;Showing Service|Showing Service|None;Stories|Two|Yes;Window Covering|Some|Yes;Gas|Natural|Yes;Guest Facilities|None|Yes;Home Protection|Offered|No;Sewer|Connected|Yes;Construction|Frame - Stucco|Yes;Construction|Model Name|Poppy C;Driveway|Paved|Concrete;Electric|Electric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Room|Loft|Yes;Extra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Features|Double Vanity|Yes;Primary Bathroom Features|Exhaust Fan|Yes;Primary Bathroom Features|Shower Only|Yes;Technology|Smart Thermostat|Yes;Terms|FHA|Yes;Terms|Cash|Yes;Terms|Conventional|Yes;Terms|VA|Yes;Water|Other|Spanish Trail Water;Water|Water Company|Yes;Exterior Features|None|Yes;Exterior Features|Front Faces|Southwest;Neighborhood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Y/N|Y;Interior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</si>
  <si>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Complete|2026-05-30;Builder/New Constr.|Builder Warranty|Lennar;Builder/New Constr.|Builder Name|Lennar;Builder/New Constr.|Site Contact|520-399-7923;Income Property|Current Use|Owner Occupied;Sold Info|Seller Concessions|7,500;Window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Name|Newlin A;Driveway|Paved|Concrete;Electric|Electric Company|Trico Electric;Fence|View Fence|Yes;Roof|Shingle|Yes;Spa|None|Yes;Style|Contemporary|Yes;Water Heater|Tankless Water Heater|Yes;Water Heater|Natural Gas|Yes;Fireplace|None|Yes;Floor Covering|Carpet|Yes;Floor Covering|Ceramic Tile|Yes;Laundry|Gas Dryer Hookup|Yes;Laundry|Electric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Areas|Breakfast Nook|Yes;Fireplace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Name|CCMC;Association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Thermostat|Yes;Terms|FHA|Yes;Terms|Cash|Yes;Terms|Conventional|Yes;Terms|VA|Yes;Water|Public|Yes;Exterior Features|None|Yes;Exterior Features|Front Faces|Southeast;Neighborhood Feature|Paved Street|Yes;Neighborhood Feature|Walking Trail|Yes;Neighborhood Feature|Park|Yes;Property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</si>
  <si>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Complete|2026-02-28;Builder/New Constr.|Builder Warranty|Lennar;Builder/New Constr.|Builder Name|Lennar;Builder/New Constr.|Site Contact|520-399-7923;Builder/New Constr.|Date Framed|2025-02-28;Income Property|Current Use|Owner Occupied;Sold Info|Seller Concessions|6,742;Window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Name|Traverse A;Driveway|Paved|Concrete;Electric|Electric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Garage/Carport|Yes;Garage/Carport Feat|Tandem Garage|Yes;Lot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</si>
  <si>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Fan|Yes;Assoc Amenities|Maintenance|Yes;Assoc Amenities|Park|Yes;Assoc Fees Includes|Common Area Maint|Yes;Builder/New Constr.|Date Complete|2026-02-03;Builder/New Constr.|Builder Warranty|Lennar;Builder/New Constr.|Builder Name|Lennar;Builder/New Constr.|Site Contact|520-399-7923;Income Property|Current Use|Owner Occupied;Sold Info|Seller Concessions|7,721.28;Window Features|Low-Emissivity Windows|Yes;Road Maintenance|County|Yes;Road Type|Paved|Yes;Showing Service|Showing Service|None;Stories|One|Yes;Window Covering|Some|Yes;Gas|Natural|Yes;Guest Facilities|None|Yes;Home Protection|Offered|No;Sewer|Connected|Yes;Construction|Frame - Stucco|Yes;Construction|Model Name|Dolly C;Driveway|Paved|Concrete;Electric|Electric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Faces|Southwest;Neighborhood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</si>
  <si>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Complete|2026-01-13;Builder/New Constr.|Builder Name|Meritage Homes;Builder/New Constr.|New Construction|Yes;Builder/New Constr.|Site Phone|520-686-5755;Builder/New Constr.|Date Framed|2025-10-10;Income Property|Current Use|Owner Occupied;Road Maintenance|City|Yes;Road Type|Paved|Yes;Showing Service|Showing Service|None;Stories|Two|Yes;Window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Room|Loft|Yes;Landscape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Fee|125;Association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Feature|Paved Street|Yes;Neighborhood Feature|Walking Trail|Yes;Neighborhood Feature|Park|Yes;Neighborhood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Features|Pantry|Closet;Kitchen Features|Kitchen Island|Yes;Kitchen Features|Gas Range|Yes;Kitchen Features|Refrigerator|Yes;Kitchen Features|Disposal|Yes;Submit With Offer|Earnest Check|Yes;Interior Features|Interior Steps Y/N|Y;Interior Features|Primary Downstairs|Yes;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</si>
  <si>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Complete|2026-01-13;Builder/New Constr.|Builder Name|Meritage Homes;Builder/New Constr.|New Construction|Yes;Builder/New Constr.|Site Phone|520-686-5755;Builder/New Constr.|Date Framed|2025-10-10;Income Property|Current Use|Owner Occupied;Road Maintenance|City|Yes;Road Type|Paved|Yes;Showing Service|Showing Service|None;Stories|Two|Yes;Window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Room|Loft|Yes;Landscape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Fee|0;Association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Feature|Paved Street|Yes;Neighborhood Feature|Walking Trail|Yes;Neighborhood Feature|Park|Yes;Neighborhood Feature|Sidewalks|Yes;Neighborhood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Features|Refrigerator|Yes;Submit With Offer|Earnest Check|Yes;Interior Features|Interior Steps Y/N|Y;Interior Features|Walk-In Closet(s)|Yes;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</si>
  <si>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Complete|2026-01-29;Builder/New Constr.|Builder Name|Meritage Homes;Builder/New Constr.|New Construction|Yes;Builder/New Constr.|Site Phone|520-686-5755;Builder/New Constr.|Date Framed|2025-10-22;Income Property|Current Use|Owner Occupied;Sold Info|Seller Concessions|10,480;Road Maintenance|City|Yes;Road Type|Paved|Yes;Showing Service|Showing Service|None;Stories|One|Yes;Window Covering|None|Yes;Gas|Natural|Yes;Guest Facilities|None|Yes;Home Protection|Offered|No;Sewer|Connected|Yes;Construction|Stucco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Room|None|Yes;Landscape - Front|Desert Plantings|Yes;Landscape - Front|Decorative Gravel|Yes;Landscape - Front|Shrubs|Yes;Landscape - Rear|None|Yes;Association &amp; Fees|HOA|Yes;Association &amp; Fees|Rec Fee|0;Association &amp; Fees|HOA Telephone|(520) 603-1889;Association &amp; Fees|HOA Name|The Rocking K South;Association &amp; Fees|HOA Transfer Fee|0;Association &amp; Fees|HOA Payment Frequency|Quarterly;Association &amp; Fees|HOA Amt (Monthly)|84.5;Primary Bathroom Features|Double Vanity|Yes;Primary Bathroom Features|Exhaust Fan|Yes;Primary Bathroom Features|Shower Only|Yes;Technology|High Speed Internet|Yes;Technology|Smart Panel|Yes;Terms|FHA|Yes;Terms|Cash|Yes;Terms|Conventional|Yes;Terms|VA|Yes;Water|Public|Yes;Exterior Features|None|Yes;Neighborhood Feature|Tennis Courts|Yes;Neighborhood Feature|Paved Street|Yes;Neighborhood Feature|Walking Trail|Yes;Neighborhood Feature|Park|Yes;Neighborhood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Features|Refrigerator|Yes;Kitchen Features|Disposal|Yes;Submit With Offer|Earnest Check|Yes;Interior Features|Interior Steps Y/N|N;Interior Features|Walk-In Closet(s)|Yes;</t>
  </si>
  <si>
    <t>Additional Bathroom Features|Shower &amp; Tub|Yes;Additional Bathroom Features|Exhaust Fan|Yes;Assoc Amenities|Maintenance|Yes;Assoc Amenities|Park|Yes;Assoc Fees Includes|Common Area Maint|Yes;Builder/New Constr.|Date Complete|2026-03-31;Builder/New Constr.|Builder Warranty|Lennar;Builder/New Constr.|Builder Name|Lennar;Builder/New Constr.|Site Contact|520-399-7923;Income Property|Current Use|Owner Occupied;Sold Info|Seller Concessions|8,193.97;Window Features|Low-Emissivity Windows|Yes;Road Maintenance|County|Yes;Road Type|Paved|Yes;Showing Service|Showing Service|None;Stories|One|Yes;Window Covering|Some|Yes;Gas|Natural|Yes;Guest Facilities|None|Yes;Home Protection|Offered|No;Sewer|Connected|Yes;Construction|Frame - Stucco|Yes;Construction|Model Name|Daisy C;Driveway|Paved|Concrete;Electric|Electric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</si>
  <si>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Complete|2026-03-31;Builder/New Constr.|Builder Warranty|Lennar;Builder/New Constr.|Builder Name|Lennar;Builder/New Constr.|Site Contact|520-399-7923;Income Property|Current Use|Owner Occupied;Sold Info|Seller Concessions|7,000;Window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Name|Odyssey C;Driveway|Paved|Concrete;Electric|Electric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Garage/Carport|Yes;Garage/Carport Feat|Tandem Garage|Yes;Lot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</si>
  <si>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Complete|2026-02-28;Builder/New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Name|Odyssey B;Driveway|Paved|Concrete;Electric|Electric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Garage/Carport|Yes;Garage/Carport Feat|Tandem Garage|Yes;Lot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</si>
  <si>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Fan|Yes;Assoc Fees Includes|Common Area Maint|Yes;Builder/New Constr.|Date Complete|2025-08-29;Builder/New Constr.|Builder Warranty|10yr Structural;Builder/New Constr.|Builder Name|D.R. Horton, Inc;Builder/New Constr.|New Construction|Yes;Builder/New Constr.|Site Phone|520-214-0226;Builder/New Constr.|Date Framed|2025-05-09;Green Building Verification Type|ENERGY STAR Certified Homes|Yes;Green Building Verification Type|Zero Energy Ready Home|Yes;Green Building Verification Type|HERS Index Score|Yes;Income Property|Current Use|Owner Occupied;Window Features|Low-Emissivity Windows|Yes;Window Features|Double Pane Windows|Yes;Window Features|ENERGY STAR Qualified Windows|Yes;Road Maintenance|County|Yes;Road Type|Paved|Yes;Showing Service|Showing Service|ShowingTime;Stories|Two|Yes;Window Covering|None|Yes;Gas|Natural|Yes;Guest Facilities|None|Yes;Home Protection|Offered|No;Home Protection|Plan By|Builder;Sewer|Connected|Yes;Construction|Frame - Stucco|Yes;Construction|Stucco Finish|Yes;Driveway|Paved|Concrete;Electric|Electric Company|TEP;Fence|Block|Yes;Roof|Tile|Yes;Spa|None|Yes;Style|Contemporary|Yes;Water Heater|Tankless Water Heater|Yes;Fireplace|None|Yes;Floor Covering|Carpet|Yes;Floor Covering|Ceramic Tile|Yes;Laundry|Laundry Room|Yes;Living Areas|Great Room|Yes;Main Cooling|Ceiling Fans Pre-Wired|Yes;Main Cooling|SEER Rating|15;Main Cooling|Heat Pump|Yes;Main Heating|Heat Pump|Yes;Patio/Deck|Covered|Yes;Patio/Deck|Patio|Yes;RV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Feat|Electric Door Opener|Yes;Garage/Carport Feat|Attached Garage/Carport|Yes;Lot Features|Subdivided|Yes;Lot Features|Borders Common Area|Yes;Pool|None|Yes;Pool|Conventional|No;Special Conditions|Public Report|Yes;View|Mountain(s)|Yes;Extra Room|Loft|Yes;Extra Room|None|Yes;Landscape - Front|Low Care|Yes;Landscape - Front|Sprinkler/Drip|Yes;Landscape - Rear|None|Yes;Association &amp; Fees|HOA|Yes;Association &amp; Fees|HOA Website|https://rockingkhoa.com/;Association &amp; Fees|HOA Telephone|1.800.354.0257;Association &amp; Fees|HOA Name|Rocking K South;Association &amp; Fees|HOA Payment Frequency|Quarterly;Association &amp; Fees|HOA Amt (Monthly)|81;Primary Bathroom Features|Double Vanity|Yes;Primary Bathroom Features|Exhaust Fan|Yes;Primary Bathroom Features|Countertops|Solid Surface;Primary Bathroom Features|Shower Only|Yes;Technology|High Speed Internet|Yes;Technology|Smart Thermostat|Yes;Technology|Smart Panel|Yes;Terms|FHA|Yes;Terms|Cash|Yes;Terms|Conventional|Yes;Terms|VA|Yes;Water|Water Company|Yes;Exterior Features|Front Faces|North;Neighborhood Feature|Jogging/Bike Path|Yes;Neighborhood Feature|Sidewalks|Yes;Neighborhood Feature|Walking Trail|Yes;Neighborhood Feature|Park|Yes;Neighborhood Feature|Basketball Court|Yes;Property Disclosures|Other|Public Report;Accessibility Option|Door Levers|Yes;Kitchen Features|Exhaust Fan|Yes;Kitchen Features|Gas Oven|Yes;Kitchen Features|Microwave|Yes;Kitchen Features|Dishwasher|Yes;Kitchen Features|Countertops|Quartz;Kitchen Features|Appliance Color|Stainless;Kitchen Features|Pantry|Walk-In;Kitchen Features|Kitchen Island|Yes;Kitchen Features|Gas Range|Yes;Kitchen Features|Disposal|Yes;Submit With Offer|Earnest Check|Yes;Interior Features|Interior Steps Y/N|Y;Interior Features|Energy Star Qualified|Yes;Interior Features|Walk-In Closet(s)|Yes;</t>
  </si>
  <si>
    <t>Additional Bathroom Features|Shower &amp; Tub|Yes;Additional Bathroom Features|Exhaust Fan|Yes;Assoc Amenities|Maintenance|Yes;Assoc Amenities|Park|Yes;Assoc Fees Includes|Common Area Maint|Yes;Builder/New Constr.|Date Complete|2026-04-30;Builder/New Constr.|Builder Warranty|Lennar;Builder/New Constr.|Builder Name|Lennar;Builder/New Constr.|Site Contact|520-399-7923;Income Property|Current Use|Owner Occupied;Window Features|Low-Emissivity Windows|Yes;Road Maintenance|County|Yes;Road Type|Paved|Yes;Showing Service|Showing Service|None;Stories|One|Yes;Window Covering|Some|Yes;Gas|Natural|Yes;Guest Facilities|None|Yes;Home Protection|Offered|No;Sewer|Connected|Yes;Construction|Frame - Stucco|Yes;Construction|Model Name|Dolly A;Driveway|Paved|Concrete;Electric|Electric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</si>
  <si>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Fan|Yes;Additional Bathroom Features|Powder Room|Yes;Additional Bathroom Features|Double Vanity|Yes;Assoc Amenities|Maintenance|Yes;Assoc Amenities|Park|Yes;Assoc Fees Includes|Common Area Maint|Yes;Builder/New Constr.|Date Complete|2026-06-30;Builder/New Constr.|Builder Warranty|Lennar;Builder/New Constr.|Builder Name|Lennar;Builder/New Constr.|Site Contact|520-399-7923;Income Property|Current Use|Owner Occupied;Sold Info|Seller Concessions|5,000;Window Features|Low-Emissivity Windows|Yes;Road Maintenance|County|Yes;Road Type|Paved|Yes;Showing Service|Showing Service|None;Stories|Two|Yes;Window Covering|Some|Yes;Gas|Natural|Yes;Guest Facilities|None|Yes;Home Protection|Offered|No;Sewer|Connected|Yes;Construction|Frame - Stucco|Yes;Construction|Model Name|Poppy A;Driveway|Paved|Concrete;Electric|Electric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Room|Loft|Yes;Extra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Features|Double Vanity|Yes;Primary Bathroom Features|Exhaust Fan|Yes;Primary Bathroom Features|Shower Only|Yes;Technology|Smart Thermostat|Yes;Terms|FHA|Yes;Terms|Cash|Yes;Terms|Conventional|Yes;Terms|VA|Yes;Water|Other|Spanish Trail Water;Water|Water Company|Yes;Exterior Features|None|Yes;Exterior Features|Front Faces|Southwest;Neighborhood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Y/N|Y;Interior Features|Energy Efficient Lighting|Some;Interior Features|Walk-In Closet(s)|Yes;Interior Features|Entrance Foyer|Yes;</t>
  </si>
  <si>
    <t>Additional Bathroom Features|Shower &amp; Tub|Yes;Additional Bathroom Features|Exhaust Fan|Yes;Assoc Amenities|Park|Yes;Assoc Amenities|Tennis Courts|Yes;Assoc Amenities|Recreation Room|Yes;Assoc Fees Includes|Common Area Maint|Yes;Builder/New Constr.|Date Complete|2026-01-29;Builder/New Constr.|Builder Name|Meritage Homes;Builder/New Constr.|New Construction|Yes;Builder/New Constr.|Site Phone|520-686-5755;Builder/New Constr.|Date Framed|2025-10-29;Income Property|Current Use|Owner Occupied;Sold Info|Seller Concessions|22,644.391;Road Maintenance|City|Yes;Road Type|Paved|Yes;Showing Service|Showing Service|None;Stories|One|Yes;Window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Room|None|Yes;Landscape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Fee|125;Association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Feature|Paved Street|Yes;Neighborhood Feature|Walking Trail|Yes;Neighborhood Feature|Sidewalks|Yes;Neighborhood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Features|Pantry|Closet;Kitchen Features|Kitchen Island|Yes;Kitchen Features|Gas Range|Yes;Kitchen Features|Refrigerator|Yes;Kitchen Features|Disposal|Yes;Submit With Offer|Earnest Check|Yes;Interior Features|Interior Steps Y/N|N;Interior Features|Walk-In Closet(s)|Yes;</t>
  </si>
  <si>
    <t>Additional Bathroom Features|Shower &amp; Tub|Yes;Additional Bathroom Features|Double Vanity|Yes;Assoc Amenities|Park|Yes;Assoc Amenities|Other|playground;Assoc Fees Includes|Common Area Maint|Yes;Builder/New Constr.|Date Complete|2025-08-30;Builder/New Constr.|Date Framed|2025-04-18;Green Building Verification Type|HERS Index Score|Yes;Income Property|Current Use|Owner Occupied;Sold Info|Seller Concessions|10,000;Window Features|Double Pane Windows|Yes;Road Maintenance|County|Yes;Road Type|Paved|Yes;Showing Service|Showing Service|None;Stories|One|Yes;Window Covering|None|Yes;Gas|Natural|Yes;Guest Facilities|None|Yes;Home Protection|Offered|Yes;Home Protection|Plan By|RWC;Sewer|Connected|Yes;Construction|Frame - Stucco|Yes;Construction|Model Name|Raleigh;Driveway|Paved|Pavers;Electric|Electric Company|TEP;Fence|Block|Yes;Roof|Tile|Yes;Spa|None|Yes;Style|Contemporary|Yes;Style|Ranch|Yes;Water Heater|Natural Gas|Yes;Fireplace|None|Yes;Floor Covering|Carpet|Yes;Floor Covering|Ceramic Tile|Yes;Laundry|Laundry Room|Yes;Living Areas|Off Kitchen|Yes;Living Areas|Living Room|Yes;Living Areas|Great Room|Yes;Main Cooling|Central Air|Yes;Main Heating|Forced Air|Yes;Patio/Deck|Covered|Yes;Patio/Deck|Patio|Yes;RV Parking|None|Yes;Security|None|Yes;Subdivision Restrict|Deed Restrictions|No;Subdivision Restrict|CC&amp;Rs|Yes;Subdivision Restrict|Age Restrictions|No;Dining Areas|Breakfast Bar|Yes;Dining Areas|Breakfast Nook|Yes;Fireplace Location|None|Yes;Garage/Carport Feat|Attached Garage/Carport|Yes;Garage/Carport Feat|Other|rustic metal door;Lot Features|Subdivided|Yes;Pool|Conventional|No;Special Conditions|None|Yes;View|Residential|Yes;Extra Room|None|Yes;Landscape - Front|Low Care|Yes;Landscape - Front|Decorative Gravel|Yes;Landscape - Front|Sprinkler/Drip|Yes;Landscape - Front|Shrubs|Yes;Landscape - Front|Desert Plantings|Yes;Landscape - Rear|Other|graded;Association &amp; Fees|HOA|Yes;Association &amp; Fees|HOA Payment Frequency|Quarterly;Association &amp; Fees|HOA Amt (Monthly)|55;Primary Bathroom Features|Double Vanity|Yes;Primary Bathroom Features|Exhaust Fan|Yes;Primary Bathroom Features|Countertops|quartz;Primary Bathroom Features|Shower Only|Yes;Technology|High Speed Internet|Yes;Technology|Pre-Wired Tele Lines|Yes;Terms|FHA|Yes;Terms|Cash|Yes;Terms|Conventional|Yes;Terms|VA|Yes;Water|Water Company|Yes;Exterior Features|Native Plants|Yes;Neighborhood Feature|Athletic Facilities|Yes;Neighborhood Feature|Paved Street|Yes;Neighborhood Feature|Walking Trail|Yes;Neighborhood Feature|Park|Yes;Neighborhood Feature|Sidewalks|Yes;Property Disclosures|None|Yes;Accessibility Option|Door Levers|Yes;Kitchen Features|Exhaust Fan|Yes;Kitchen Features|# of Ovens|1;Kitchen Features|Microwave|Yes;Kitchen Features|Gas Cooktop|Yes;Kitchen Features|Kitchen Island|Yes;Kitchen Features|Countertops|quartz;Kitchen Features|Appliance Color|Stainless;Kitchen Features|Pantry|Walk-In;Kitchen Features|Dishwasher|Yes;Kitchen Features|Refrigerator|Yes;Kitchen Features|Disposal|Yes;Submit With Offer|Earnest Check|Yes;Submit With Offer|Loan Pre-Qual|Yes;Interior Features|Interior Steps Y/N|N;Interior Features|High Ceilings|Yes;Interior Features|Walk-In Closet(s)|Yes;Interior Features|Entrance Foyer|Yes;</t>
  </si>
  <si>
    <t>Additional Bathroom Features|Shower &amp; Tub|Yes;Additional Bathroom Features|Double Vanity|Yes;Assoc Amenities|Park|Yes;Assoc Amenities|Other|playground;Assoc Fees Includes|Common Area Maint|Yes;Builder/New Constr.|Date Complete|2025-05-30;Builder/New Constr.|Date Framed|2024-11-07;Green Building Verification Type|HERS Index Score|Yes;Income Property|Current Use|Owner Occupied;Sold Info|Seller Concessions|16,800;Window Features|Double Pane Windows|Yes;Road Maintenance|County|Yes;Road Type|Paved|Yes;Showing Service|Showing Service|None;Stories|Two|Yes;Window Covering|None|Yes;Gas|Natural|Yes;Guest Facilities|None|Yes;Home Protection|Offered|Yes;Home Protection|Plan By|RWC;Sewer|Connected|Yes;Construction|Frame - Stucco|Yes;Construction|Model Name|Yorktown;Driveway|Paved|Pavers;Electric|Electric Company|TEP;Fence|Block|Yes;Roof|Tile|Yes;Spa|None|Yes;Style|Contemporary|Yes;Water Heater|Natural Gas|Yes;Fireplace|None|Yes;Floor Covering|Carpet|Yes;Floor Covering|Ceramic Tile|Yes;Laundry|Laundry Room|Yes;Living Areas|Off Kitchen|Yes;Living Areas|Living Room|Yes;Living Areas|Great Room|Yes;Main Cooling|Central Air|Yes;Main Heating|Forced Air|Yes;Patio/Deck|Covered|Yes;Patio/Deck|Patio|Yes;RV Parking|None|Yes;Security|None|Yes;Subdivision Restrict|Deed Restrictions|No;Subdivision Restrict|CC&amp;Rs|Yes;Subdivision Restrict|Age Restrictions|No;Dining Areas|Other|Morning room;Dining Areas|Breakfast Nook|Yes;Dining Areas|Breakfast Bar|Yes;Fireplace Location|None|Yes;Garage/Carport Feat|Second Garage|Yes;Garage/Carport Feat|Other|rustic metal door;Garage/Carport Feat|Attached Garage/Carport|Yes;Lot Features|Subdivided|Yes;Pool|Conventional|No;Special Conditions|None|Yes;View|Residential|Yes;Extra Room|Loft|Yes;Landscape - Front|Low Care|Yes;Landscape - Front|Decorative Gravel|Yes;Landscape - Front|Sprinkler/Drip|Yes;Landscape - Front|Shrubs|Yes;Landscape - Front|Desert Plantings|Yes;Landscape - Rear|Other|graded;Association &amp; Fees|HOA|Yes;Association &amp; Fees|HOA Payment Frequency|Quarterly;Association &amp; Fees|HOA Amt (Monthly)|55;Primary Bathroom Features|Double Vanity|Yes;Primary Bathroom Features|Exhaust Fan|Yes;Primary Bathroom Features|Countertops|quartz;Primary Bathroom Features|Shower Only|Yes;Technology|High Speed Internet|Yes;Technology|Pre-Wired Tele Lines|Yes;Terms|FHA|Yes;Terms|Cash|Yes;Terms|Conventional|Yes;Terms|VA|Yes;Water|Water Company|Yes;Exterior Features|Native Plants|Yes;Neighborhood Feature|Athletic Facilities|Yes;Neighborhood Feature|Paved Street|Yes;Neighborhood Feature|Walking Trail|Yes;Neighborhood Feature|Park|Yes;Neighborhood Feature|Sidewalks|Yes;Property Disclosures|None|Yes;Accessibility Option|Door Levers|Yes;Kitchen Features|Exhaust Fan|Yes;Kitchen Features|# of Ovens|1;Kitchen Features|Microwave|Yes;Kitchen Features|Gas Cooktop|Yes;Kitchen Features|Gas Range|Yes;Kitchen Features|Countertops|quartz;Kitchen Features|Appliance Color|Stainless;Kitchen Features|Pantry|Walk-In;Kitchen Features|Kitchen Island|Yes;Kitchen Features|Dishwasher|Yes;Kitchen Features|Refrigerator|Yes;Kitchen Features|Disposal|Yes;Submit With Offer|Earnest Check|Yes;Submit With Offer|Loan Pre-Qual|Yes;Interior Features|Interior Steps Y/N|Y;Interior Features|High Ceilings|Yes;Interior Features|Walk-In Closet(s)|Yes;Interior Features|Entrance Foyer|Yes;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</si>
  <si>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Complete|2026-02-09;Builder/New Constr.|Builder Name|Meritage Homes;Builder/New Constr.|New Construction|Yes;Builder/New Constr.|Site Phone|520-686-5755;Builder/New Constr.|Date Framed|2025-10-29;Income Property|Current Use|Owner Occupied;Road Maintenance|City|Yes;Road Type|Paved|Yes;Showing Service|Showing Service|None;Stories|Two|Yes;Window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Room|Loft|Yes;Landscape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Fee|125;Association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Feature|Paved Street|Yes;Neighborhood Feature|Walking Trail|Yes;Neighborhood Feature|Park|Yes;Neighborhood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Features|Pantry|Closet;Kitchen Features|Kitchen Island|Yes;Kitchen Features|Gas Range|Yes;Kitchen Features|Refrigerator|Yes;Kitchen Features|Disposal|Yes;Submit With Offer|Earnest Check|Yes;Interior Features|Interior Steps Y/N|Y;Interior Features|Primary Downstairs|Yes;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</si>
  <si>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Complete|2026-02-11;Builder/New Constr.|Builder Name|Meritage Homes;Builder/New Constr.|New Construction|Yes;Builder/New Constr.|Site Phone|520-686-5755;Builder/New Constr.|Date Framed|2025-10-30;Income Property|Current Use|Owner Occupied;Sold Info|Seller Concessions|13,491;Road Maintenance|City|Yes;Road Type|Paved|Yes;Showing Service|Showing Service|None;Stories|One|Yes;Window Covering|None|Yes;Gas|Natural|Yes;Guest Facilities|None|Yes;Home Protection|Offered|No;Sewer|Connected|Yes;Construction|Stucco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Pump|Yes;Patio/Deck|Patio|Yes;RV Parking|None|Yes;Security|Smoke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Room|None|Yes;Landscape - Front|Desert Plantings|Yes;Landscape - Front|Decorative Gravel|Yes;Landscape - Front|Shrubs|Yes;Landscape - Rear|None|Yes;Association &amp; Fees|HOA|Yes;Association &amp; Fees|Rec Fee|0;Association &amp; Fees|HOA Telephone|(520) 603-1889;Association &amp; Fees|HOA Name|The Rocking K South;Association &amp; Fees|HOA Transfer Fee|0;Association &amp; Fees|HOA Payment Frequency|Quarterly;Association &amp; Fees|HOA Amt (Monthly)|84.5;Primary Bathroom Features|Double Vanity|Yes;Primary Bathroom Features|Exhaust Fan|Yes;Primary Bathroom Features|Shower Only|Yes;Technology|High Speed Internet|Yes;Technology|Smart Panel|Yes;Terms|FHA|Yes;Terms|Cash|Yes;Terms|Conventional|Yes;Terms|VA|Yes;Water|Public|Yes;Exterior Features|None|Yes;Neighborhood Feature|Tennis Courts|Yes;Neighborhood Feature|Paved Street|Yes;Neighborhood Feature|Walking Trail|Yes;Neighborhood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Features|Refrigerator|Yes;Kitchen Features|Disposal|Yes;Submit With Offer|Earnest Check|Yes;Interior Features|Interior Steps Y/N|Y;Interior Features|Walk-In Closet(s)|Yes;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</si>
  <si>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Complete|2026-02-10;Builder/New Constr.|Builder Name|Meritage Homes;Builder/New Constr.|New Construction|Yes;Builder/New Constr.|Site Phone|520-686-5755;Builder/New Constr.|Date Framed|2025-10-30;Income Property|Current Use|Owner Occupied;Sold Info|Seller Concessions|6,778;Road Maintenance|City|Yes;Road Type|Paved|Yes;Showing Service|Showing Service|None;Stories|One|Yes;Window Covering|None|Yes;Gas|Natural|Yes;Guest Facilities|None|Yes;Home Protection|Offered|No;Sewer|Connected|Yes;Construction|Stucco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Parking|None|Yes;Security|None|Yes;Subdivision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Room|None|Yes;Landscape - Front|Desert Plantings|Yes;Landscape - Front|Decorative Gravel|Yes;Landscape - Front|Shrubs|Yes;Landscape - Rear|None|Yes;Association &amp; Fees|HOA|Yes;Association &amp; Fees|Rec Fee|0;Association &amp; Fees|HOA Telephone|(520) 603-1889;Association &amp; Fees|HOA Name|The Rocking K South;Association &amp; Fees|HOA Transfer Fee|0;Association &amp; Fees|HOA Payment Frequency|Quarterly;Association &amp; Fees|HOA Amt (Monthly)|84.5;Primary Bathroom Features|Shower Only|Yes;Primary Bathroom Features|Exhaust Fan|Yes;Primary Bathroom Features|Low Flow Showerhead|Yes;Technology|High Speed Internet|Yes;Technology|Smart Panel|Yes;Terms|FHA|Yes;Terms|Cash|Yes;Terms|Conventional|Yes;Terms|VA|Yes;Water|Public|Yes;Exterior Features|None|Yes;Neighborhood Feature|Tennis Courts|Yes;Neighborhood Feature|Paved Street|Yes;Neighborhood Feature|Walking Trail|Yes;Neighborhood Feature|Park|Yes;Neighborhood Feature|Sidewalks|Yes;Neighborhood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Features|Refrigerator|Yes;Kitchen Features|Disposal|Yes;Submit With Offer|Earnest Check|Yes;Interior Features|Interior Steps Y/N|N;Interior Features|Walk-In Closet(s)|Yes;</t>
  </si>
  <si>
    <t>Additional Bathroom Features|Shower &amp; Tub|Yes;Additional Bathroom Features|Other|Granite Countertops;Additional Bathroom Features|Exhaust Fan|Yes;Assoc Amenities|Maintenance|Yes;Assoc Amenities|Park|Yes;Assoc Fees Includes|Common Area Maint|Yes;Builder/New Constr.|Date Complete|2026-02-28;Builder/New Constr.|Builder Warranty|Lennar;Builder/New Constr.|Builder Name|Lennar;Builder/New Constr.|Site Contact|520-399-7923;Builder/New Constr.|Date Framed|2025-02-28;Income Property|Current Use|Owner Occupied;Sold Info|Seller Concessions|5,000;Window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Name|Traverse C;Driveway|Paved|Concrete;Electric|Electric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Garage/Carport|Yes;Garage/Carport Feat|Tandem Garage|Yes;Lot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</si>
  <si>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Only|Yes;Additional Bathroom Features|Exhaust Fan|Yes;Assoc Amenities|Clubhouse|Yes;Assoc Amenities|Pickleball|Yes;Assoc Amenities|Park|Yes;Assoc Fees Includes|Common Area Maint|Yes;Builder/New Constr.|Site Phone|(520) 447-4454;Builder/New Constr.|Builder Warranty|Yes;Builder/New Constr.|Builder Name|Del Webb;Builder/New Constr.|New Construction|Yes;Income Property|Current Use|Owner Occupied;Sold Info|Seller Concessions|0;Window Features|Double Pane Windows|Yes;Road Maintenance|County|Yes;Road Type|Paved|Yes;Showing Service|Showing Service|None;Stories|One|Yes;Window Covering|None|Yes;Gas|Natural|Yes;Guest Facilities|None|Yes;Home Protection|Offered|Yes;Home Protection|Plan By|Builder Warranty;Sewer|Connected|Yes;Construction|Frame - Stucco|Yes;Construction|Model Name|Sanctuary;Driveway|Paved|Concrete;Electric|Electric Company|TEP;Fence|Block|Yes;Roof|Tile|Yes;Spa|None|Yes;Style|Ranch|Yes;Style|Southwestern|Yes;Water Heater|Tankless Water Heater|Yes;Fireplace|None|Yes;Floor Covering|Carpet|Yes;Floor Covering|Ceramic Tile|Yes;Laundry|Laundry Room|Yes;Living Areas|Great Room|Yes;Main Cooling|Central Air|Yes;Main Cooling|Ceiling Fans Pre-Wired|Yes;Main Heating|Natural Gas|Yes;Patio/Deck|Covered|Yes;Patio/Deck|Patio|Yes;RV Parking|None|Yes;Security|Smoke Detector(s)|Yes;Subdivision Restrict|Deed Restrictions|Yes;Subdivision Restrict|CC&amp;Rs|Yes;Subdivision Restrict|Age Restrictions|Yes;Dining Areas|Breakfast Bar|Yes;Dining Areas|Dining Area|Yes;Fireplace Location|None|Yes;Garage/Carport Feat|Electric Door Opener|Yes;Garage/Carport Feat|Attached Garage/Carport|Yes;Lot Features|Subdivided|Yes;Lot Features|East/West Exposure|Yes;Pool|Conventional|No;Special Conditions|Public Report|Yes;View|Mountain(s)|Yes;Extra Room|Den|Yes;Landscape - Front|Low Care|Yes;Landscape - Front|Decorative Gravel|Yes;Landscape - Front|Trees|Yes;Landscape - Front|Sprinkler/Drip|Yes;Landscape - Front|Shrubs|Yes;Landscape - Front|Desert Plantings|Yes;Landscape - Rear|Other|graded;Association &amp; Fees|HOA|Yes;Association &amp; Fees|HOA Telephone|480-921-7500;Association &amp; Fees|HOA Name|Del Webb Rocking K;Association &amp; Fees|HOA Payment Frequency|Monthly;Association &amp; Fees|HOA Amt (Monthly)|305;Primary Bathroom Features|Double Vanity|Yes;Primary Bathroom Features|Exhaust Fan|Yes;Primary Bathroom Features|Shower Only|Yes;Technology|Cable TV|Yes;Technology|Smart Panel|Yes;Terms|FHA|Yes;Terms|Cash|Yes;Terms|Conventional|Yes;Terms|VA|Yes;Water|Water Company|Yes;Exterior Features|None|Yes;Neighborhood Feature|Pool|Yes;Neighborhood Feature|Pickleball|Yes;Neighborhood Feature|Paved Street|Yes;Neighborhood Feature|Walking Trail|Yes;Neighborhood Feature|Sidewalks|Yes;Neighborhood Feature|Jogging/Bike Path|Yes;Neighborhood Feature|Rec Center|Yes;Neighborhood Feature|Lighted|Yes;Neighborhood Feature|Exercise Facilities|Yes;Property Disclosures|None|Yes;Accessibility Option|Door Levers|Yes;Accessibility Option|Roll-In Shower|Yes;Kitchen Features|Exhaust Fan|Yes;Kitchen Features|Electric Oven|Yes;Kitchen Features|Microwave|Yes;Kitchen Features|Gas Cooktop|Yes;Kitchen Features|Dishwasher|Yes;Kitchen Features|Countertops|Silestone;Kitchen Features|Appliance Color|Stainless;Kitchen Features|Reverse Osmosis|Yes;Kitchen Features|Pantry|Walk-In;Kitchen Features|Kitchen Island|Yes;Kitchen Features|Refrigerator|Yes;Kitchen Features|Disposal|Yes;Submit With Offer|Earnest Check|Yes;Interior Features|Split Bedroom Plan|Yes;Interior Features|High Ceilings|Yes;Interior Features|Walk-In Closet(s)|Yes;Interior Features|Entrance Foyer|Yes;Interior Features|Interior Steps Y/N|N;</t>
  </si>
  <si>
    <t>Additional Bathroom Features|Shower &amp; Tub|Yes;Additional Bathroom Features|Exhaust Fan|Yes;Assoc Fees Includes|Common Area Maint|Yes;Builder/New Constr.|Site Phone|520-214-0226;Builder/New Constr.|Builder Warranty|10yr Structural;Builder/New Constr.|Builder License #|B124600;Builder/New Constr.|Builder Name|D.R. Horton, Inc;Builder/New Constr.|New Construction|Yes;Green Building Verification Type|ENERGY STAR Certified Homes|Yes;Green Building Verification Type|Zero Energy Ready Home|Yes;Green Building Verification Type|HERS Index Score|Yes;Income Property|Current Use|Owner Occupied;Window Features|Low-Emissivity Windows|Yes;Window Features|Double Pane Windows|Yes;Window Features|ENERGY STAR Qualified Windows|Yes;Road Maintenance|County|Yes;Road Type|Paved|Yes;Showing Service|Showing Service|ShowingTime;Stories|One|Yes;Window Covering|None|Yes;Gas|Natural|Yes;Guest Facilities|None|Yes;Home Protection|Plan By|Builder Warranty;Sewer|Connected|Yes;Construction|Frame - Stucco|Yes;Construction|Stucco Finish|Yes;Driveway|Paved|Concrete;Electric|Electric Company|TEP;Fence|Block|Yes;Roof|Tile|Yes;Spa|None|Yes;Style|Contemporary|Yes;Style|Modern|Yes;Style|Ranch|Yes;Water Heater|Tankless Water Heater|Yes;Fireplace|None|Yes;Floor Covering|Carpet|Yes;Floor Covering|Ceramic Tile|Yes;Laundry|Laundry Room|Yes;Living Areas|Great Room|Yes;Main Cooling|Ceiling Fans Pre-Wired|Yes;Main Cooling|SEER Rating|15;Main Cooling|Heat Pump|Yes;Main Heating|Heat Pump|Yes;Patio/Deck|Covered|Yes;Patio/Deck|Patio|Yes;RV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Features|Subdivided|Yes;Lot Features|Corner Lot|Yes;Pool|None|Yes;Pool|Conventional|No;Special Conditions|Public Report|Yes;View|Residential|Yes;Extra Room|None|Yes;Landscape - Front|Low Care|Yes;Landscape - Front|Sprinkler/Drip|Yes;Landscape - Rear|None|Yes;Association &amp; Fees|HOA|Yes;Association &amp; Fees|HOA Website|https://rockingkhoa.com/;Association &amp; Fees|HOA Telephone|1.800.354.0257;Association &amp; Fees|HOA Name|Rocking K South;Association &amp; Fees|HOA Payment Frequency|Quarterly;Association &amp; Fees|HOA Amt (Monthly)|81;Primary Bathroom Features|Double Vanity|Yes;Primary Bathroom Features|Exhaust Fan|Yes;Primary Bathroom Features|Countertops|Quartz;Primary Bathroom Features|Shower Only|Yes;Technology|High Speed Internet|Yes;Technology|Smart Thermostat|Yes;Technology|Smart Panel|Yes;Terms|FHA|Yes;Terms|Cash|Yes;Terms|Conventional|Yes;Terms|VA|Yes;Water|Water Company|Yes;Exterior Features|Front Faces|Northwest;Neighborhood Feature|Jogging/Bike Path|Yes;Neighborhood Feature|Sidewalks|Yes;Neighborhood Feature|Pickleball|Yes;Neighborhood Feature|Walking Trail|Yes;Neighborhood Feature|Park|Yes;Neighborhood Feature|Basketball Court|Yes;Property Disclosures|Other|Public Report;Accessibility Option|None|Yes;Kitchen Features|Exhaust Fan|Yes;Kitchen Features|Gas Oven|Yes;Kitchen Features|Dishwasher|Yes;Kitchen Features|Countertops|Quartz;Kitchen Features|Appliance Color|Stainless;Kitchen Features|Pantry|Walk-In;Kitchen Features|Gas Range|Yes;Kitchen Features|Disposal|Yes;Submit With Offer|Earnest Check|Yes;Interior Features|Split Bedroom Plan|Yes;Interior Features|High Ceilings|Yes;Interior Features|Energy Star Qualified|Yes;Interior Features|Walk-In Closet(s)|Yes;Interior Features|Interior Steps Y/N|N;</t>
  </si>
  <si>
    <t>Additional Bathroom Features|Shower &amp; Tub|Yes;Additional Bathroom Features|Exhaust Fan|Yes;Assoc Fees Includes|Common Area Maint|Yes;Builder/New Constr.|Site Phone|520-214-0226;Builder/New Constr.|Builder Warranty|10yr Structural;Builder/New Constr.|Builder Name|D.R. Horton, Inc;Builder/New Constr.|New Construction|Yes;Green Building Verification Type|ENERGY STAR Certified Homes|Yes;Green Building Verification Type|Zero Energy Ready Home|Yes;Green Building Verification Type|HERS Index Score|Yes;Income Property|Current Use|Owner Occupied;Window Features|Low-Emissivity Windows|Yes;Window Features|Double Pane Windows|Yes;Window Features|ENERGY STAR Qualified Windows|Yes;Road Maintenance|County|Yes;Road Type|Paved|Yes;Showing Service|Showing Service|ShowingTime;Stories|One|Yes;Window Covering|None|Yes;Gas|Natural|Yes;Guest Facilities|None|Yes;Home Protection|Offered|No;Home Protection|Plan By|Builder Warranty;Sewer|Connected|Yes;Construction|Frame - Stucco|Yes;Construction|Stucco Finish|Yes;Driveway|Paved|Concrete;Electric|Electric Company|TEP;Fence|Block|Yes;Roof|Tile|Yes;Spa|None|Yes;Style|Contemporary|Yes;Style|Ranch|Yes;Water Heater|Tankless Water Heater|Yes;Fireplace|None|Yes;Floor Covering|Carpet|Yes;Floor Covering|Ceramic Tile|Yes;Laundry|Laundry Room|Yes;Living Areas|Great Room|Yes;Main Cooling|Ceiling Fans Pre-Wired|Yes;Main Cooling|SEER Rating|15;Main Cooling|Heat Pump|Yes;Main Heating|Heat Pump|Yes;Patio/Deck|Covered|Yes;Patio/Deck|Patio|Yes;RV Parking|None|Yes;Security|Smoke Detector(s)|Yes;Security|Carbon Monoxide Detector(s)|Yes;Subdivision Restrict|Deed Restrictions|Yes;Subdivision Restrict|CC&amp;Rs|Yes;Subdivision Restrict|Age Restrictions|No;Dining Areas|Great Room|Yes;Dining Areas|Dining Area|Yes;Fireplace Location|None|Yes;Garage/Carport Feat|Attached Garage/Carport|Yes;Garage/Carport Feat|Tandem Garage|Yes;Lot Features|Borders Common Area|Yes;Pool|None|Yes;Pool|Conventional|No;Special Conditions|Public Report|Yes;View|Mountain(s)|Yes;Extra Room|None|Yes;Landscape - Front|Low Care|Yes;Landscape - Front|Sprinkler/Drip|Yes;Landscape - Rear|None|Yes;Association &amp; Fees|HOA|Yes;Association &amp; Fees|HOA Website|https://rockingkhoa.com/;Association &amp; Fees|HOA Telephone|1.800.354.0257;Association &amp; Fees|HOA Name|Rocking K South;Association &amp; Fees|HOA Payment Frequency|Quarterly;Association &amp; Fees|HOA Amt (Monthly)|81;Primary Bathroom Features|Double Vanity|Yes;Primary Bathroom Features|Exhaust Fan|Yes;Primary Bathroom Features|Countertops|Solid Surface;Primary Bathroom Features|Shower Only|Yes;Technology|High Speed Internet|Yes;Technology|Smart Thermostat|Yes;Technology|Smart Panel|Yes;Terms|Cash|Yes;Water|Water Company|Yes;Exterior Features|Front Faces|Southwest;Neighborhood Feature|Jogging/Bike Path|Yes;Neighborhood Feature|Sidewalks|Yes;Neighborhood Feature|Pickleball|Yes;Neighborhood Feature|Walking Trail|Yes;Neighborhood Feature|Park|Yes;Neighborhood Feature|Basketball Court|Yes;Property Disclosures|Unknown|Yes;Property Disclosures|Other|Public Report;Accessibility Option|Door Levers|Yes;Kitchen Features|Exhaust Fan|Yes;Kitchen Features|ENERGY STAR Qualified Dishwasher|Yes;Kitchen Features|Microwave|Yes;Kitchen Features|Dishwasher|Yes;Kitchen Features|Countertops|Quartz;Kitchen Features|Appliance Color|Stainless;Kitchen Features|Pantry|Walk-In;Kitchen Features|Gas Range|Yes;Kitchen Features|Disposal|Yes;Submit With Offer|Other|Proof of funds;Interior Features|Interior Steps Y/N|N;Interior Features|High Ceilings|Yes;Interior Features|Energy Star Qualified|Yes;Interior Features|Walk-In Closet(s)|Yes;</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</si>
  <si>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Concessions|4,661;Window Features|Low-Emissivity Windows|Yes;Window Features|Double Pane Windows|Yes;Window Features|ENERGY STAR Qualified Windows|Yes;Road Maintenance|HOA|Yes;Road Type|Paved|Yes;Showing Service|Showing Service|ShowingTime;Stories|Two|Yes;Window Covering|Other|faux wood blinds;Gas|Natural|Yes;Guest Facilities|None|Yes;Home Protection|Plan By|Builder;Sewer|Connected|Yes;Construction|Frame - Stucco|Yes;Construction|Model Name|Sienna;Driveway|Paved|Concrete;Electric|Electric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Opener|Yes;Garage/Carport Feat|Other|Storage space;Lot Features|Subdivided|Yes;Pool|None|Yes;Pool|Conventional|No;Special Conditions|None|Yes;View|Residential|Yes;Extra Room|Loft|Yes;Landscape - Front|Low Care|Yes;Landscape - Front|Decorative Gravel|Yes;Landscape - Front|Sprinkler/Drip|Yes;Landscape - Front|Shrubs|Yes;Landscape - Front|Desert Plantings|Yes;Landscape - Rear|None|Yes;Association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Features|Exhaust Fan|Yes;Kitchen Features|Microwave|Yes;Kitchen Features|ENERGY STAR Qualified Range|Yes;Kitchen Features|ENERGY STAR Qualified Refrigerator|Yes;Kitchen Features|ENERGY STAR Qualified Dishwasher|Yes;Kitchen Features|Dishwasher|Yes;Kitchen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Y/N|Y;Interior Features|High Ceilings|Yes;Interior Features|Energy Star Qualified|Yes;Interior Features|Walk-In Closet(s)|Yes;Interior Features|Entrance Foyer|Yes;</t>
  </si>
  <si>
    <t>Additional Bathroom Features|Shower &amp; Tub|Yes;Additional Bathroom Features|Exhaust Fan|Yes;Additional Bathroom Features|Powder Room|Yes;Additional Bathroom Features|Double Vanity|Yes;Assoc Amenities|Maintenance|Yes;Assoc Amenities|Park|Yes;Assoc Fees Includes|Common Area Maint|Yes;Builder/New Constr.|Date Complete|2026-02-28;Builder/New Constr.|Builder Warranty|Lennar;Builder/New Constr.|Builder Name|Lennar;Builder/New Constr.|Site Contact|520-399-7923;Income Property|Current Use|Owner Occupied;Sold Info|Seller Concessions|5,000;Window Features|Low-Emissivity Windows|Yes;Road Maintenance|County|Yes;Road Type|Paved|Yes;Showing Service|Showing Service|None;Stories|Two|Yes;Window Covering|Some|Yes;Gas|Natural|Yes;Guest Facilities|None|Yes;Home Protection|Offered|No;Sewer|Connected|Yes;Construction|Frame - Stucco|Yes;Construction|Model Name|Gwen A;Driveway|Paved|Concrete;Electric|Electric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Features|North/South Exposure|Yes;Pool|None|Yes;Pool|Conventional|No;Special Conditions|Public Report|Yes;View|None|Yes;Extra Room|Loft|Yes;Extra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Features|Double Vanity|Yes;Primary Bathroom Features|Exhaust Fan|Yes;Primary Bathroom Features|Shower Only|Yes;Technology|Smart Thermostat|Yes;Terms|FHA|Yes;Terms|Cash|Yes;Terms|Conventional|Yes;Terms|VA|Yes;Water|Other|Spanish Trail Water;Water|Water Company|Yes;Exterior Features|None|Yes;Exterior Features|Front Faces|South;Neighborhood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Y/N|Y;Interior Features|Energy Efficient Lighting|Some;Interior Features|Walk-In Closet(s)|Yes;Interior Features|Entrance Foyer|Yes;</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</si>
  <si>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Concessions|3,505;Window Features|Low-Emissivity Windows|Yes;Window Features|Double Pane Windows|Yes;Window Features|ENERGY STAR Qualified Windows|Yes;Road Maintenance|HOA|Yes;Road Type|Paved|Yes;Showing Service|Showing Service|ShowingTime;Stories|One|Yes;Window Covering|Other|faux wood blinds;Gas|Natural|Yes;Guest Facilities|None|Yes;Home Protection|Plan By|Builder;Sewer|Connected|Yes;Construction|Frame - Stucco|Yes;Construction|Model Name|Brandy;Driveway|Paved|Concrete;Electric|Electric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Room|None|Yes;Landscape - Front|Low Care|Yes;Landscape - Front|Decorative Gravel|Yes;Landscape - Front|Sprinkler/Drip|Yes;Landscape - Front|Shrubs|Yes;Landscape - Front|Desert Plantings|Yes;Landscape - Rear|None|Yes;Association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Range|Yes;Kitchen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Y/N|N;Interior Features|High Ceilings|Yes;Interior Features|Energy Star Qualified|Yes;Interior Features|Walk-In Closet(s)|Yes;Interior Features|Entrance Foyer|Yes;</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</si>
  <si>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Concessions|19,500;Window Features|Low-Emissivity Windows|Yes;Window Features|Double Pane Windows|Yes;Window Features|ENERGY STAR Qualified Windows|Yes;Road Maintenance|HOA|Yes;Road Type|Paved|Yes;Showing Service|Showing Service|ShowingTime;Stories|Two|Yes;Window Covering|None|Yes;Gas|Natural|Yes;Guest Facilities|None|Yes;Home Protection|Plan By|Builder;Sewer|Connected|Yes;Construction|Frame - Stucco|Yes;Construction|Model Name|Sienna;Driveway|Paved|Concrete;Electric|Electric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Opener|Yes;Garage/Carport Feat|Other|Storage space;Lot Features|Subdivided|Yes;Lot Features|North/South Exposure|Yes;Pool|None|Yes;Pool|Conventional|No;Special Conditions|None|Yes;View|Residential|Yes;Extra Room|Loft|Yes;Landscape - Front|Low Care|Yes;Landscape - Front|Decorative Gravel|Yes;Landscape - Front|Sprinkler/Drip|Yes;Landscape - Front|Shrubs|Yes;Landscape - Front|Desert Plantings|Yes;Landscape - Rear|None|Yes;Association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Features|Exhaust Fan|Yes;Kitchen Features|Microwave|Yes;Kitchen Features|ENERGY STAR Qualified Range|Yes;Kitchen Features|ENERGY STAR Qualified Refrigerator|Yes;Kitchen Features|ENERGY STAR Qualified Dishwasher|Yes;Kitchen Features|Dishwasher|Yes;Kitchen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Y/N|Y;Interior Features|High Ceilings|Yes;Interior Features|Energy Star Qualified|Yes;Interior Features|Walk-In Closet(s)|Yes;Interior Features|Entrance Foyer|Yes;</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</si>
  <si>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Concessions|25,000;Window Features|Low-Emissivity Windows|Yes;Window Features|Double Pane Windows|Yes;Window Features|ENERGY STAR Qualified Windows|Yes;Road Maintenance|HOA|Yes;Road Type|Paved|Yes;Showing Service|Showing Service|ShowingTime;Stories|One|Yes;Window Covering|None|Yes;Gas|Natural|Yes;Guest Facilities|None|Yes;Home Protection|Plan By|Builder;Sewer|Connected|Yes;Construction|Frame - Stucco|Yes;Construction|Model Name|Brandy;Driveway|Paved|Concrete;Electric|Electric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Room|None|Yes;Landscape - Front|Low Care|Yes;Landscape - Front|Decorative Gravel|Yes;Landscape - Front|Sprinkler/Drip|Yes;Landscape - Front|Shrubs|Yes;Landscape - Front|Desert Plantings|Yes;Landscape - Rear|None|Yes;Association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Y/N|N;Interior Features|High Ceilings|Yes;Interior Features|Energy Star Qualified|Yes;Interior Features|Walk-In Closet(s)|Yes;Interior Features|Entrance Foyer|Yes;</t>
  </si>
  <si>
    <t>Additional Bathroom Features|Shower &amp; Tub|Yes;Additional Bathroom Features|Low Flow Showerhead|Yes;Additional Bathroom Features|Exhaust Fan|Yes;Additional Bathroom Features|Powder Room|Yes;Additional Bathroom Features|Pedestal Sink(s)|Yes;Assoc Amenities|None|Yes;Assoc Fees Includes|Common Area Maint|Yes;Builder/New Constr.|Date Framed|2026-02-10;Builder/New Constr.|Construction Phase|03 - Frame;Builder/New Constr.|New Construction|Yes;Builder/New Constr.|Site Contact|520-214-0226;Builder/New Constr.|Site Phone|520-214-0226;Green Building Verification Type|ENERGY STAR Certified Homes|Yes;Green Building Verification Type|HERS Index Score|Yes;Income Property|Current Use|Owner Occupied;Window Features|Low-Emissivity Windows|Yes;Window Features|ENERGY STAR Qualified Windows|Yes;Road Maintenance|County|Yes;Road Type|Paved|Yes;Showing Service|Showing Service|None;Stories|One|Yes;Window Covering|None|Yes;Gas|Natural|Yes;Guest Facilities|None|Yes;Home Protection|Offered|No;Sewer|Connected|Yes;Construction|Frame - Stucco|Yes;Construction|Model Name|York;Driveway|Paved|Pavers;Electric|Electric Company|TEP;Fence|Block|Yes;Roof|Tile|Yes;Spa|None|Yes;Style|Modern|Yes;Water Heater|Tankless Water Heater|Yes;Water Heater|ENERGY STAR Qualified Water Heater|Yes;Water Heater|Natural Gas|Yes;Fireplace|None|Yes;Floor Covering|Carpet|Yes;Floor Covering|Other|Luxury Vinyl Plank;Laundry|Laundry Room|Yes;Laundry|Gas Dryer Hookup|Yes;Laundry|Electric Dryer Hookup|Yes;Living Areas|Great Room|Yes;Main Cooling|ENERGY STAR Qualified Equipment|Yes;Main Cooling|SEER Rating|15;Main Cooling|Ceiling Fans Pre-Wired|Yes;Main Cooling|Heat Pump|Yes;Main Heating|Heat Pump|Yes;Main Heating|Natural Gas|Yes;Patio/Deck|Covered|Yes;RV Parking|None|Yes;Security|Smoke Detector(s)|Yes;Security|Carbon Monoxide Detector(s)|Yes;Subdivision Restrict|Deed Restrictions|Yes;Subdivision Restrict|Green Valley Rec|Yes - Has GVR;Subdivision Restrict|CC&amp;Rs|Yes;Subdivision Restrict|Age Restrictions|Yes;Dining Areas|Dining Area|Yes;Fireplace Location|None|Yes;Garage/Carport Feat|Electric Door Opener|Yes;Garage/Carport Feat|Tandem Garage|Yes;Lot Features|North/South Exposure|Yes;Pool|None|Yes;Pool|Conventional|No;Special Conditions|Public Report|Yes;View|Mountain(s)|Yes;View|Residential|Yes;Extra Room|Den|Yes;Landscape - Front|Decorative Gravel|Yes;Landscape - Front|Trees|Yes;Landscape - Front|Sprinkler/Drip|Yes;Landscape - Front|Shrubs|Yes;Landscape - Front|Graded|Yes;Landscape - Rear|None|Yes;Association &amp; Fees|HOA|Yes;Association &amp; Fees|Rec Fee|44;Association &amp; Fees|HOA Payment Frequency|Annually;Association &amp; Fees|HOA Amt (Monthly)|38;Primary Bathroom Features|Double Vanity|Yes;Primary Bathroom Features|Exhaust Fan|Yes;Primary Bathroom Features|Low Flow Showerhead|Yes;Primary Bathroom Features|Countertops|Quartz;Primary Bathroom Features|Shower Only|Yes;Technology|Cable TV|Yes;Technology|Smart Thermostat|Yes;Technology|Smart Panel|Yes;Technology|High Speed Internet|Yes;Terms|FHA|Yes;Terms|Cash|Yes;Terms|Conventional|Yes;Terms|VA|Yes;Water|Public|Yes;Exterior Features|Front Faces|North;Neighborhood Feature|Jogging/Bike Path|Yes;Property Disclosures|None|Yes;Accessibility Option|Door Levers|Yes;Kitchen Features|Exhaust Fan|Yes;Kitchen Features|ENERGY STAR Qualified Dishwasher|Yes;Kitchen Features|ENERGY STAR Qualified Range|Yes;Kitchen Features|Microwave|Yes;Kitchen Features|Dishwasher|Yes;Kitchen Features|Countertops|Quartz;Kitchen Features|Appliance Color|Stainless;Kitchen Features|Pantry|Walk-In;Kitchen Features|Kitchen Island|Yes;Kitchen Features|Gas Range|Yes;Kitchen Features|Disposal|Yes;Submit With Offer|Earnest Check|Yes;Interior Features|Split Bedroom Plan|Yes;Interior Features|High Ceilings|Yes;Interior Features|Energy Star Qualified|Yes;Interior Features|Energy Efficient Lighting|All;Interior Features|Walk-In Closet(s)|Yes;Interior Features|Entrance Foyer|Yes;Interior Features|Interior Steps Y/N|N;</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</si>
  <si>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Concessions|0;Window Features|Low-Emissivity Windows|Yes;Window Features|Double Pane Windows|Yes;Window Features|ENERGY STAR Qualified Windows|Yes;Road Maintenance|HOA|Yes;Road Type|Paved|Yes;Showing Service|Showing Service|ShowingTime;Stories|One|Yes;Window Covering|Other|faux wood blinds;Gas|Natural|Yes;Guest Facilities|None|Yes;Home Protection|Plan By|Builder;Sewer|Connected|Yes;Construction|Frame - Stucco|Yes;Construction|Model Name|Copper;Driveway|Paved|Concrete;Electric|Electric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Room|Den|Yes;Landscape - Front|Low Care|Yes;Landscape - Front|Decorative Gravel|Yes;Landscape - Front|Sprinkler/Drip|Yes;Landscape - Front|Shrubs|Yes;Landscape - Front|Desert Plantings|Yes;Landscape - Rear|None|Yes;Association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Range|Yes;Kitchen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Features|Split Bedroom Plan|Yes;Interior Features|High Ceilings|Yes;Interior Features|Energy Star Qualified|Yes;Interior Features|Walk-In Closet(s)|Yes;Interior Features|Entrance Foyer|Yes;Interior Features|Interior Steps Y/N|N;</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</si>
  <si>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Concessions|2,000;Window Features|Low-Emissivity Windows|Yes;Window Features|Double Pane Windows|Yes;Window Features|ENERGY STAR Qualified Windows|Yes;Road Maintenance|HOA|Yes;Road Type|Paved|Yes;Showing Service|Showing Service|ShowingTime;Stories|One|Yes;Window Covering|Other|faux wood blinds;Gas|Natural|Yes;Guest Facilities|None|Yes;Home Protection|Plan By|Builder;Sewer|Connected|Yes;Construction|Frame - Stucco|Yes;Construction|Model Name|Copper;Driveway|Paved|Concrete;Electric|Electric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Opener|Yes;Garage/Carport Feat|Tandem Garage|Yes;Lot Features|Subdivided|Yes;Lot Features|East/West Exposure|Yes;Pool|None|Yes;Pool|Conventional|No;Special Conditions|None|Yes;View|Residential|Yes;Extra Room|Other|Study;Landscape - Front|Low Care|Yes;Landscape - Front|Decorative Gravel|Yes;Landscape - Front|Sprinkler/Drip|Yes;Landscape - Front|Shrubs|Yes;Landscape - Front|Desert Plantings|Yes;Landscape - Rear|None|Yes;Association &amp; Fees|HOA|Yes;Association &amp; Fees|HOA Payment Frequency|Quarterly;Association &amp; Fees|HOA Amt (Monthly)|80;Primary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Range|Yes;Kitchen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Features|Split Bedroom Plan|Yes;Interior Features|High Ceilings|Yes;Interior Features|Energy Star Qualified|Yes;Interior Features|Walk-In Closet(s)|Yes;Interior Features|Entrance Foyer|Yes;Interior Features|Interior Steps Y/N|N;</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</si>
  <si>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Complete|2026-02-12;Builder/New Constr.|Builder Name|Meritage Homes;Builder/New Constr.|New Construction|Yes;Builder/New Constr.|Site Phone|520-686-5755;Builder/New Constr.|Date Framed|2025-11-14;Income Property|Current Use|Owner Occupied;Road Maintenance|City|Yes;Road Type|Paved|Yes;Showing Service|Showing Service|None;Stories|Two|Yes;Window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Room|Loft|Yes;Landscape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Fee|125;Association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Feature|Paved Street|Yes;Neighborhood Feature|Walking Trail|Yes;Neighborhood Feature|Park|Yes;Neighborhood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Features|Pantry|Closet;Kitchen Features|Kitchen Island|Yes;Kitchen Features|Gas Range|Yes;Kitchen Features|Refrigerator|Yes;Kitchen Features|Disposal|Yes;Submit With Offer|Earnest Check|Yes;Interior Features|Interior Steps Y/N|Y;Interior Features|Primary Downstairs|Yes;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</si>
  <si>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Complete|2026-02-12;Builder/New Constr.|Builder Name|Meritage Homes;Builder/New Constr.|New Construction|Yes;Builder/New Constr.|Site Phone|520-686-5755;Builder/New Constr.|Date Framed|2025-11-14;Income Property|Current Use|Owner Occupied;Road Maintenance|City|Yes;Road Type|Paved|Yes;Showing Service|Showing Service|None;Stories|Two|Yes;Window Covering|None|Yes;Gas|Natural|Yes;Guest Facilities|None|Yes;Home Protection|Offered|No;Sewer|Connected|Yes;Construction|Frame|Yes;Construction|Stucco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Room|Loft|Yes;Landscape - Front|Desert Plantings|Yes;Landscape - Front|Decorative Gravel|Yes;Landscape - Front|Shrubs|Yes;Landscape - Rear|None|Yes;Association &amp; Fees|HOA|Yes;Association &amp; Fees|Rec Fee|0;Association &amp; Fees|HOA Telephone|5206031889;Association &amp; Fees|HOA Name|Rocking K South Mast;Association &amp; Fees|HOA Transfer Fee|125;Association &amp; Fees|HOA Payment Frequency|Quarterly;Association &amp; Fees|HOA Amt (Monthly)|84.5;Primary Bathroom Features|Double Vanity|Yes;Primary Bathroom Features|Exhaust Fan|Yes;Primary Bathroom Features|Shower Only|Yes;Technology|Cable TV|Yes;Technology|Smart Panel|Yes;Technology|High Speed Internet|Yes;Terms|FHA|Yes;Terms|Cash|Yes;Terms|Conventional|Yes;Terms|VA|Yes;Water|Public|Yes;Exterior Features|None|Yes;Neighborhood Feature|Tennis Courts|Yes;Neighborhood Feature|Paved Street|Yes;Neighborhood Feature|Walking Trail|Yes;Neighborhood Feature|Park|Yes;Neighborhood Feature|Sidewalks|Yes;Neighborhood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Features|Refrigerator|Yes;Submit With Offer|Earnest Check|Yes;Interior Features|Interior Steps Y/N|Y;Interior Features|Walk-In Closet(s)|Yes;</t>
  </si>
  <si>
    <t>Additional Bathroom Features|Shower &amp; Tub|Yes;Additional Bathroom Features|Other|Quartz Countertops;Additional Bathroom Features|Exhaust Fan|Yes;Assoc Amenities|Maintenance|Yes;Assoc Amenities|Park|Yes;Assoc Fees Includes|Common Area Maint|Yes;Builder/New Constr.|Date Complete|2026-05-30;Builder/New Constr.|Builder Warranty|Lennar;Builder/New Constr.|Builder Name|Lennar;Builder/New Constr.|Site Contact|520-399-7923;Income Property|Current Use|Owner Occupied;Sold Info|Seller Concessions|5,000;Window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Name|Archer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</si>
  <si>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Complete|2026-04-30;Builder/New Constr.|Builder Warranty|Lennar;Builder/New Constr.|Builder Name|Lennar;Builder/New Constr.|Site Contact|520-399-7923;Income Property|Current Use|Owner Occupied;Sold Info|Seller Concessions|4,000;Window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Name|Bristle B;Driveway|Paved|Concrete;Electric|Electric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</si>
  <si>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Complete|2026-04-30;Builder/New Constr.|Builder Warranty|Lennar;Builder/New Constr.|Builder Name|Lennar;Builder/New Constr.|Site Contact|520-399-7923;Income Property|Current Use|Owner Occupied;Sold Info|Seller Concessions|6,500;Window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Name|Carson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Faces|Southeast;Neighborhood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</si>
  <si>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Complete|2026-05-30;Builder/New Constr.|Builder Warranty|Lennar;Builder/New Constr.|Builder Name|Lennar;Builder/New Constr.|Site Contact|520-399-7923;Income Property|Current Use|Owner Occupied;Sold Info|Seller Concessions|5,000;Window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Name|Clark C;Driveway|Paved|Concrete;Electric|Electric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Faces|Southeast;Neighborhood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</si>
  <si>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Complete|2026-05-30;Builder/New Constr.|Builder Warranty|Lennar;Builder/New Constr.|Builder Name|Lennar;Builder/New Constr.|Site Contact|520-399-7923;Income Property|Current Use|Owner Occupied;Sold Info|Seller Concessions|8,761.74;Window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Name|Carson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</si>
  <si>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Complete|2026-04-30;Builder/New Constr.|Builder Warranty|Lennar;Builder/New Constr.|Builder Name|Lennar;Builder/New Constr.|Site Contact|520-399-7923;Income Property|Current Use|Owner Occupied;Sold Info|Seller Concessions|8,661.86;Window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Name|Etta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</si>
  <si>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Complete|2026-04-30;Builder/New Constr.|Builder Warranty|Lennar;Builder/New Constr.|Builder Name|Lennar;Builder/New Constr.|Site Contact|520-399-7923;Income Property|Current Use|Owner Occupied;Sold Info|Seller Concessions|8,009;Window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Name|Jeffry C;Driveway|Paved|Concrete;Electric|Electric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</si>
  <si>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Complete|2026-05-30;Builder/New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Name|Arcadia C;Driveway|Paved|Concrete;Electric|Electric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</si>
  <si>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Complete|2026-03-31;Builder/New Constr.|Builder Warranty|Lennar;Builder/New Constr.|Builder Name|Lennar;Builder/New Constr.|Site Contact|520-399-7923;Income Property|Current Use|Owner Occupied;Sold Info|Seller Concessions|6,799.84;Window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Name|Tanner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</si>
  <si>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Complete|2026-03-31;Builder/New Constr.|Builder Warranty|Lennar;Builder/New Constr.|Builder Name|Lennar;Builder/New Constr.|Site Contact|520-399-7923;Income Property|Current Use|Owner Occupied;Sold Info|Seller Concessions|7,500;Window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Name|Ironwood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</si>
  <si>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Complete|2026-03-31;Builder/New Constr.|Builder Warranty|Lennar;Builder/New Constr.|Builder Name|Lennar;Builder/New Constr.|Site Contact|520-399-7923;Income Property|Current Use|Owner Occupied;Sold Info|Seller Concessions|5,000;Window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Name|Ironwood B;Driveway|Paved|Concrete;Electric|Electric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</si>
  <si>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Complete|2026-03-31;Builder/New Constr.|Builder Warranty|Lennar;Builder/New Constr.|Builder Name|Lennar;Builder/New Constr.|Site Contact|520-399-7923;Income Property|Current Use|Owner Occupied;Sold Info|Seller Concessions|5,000;Window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Name|Bella NG C;Driveway|Paved|Concrete;Electric|Electric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</si>
  <si>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Complete|2026-06-30;Builder/New Constr.|Builder Warranty|Lennar;Builder/New Constr.|Builder Name|Lennar;Builder/New Constr.|Site Contact|520-399-7923;Income Property|Current Use|Owner Occupied;Sold Info|Seller Concessions|5,000;Window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Name|Mesa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</si>
  <si>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Features|Low Flow Showerhead|Yes;Additional Bathroom Features|Exhaust Fan|Yes;Additional Bathroom Features|Powder Room|Yes;Additional Bathroom Features|Pedestal Sink(s)|Yes;Assoc Amenities|None|Yes;Assoc Fees Includes|Common Area Maint|Yes;Builder/New Constr.|Site Phone|520-214-0226;Builder/New Constr.|New Construction|Yes;Builder/New Constr.|Site Contact|520-214-0226;Green Building Verification Type|ENERGY STAR Certified Homes|Yes;Green Building Verification Type|HERS Index Score|Yes;Income Property|Current Use|Owner Occupied;Window Features|Low-Emissivity Windows|Yes;Window Features|ENERGY STAR Qualified Windows|Yes;Road Maintenance|County|Yes;Road Type|Paved|Yes;Showing Service|Showing Service|None;Stories|One|Yes;Window Covering|None|Yes;Gas|Natural|Yes;Guest Facilities|None|Yes;Home Protection|Offered|No;Sewer|Connected|Yes;Construction|Frame - Stucco|Yes;Construction|Model Name|Hampton;Driveway|Paved|Pavers;Electric|Electric Company|TEP;Fence|Block|Yes;Roof|Tile|Yes;Spa|None|Yes;Style|Modern|Yes;Water Heater|Tankless Water Heater|Yes;Water Heater|ENERGY STAR Qualified Water Heater|Yes;Water Heater|Natural Gas|Yes;Fireplace|None|Yes;Floor Covering|Carpet|Yes;Floor Covering|Other|Luxury Vinyl Plank;Laundry|Laundry Room|Yes;Laundry|Gas Dryer Hookup|Yes;Laundry|Electric Dryer Hookup|Yes;Living Areas|Great Room|Yes;Main Cooling|ENERGY STAR Qualified Equipment|Yes;Main Cooling|SEER Rating|15;Main Cooling|Ceiling Fans Pre-Wired|Yes;Main Cooling|Heat Pump|Yes;Main Heating|Heat Pump|Yes;Main Heating|Natural Gas|Yes;Patio/Deck|Covered|Yes;RV Parking|None|Yes;Security|Smoke Detector(s)|Yes;Security|Carbon Monoxide Detector(s)|Yes;Subdivision Restrict|Deed Restrictions|Yes;Subdivision Restrict|Green Valley Rec|Yes - Has GVR;Subdivision Restrict|CC&amp;Rs|Yes;Subdivision Restrict|Age Restrictions|Yes;Dining Areas|Dining Area|Yes;Fireplace Location|None|Yes;Garage/Carport Feat|Electric Door Opener|Yes;Garage/Carport Feat|Tandem Garage|Yes;Lot Features|North/South Exposure|Yes;Pool|None|Yes;Pool|Conventional|No;Special Conditions|Public Report|Yes;View|Mountain(s)|Yes;View|Residential|Yes;Extra Room|Den|Yes;Landscape - Front|Decorative Gravel|Yes;Landscape - Front|Trees|Yes;Landscape - Front|Sprinkler/Drip|Yes;Landscape - Front|Shrubs|Yes;Landscape - Front|Graded|Yes;Landscape - Rear|None|Yes;Association &amp; Fees|HOA|Yes;Association &amp; Fees|Rec Fee|44;Association &amp; Fees|HOA Payment Frequency|Annually;Association &amp; Fees|HOA Amt (Monthly)|38;Primary Bathroom Features|Double Vanity|Yes;Primary Bathroom Features|Exhaust Fan|Yes;Primary Bathroom Features|Low Flow Showerhead|Yes;Primary Bathroom Features|Countertops|Quartz;Primary Bathroom Features|Shower Only|Yes;Technology|Cable TV|Yes;Technology|Smart Thermostat|Yes;Technology|Smart Panel|Yes;Technology|High Speed Internet|Yes;Terms|FHA|Yes;Terms|Cash|Yes;Terms|Conventional|Yes;Terms|VA|Yes;Water|Public|Yes;Exterior Features|Front Faces|North;Neighborhood Feature|Jogging/Bike Path|Yes;Property Disclosures|None|Yes;Accessibility Option|Door Levers|Yes;Kitchen Features|Exhaust Fan|Yes;Kitchen Features|ENERGY STAR Qualified Dishwasher|Yes;Kitchen Features|ENERGY STAR Qualified Range|Yes;Kitchen Features|Microwave|Yes;Kitchen Features|Dishwasher|Yes;Kitchen Features|Countertops|Quartz;Kitchen Features|Appliance Color|Stainless;Kitchen Features|Pantry|Walk-In;Kitchen Features|Kitchen Island|Yes;Kitchen Features|Gas Range|Yes;Kitchen Features|Disposal|Yes;Submit With Offer|Earnest Check|Yes;Interior Features|Split Bedroom Plan|Yes;Interior Features|High Ceilings|Yes;Interior Features|Energy Star Qualified|Yes;Interior Features|Energy Efficient Lighting|All;Interior Features|Walk-In Closet(s)|Yes;Interior Features|Entrance Foyer|Yes;Interior Features|Interior Steps Y/N|N;</t>
  </si>
  <si>
    <t>Additional Bathroom Features|Shower &amp; Tub|Yes;Additional Bathroom Features|Low Flow Showerhead|Yes;Additional Bathroom Features|Exhaust Fan|Yes;Additional Bathroom Features|Powder Room|Yes;Additional Bathroom Features|Pedestal Sink(s)|Yes;Assoc Amenities|None|Yes;Assoc Fees Includes|Common Area Maint|Yes;Builder/New Constr.|Site Phone|520-214-0226;Builder/New Constr.|New Construction|Yes;Builder/New Constr.|Site Contact|520-214-0226;Green Building Verification Type|ENERGY STAR Certified Homes|Yes;Green Building Verification Type|HERS Index Score|Yes;Income Property|Current Use|Owner Occupied;Window Features|Low-Emissivity Windows|Yes;Window Features|ENERGY STAR Qualified Windows|Yes;Road Maintenance|County|Yes;Road Type|Paved|Yes;Showing Service|Showing Service|None;Stories|One|Yes;Window Covering|None|Yes;Gas|Natural|Yes;Guest Facilities|None|Yes;Home Protection|Offered|No;Sewer|Connected|Yes;Construction|Frame - Stucco|Yes;Construction|Model Name|Thomas;Driveway|Paved|Pavers;Electric|Electric Company|TEP;Fence|Block|Yes;Roof|Tile|Yes;Spa|None|Yes;Style|Modern|Yes;Water Heater|Tankless Water Heater|Yes;Water Heater|ENERGY STAR Qualified Water Heater|Yes;Water Heater|Natural Gas|Yes;Fireplace|None|Yes;Floor Covering|Carpet|Yes;Floor Covering|Other|Luxury Vinyl Plank;Laundry|Laundry Room|Yes;Laundry|Gas Dryer Hookup|Yes;Laundry|Electric Dryer Hookup|Yes;Living Areas|Great Room|Yes;Main Cooling|ENERGY STAR Qualified Equipment|Yes;Main Cooling|SEER Rating|15;Main Cooling|Ceiling Fans Pre-Wired|Yes;Main Cooling|Heat Pump|Yes;Main Heating|Heat Pump|Yes;Main Heating|Natural Gas|Yes;Patio/Deck|Covered|Yes;RV Parking|None|Yes;Security|Smoke Detector(s)|Yes;Security|Carbon Monoxide Detector(s)|Yes;Subdivision Restrict|Deed Restrictions|Yes;Subdivision Restrict|Green Valley Rec|Yes - Has GVR;Subdivision Restrict|CC&amp;Rs|Yes;Subdivision Restrict|Age Restrictions|Yes;Dining Areas|Dining Area|Yes;Fireplace Location|None|Yes;Garage/Carport Feat|Electric Door Opener|Yes;Garage/Carport Feat|Tandem Garage|Yes;Lot Features|North/South Exposure|Yes;Pool|None|Yes;Pool|Conventional|No;Special Conditions|Public Report|Yes;View|Mountain(s)|Yes;View|Residential|Yes;Extra Room|Den|Yes;Landscape - Front|Decorative Gravel|Yes;Landscape - Front|Trees|Yes;Landscape - Front|Sprinkler/Drip|Yes;Landscape - Front|Shrubs|Yes;Landscape - Front|Graded|Yes;Landscape - Rear|None|Yes;Association &amp; Fees|HOA|Yes;Association &amp; Fees|Rec Fee|44;Association &amp; Fees|HOA Payment Frequency|Annually;Association &amp; Fees|HOA Amt (Monthly)|38;Primary Bathroom Features|Double Vanity|Yes;Primary Bathroom Features|Exhaust Fan|Yes;Primary Bathroom Features|Low Flow Showerhead|Yes;Primary Bathroom Features|Countertops|Quartz;Primary Bathroom Features|Shower Only|Yes;Technology|Cable TV|Yes;Technology|Smart Thermostat|Yes;Technology|Smart Panel|Yes;Technology|High Speed Internet|Yes;Terms|FHA|Yes;Terms|Cash|Yes;Terms|Conventional|Yes;Terms|VA|Yes;Water|Public|Yes;Exterior Features|Front Faces|North;Neighborhood Feature|Jogging/Bike Path|Yes;Property Disclosures|None|Yes;Accessibility Option|Door Levers|Yes;Kitchen Features|Exhaust Fan|Yes;Kitchen Features|ENERGY STAR Qualified Dishwasher|Yes;Kitchen Features|ENERGY STAR Qualified Range|Yes;Kitchen Features|Microwave|Yes;Kitchen Features|Dishwasher|Yes;Kitchen Features|Countertops|Quartz;Kitchen Features|Appliance Color|Stainless;Kitchen Features|Pantry|Walk-In;Kitchen Features|Kitchen Island|Yes;Kitchen Features|Gas Range|Yes;Kitchen Features|Disposal|Yes;Submit With Offer|Earnest Check|Yes;Interior Features|Split Bedroom Plan|Yes;Interior Features|High Ceilings|Yes;Interior Features|Energy Star Qualified|Yes;Interior Features|Energy Efficient Lighting|All;Interior Features|Walk-In Closet(s)|Yes;Interior Features|Entrance Foyer|Yes;Interior Features|Interior Steps Y/N|N;</t>
  </si>
  <si>
    <t>Additional Bathroom Features|Shower &amp; Tub|Yes;Additional Bathroom Features|Low Flow Showerhead|Yes;Additional Bathroom Features|Exhaust Fan|Yes;Additional Bathroom Features|Powder Room|Yes;Additional Bathroom Features|Pedestal Sink(s)|Yes;Assoc Amenities|None|Yes;Assoc Fees Includes|Common Area Maint|Yes;Builder/New Constr.|Site Phone|520-214-0226;Builder/New Constr.|New Construction|Yes;Builder/New Constr.|Site Contact|520-214-0226;Green Building Verification Type|ENERGY STAR Certified Homes|Yes;Green Building Verification Type|HERS Index Score|Yes;Income Property|Current Use|Owner Occupied;Window Features|Low-Emissivity Windows|Yes;Window Features|ENERGY STAR Qualified Windows|Yes;Road Maintenance|County|Yes;Road Type|Paved|Yes;Showing Service|Showing Service|None;Stories|One|Yes;Window Covering|None|Yes;Gas|Natural|Yes;Guest Facilities|None|Yes;Home Protection|Offered|No;Sewer|Connected|Yes;Construction|Frame - Stucco|Yes;Construction|Model Name|Charleston;Driveway|Paved|Pavers;Electric|Electric Company|TEP;Fence|Block|Yes;Roof|Tile|Yes;Spa|None|Yes;Style|Modern|Yes;Water Heater|Tankless Water Heater|Yes;Water Heater|ENERGY STAR Qualified Water Heater|Yes;Water Heater|Natural Gas|Yes;Fireplace|None|Yes;Floor Covering|Carpet|Yes;Floor Covering|Other|Luxury Vinyl Plank;Laundry|Laundry Room|Yes;Laundry|Gas Dryer Hookup|Yes;Laundry|Electric Dryer Hookup|Yes;Living Areas|Great Room|Yes;Main Cooling|ENERGY STAR Qualified Equipment|Yes;Main Cooling|SEER Rating|15;Main Cooling|Ceiling Fans Pre-Wired|Yes;Main Cooling|Heat Pump|Yes;Main Heating|Heat Pump|Yes;Main Heating|Natural Gas|Yes;Patio/Deck|Covered|Yes;RV Parking|None|Yes;Security|Smoke Detector(s)|Yes;Security|Carbon Monoxide Detector(s)|Yes;Subdivision Restrict|Deed Restrictions|Yes;Subdivision Restrict|Green Valley Rec|Yes - Has GVR;Subdivision Restrict|CC&amp;Rs|Yes;Subdivision Restrict|Age Restrictions|Yes;Dining Areas|Dining Area|Yes;Fireplace Location|None|Yes;Garage/Carport Feat|Electric Door Opener|Yes;Garage/Carport Feat|Tandem Garage|Yes;Lot Features|North/South Exposure|Yes;Pool|None|Yes;Pool|Conventional|No;Special Conditions|Public Report|Yes;View|Mountain(s)|Yes;View|Residential|Yes;Extra Room|Den|Yes;Landscape - Front|Decorative Gravel|Yes;Landscape - Front|Trees|Yes;Landscape - Front|Sprinkler/Drip|Yes;Landscape - Front|Shrubs|Yes;Landscape - Front|Graded|Yes;Landscape - Rear|None|Yes;Association &amp; Fees|HOA|Yes;Association &amp; Fees|Rec Fee|44;Association &amp; Fees|HOA Payment Frequency|Annually;Association &amp; Fees|HOA Amt (Monthly)|38;Primary Bathroom Features|Double Vanity|Yes;Primary Bathroom Features|Exhaust Fan|Yes;Primary Bathroom Features|Low Flow Showerhead|Yes;Primary Bathroom Features|Countertops|Quartz;Primary Bathroom Features|Shower Only|Yes;Technology|Cable TV|Yes;Technology|Smart Thermostat|Yes;Technology|Smart Panel|Yes;Technology|High Speed Internet|Yes;Terms|FHA|Yes;Terms|Cash|Yes;Terms|Conventional|Yes;Terms|VA|Yes;Water|Public|Yes;Exterior Features|Front Faces|North;Neighborhood Feature|Jogging/Bike Path|Yes;Property Disclosures|None|Yes;Accessibility Option|Door Levers|Yes;Kitchen Features|Exhaust Fan|Yes;Kitchen Features|ENERGY STAR Qualified Dishwasher|Yes;Kitchen Features|ENERGY STAR Qualified Range|Yes;Kitchen Features|Microwave|Yes;Kitchen Features|Dishwasher|Yes;Kitchen Features|Countertops|Quartz;Kitchen Features|Appliance Color|Stainless;Kitchen Features|Pantry|Walk-In;Kitchen Features|Kitchen Island|Yes;Kitchen Features|Gas Range|Yes;Kitchen Features|Disposal|Yes;Submit With Offer|Earnest Check|Yes;Interior Features|Split Bedroom Plan|Yes;Interior Features|High Ceilings|Yes;Interior Features|Energy Star Qualified|Yes;Interior Features|Energy Efficient Lighting|All;Interior Features|Walk-In Closet(s)|Yes;Interior Features|Entrance Foyer|Yes;Interior Features|Interior Steps Y/N|N;</t>
  </si>
  <si>
    <t>Additional Bathroom Features|Shower &amp; Tub|Yes;Additional Bathroom Features|Exhaust Fan|Yes;Assoc Amenities|Maintenance|Yes;Assoc Amenities|Pickleball|Yes;Assoc Amenities|Tennis Courts|Yes;Assoc Amenities|Spa/Hot Tub|Yes;Assoc Amenities|Security|Yes;Assoc Amenities|Recreation Room|Yes;Assoc Amenities|Pool|Yes;Assoc Amenities|Clubhouse|Yes;Assoc Fees Includes|Blanket Ins Policy|Yes;Assoc Fees Includes|Pest Control|Yes;Assoc Fees Includes|Gated Community|Yes;Assoc Fees Includes|Common Area Maint|Yes;Builder/New Constr.|Date Complete|2025-09-05;Builder/New Constr.|Builder Name|Robson Communities;Builder/New Constr.|New Construction|Yes;Builder/New Constr.|Date Framed|2025-04-11;Income Property|Current Use|Owner Occupied;Sold Info|Seller Concessions|0;Window Features|Low-Emissivity Windows|Yes;Road Maintenance|HOA|Yes;Road Type|Paved|Yes;Showing Service|Showing Service|None;Stories|One|Yes;Window Covering|None|Yes;Gas|Natural|Yes;Guest Facilities|None|Yes;Home Protection|Offered|No;Sewer|Connected|Yes;Construction|Frame|Yes;Construction|Model Name|VIVA;Construction|Stucco Finish|Yes;Driveway|Paved|Concrete;Electric|Electric Company|Trico;Fence|Stucco Finish|Yes;Fence|Masonry|Yes;Roof|Tile|Yes;Spa|None|Yes;Style|Contemporary|Yes;Style|Modern|Yes;Water Heater|Natural Gas|Yes;Fireplace|None|Yes;Floor Covering|Carpet|Yes;Floor Covering|Laminate|Yes;Floor Covering|Vinyl|Yes;Laundry|Laundry Room|Yes;Laundry|Gas Dryer Hookup|Yes;Laundry|Electric Dryer Hookup|Yes;Living Areas|Great Room|Yes;Main Cooling|Central Air|Yes;Main Heating|Forced Air|Yes;Patio/Deck|Patio|Yes;RV Parking|None|Yes;Security|Smoke Detector(s)|Yes;Security|Carbon Monoxide Detector(s)|Yes;Security|Security Gate|Yes;Subdivision Restrict|Deed Restrictions|Yes;Subdivision Restrict|CC&amp;Rs|Yes;Subdivision Restrict|Age Restrictions|Yes;Dining Areas|Dining Area|Yes;Fireplace Location|None|Yes;Garage/Carport Feat|Electric Door Opener|Yes;Lot Features|Subdivided|Yes;Lot Features|East/West Exposure|Yes;Pool|None|Yes;Pool|Conventional|No;Special Conditions|Public Report|Yes;View|Residential|Yes;Extra Room|Den|Yes;Landscape - Front|Low Care|Yes;Landscape - Front|Decorative Gravel|Yes;Landscape - Front|Sprinkler/Drip|Yes;Landscape - Front|Desert Plantings|Yes;Landscape - Rear|Low Care|Yes;Landscape - Rear|Decorative Gravel|Yes;Landscape - Rear|Sprinkler/Drip|Yes;Association &amp; Fees|HOA|Yes;Association &amp; Fees|HOA Amt (Monthly)|497;Primary Bathroom Features|Shower Only|Yes;Primary Bathroom Features|Exhaust Fan|Yes;Primary Bathroom Features|Countertops|Quartz;Technology|Pre-Wired Sat Dish|Yes;Technology|Smart Panel|Yes;Technology|Pre-Wired Tele Lines|Yes;Terms|Conventional|Yes;Terms|Cash|Yes;Water|Water Company|Yes;Exterior Features|Front Faces|West;Neighborhood Feature|Pool|Yes;Neighborhood Feature|Pickleball|Yes;Neighborhood Feature|Paved Street|Yes;Neighborhood Feature|Gated|Yes;Neighborhood Feature|Spa|Yes;Neighborhood Feature|Exercise Facilities|Yes;Neighborhood Feature|Putting Green|Yes;Neighborhood Feature|Jogging/Bike Path|Yes;Neighborhood Feature|Tennis Courts|Yes;Neighborhood Feature|Golf|Yes;Property Disclosures|None|Yes;Accessibility Option|None|Yes;Kitchen Features|Dishwasher|Yes;Kitchen Features|Convection Oven|Yes;Kitchen Features|Microwave|Yes;Kitchen Features|Gas Cooktop|Yes;Kitchen Features|Countertops|Quartz;Kitchen Features|Pantry|Walk-In;Kitchen Features|Kitchen Island|Yes;Kitchen Features|Disposal|Yes;Submit With Offer|Earnest Check|Yes;Submit With Offer|Loan Pre-Qual|Yes;Interior Features|Split Bedroom Plan|Yes;Interior Features|High Ceilings|Yes;Interior Features|Walk-In Closet(s)|Yes;Interior Features|Entrance Foyer|Yes;Interior Features|Interior Steps Y/N|N;</t>
  </si>
  <si>
    <t>Additional Bathroom Features|Shower &amp; Tub|Yes;Additional Bathroom Features|Exhaust Fan|Yes;Additional Bathroom Features|Powder Room|Yes;Additional Bathroom Features|Pedestal Sink(s)|Yes;Assoc Amenities|Clubhouse|Yes;Assoc Amenities|Pickleball|Yes;Assoc Amenities|Tennis Courts|Yes;Assoc Amenities|Spa/Hot Tub|Yes;Assoc Amenities|Security|Yes;Assoc Amenities|Recreation Room|Yes;Assoc Amenities|Pool|Yes;Assoc Fees Includes|Common Area Maint|Yes;Assoc Fees Includes|Street Maint|Yes;Assoc Fees Includes|Gated Community|Yes;Builder/New Constr.|Date Complete|2025-12-17;Builder/New Constr.|Builder Name|Robson Communities;Builder/New Constr.|New Construction|Yes;Builder/New Constr.|Date Framed|2025-04-18;Income Property|Current Use|Owner Occupied;Window Features|Low-Emissivity Windows|Yes;Window Features|Double Pane Windows|Yes;Road Maintenance|HOA|Yes;Road Type|Paved|Yes;Showing Service|Showing Service|None;Stories|One|Yes;Window Covering|None|Yes;Gas|Natural|Yes;Guest Facilities|None|Yes;Home Protection|Offered|No;Sewer|Connected|Yes;Construction|Frame|Yes;Construction|Model Name|Alora;Construction|Stucco Finish|Yes;Driveway|Paved|Concrete;Electric|Electric Company|Trico;Fence|None|Yes;Roof|Tile|Yes;Spa|None|Yes;Style|Contemporary|Yes;Style|Modern|Yes;Water Heater|Tankless Water Heater|Yes;Fireplace|None|Yes;Floor Covering|Carpet|Yes;Floor Covering|Vinyl|Yes;Floor Covering|Ceramic Tile|Yes;Laundry|Laundry Room|Yes;Laundry|Gas Dryer Hookup|Yes;Laundry|Electric Dryer Hookup|Yes;Living Areas|Great Room|Yes;Main Cooling|Central Air|Yes;Main Cooling|Ceiling Fans Pre-Wired|Yes;Main Heating|Forced Air|Yes;Patio/Deck|Patio|Yes;RV Parking|None|Yes;Security|Smoke Detector(s)|Yes;Security|Carbon Monoxide Detector(s)|Yes;Subdivision Restrict|Deed Restrictions|Yes;Subdivision Restrict|CC&amp;Rs|Yes;Subdivision Restrict|Age Restrictions|Yes;Dining Areas|Dining Area|Yes;Fireplace Location|None|Yes;Garage/Carport Feat|Electric Door Opener|Yes;Garage/Carport Feat|Utility Sink|Yes;Garage/Carport Feat|Extended Length|Yes;Garage/Carport Feat|Golf Cart Garage|Yes;Lot Features|Subdivided|Yes;Lot Features|Borders Common Area|Yes;Lot Features|North/South Exposure|Yes;Pool|None|Yes;Pool|Conventional|No;Special Conditions|Public Report|Yes;View|Residential|Yes;Extra Room|Den|Yes;Landscape - Front|Low Care|Yes;Landscape - Front|Decorative Gravel|Yes;Landscape - Front|Trees|Yes;Landscape - Front|Sprinkler/Drip|Yes;Landscape - Front|Shrubs|Yes;Landscape - Front|Desert Plantings|Yes;Landscape - Rear|Low Care|Yes;Landscape - Rear|Decorative Gravel|Yes;Landscape - Rear|Sprinkler/Drip|Yes;Landscape - Rear|Shrubs|Yes;Landscape - Rear|Desert Plantings|Yes;Association &amp; Fees|HOA|Yes;Association &amp; Fees|HOA Amt (Monthly)|287;Primary Bathroom Features|Double Vanity|Yes;Primary Bathroom Features|Exhaust Fan|Yes;Primary Bathroom Features|Shower Only|Yes;Technology|Pre-Wired Sat Dish|Yes;Technology|Smart Panel|Yes;Technology|Pre-Wired Tele Lines|Yes;Terms|Conventional|Yes;Terms|Cash|Yes;Water|Water Company|Yes;Exterior Features|Front Faces|South;Neighborhood Feature|Pool|Yes;Neighborhood Feature|Pickleball|Yes;Neighborhood Feature|Paved Street|Yes;Neighborhood Feature|Walking Trail|Yes;Neighborhood Feature|Gated|Yes;Neighborhood Feature|Spa|Yes;Neighborhood Feature|Exercise Facilities|Yes;Neighborhood Feature|Jogging/Bike Path|Yes;Neighborhood Feature|Tennis Courts|Yes;Neighborhood Feature|Golf|Yes;Property Disclosures|None|Yes;Accessibility Option|None|Yes;Kitchen Features|Dishwasher|Yes;Kitchen Features|# of Ovens|1;Kitchen Features|Microwave|Yes;Kitchen Features|Gas Cooktop|Yes;Kitchen Features|Convection Oven|Yes;Kitchen Features|Appliance Color|Stainless;Kitchen Features|Pantry|Walk-In;Kitchen Features|Kitchen Island|Yes;Kitchen Features|Refrigerator|Yes;Kitchen Features|Disposal|Yes;Submit With Offer|Earnest Check|Yes;Submit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</si>
  <si>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Features|Powder Room|Yes;Assoc Amenities|Clubhouse|Yes;Assoc Amenities|Pickleball|Yes;Assoc Amenities|Tennis Courts|Yes;Assoc Amenities|Spa/Hot Tub|Yes;Assoc Amenities|Security|Yes;Assoc Amenities|Recreation Room|Yes;Assoc Amenities|Pool|Yes;Assoc Fees Includes|Common Area Maint|Yes;Assoc Fees Includes|Street Maint|Yes;Assoc Fees Includes|Gated Community|Yes;Builder/New Constr.|Date Complete|2026-01-09;Builder/New Constr.|Builder Name|Robson Communities;Builder/New Constr.|New Construction|Yes;Builder/New Constr.|Date Framed|2025-07-21;Income Property|Current Use|Owner Occupied;Sold Info|Seller Concessions|0;Window Features|Low-Emissivity Windows|Yes;Road Maintenance|HOA|Yes;Road Type|Paved|Yes;Showing Service|Showing Service|None;Stories|One|Yes;Window Covering|None|Yes;Gas|Natural|Yes;Guest Facilities|None|Yes;Home Protection|Offered|No;Sewer|Connected|Yes;Construction|Frame|Yes;Construction|Model Name|Alora;Construction|Stucco Finish|Yes;Driveway|Paved|Concrete;Electric|Electric Company|Trico;Fence|None|Yes;Roof|Tile|Yes;Spa|None|Yes;Style|Contemporary|Yes;Style|Modern|Yes;Water Heater|Tankless Water Heater|Yes;Fireplace|None|Yes;Floor Covering|Carpet|Yes;Floor Covering|Engineered Wood|Yes;Floor Covering|Vinyl|Yes;Laundry|Laundry Room|Yes;Laundry|Gas Dryer Hookup|Yes;Laundry|Electric Dryer Hookup|Yes;Living Areas|Great Room|Yes;Main Cooling|Central Air|Yes;Main Cooling|Ceiling Fans Pre-Wired|Yes;Main Heating|Forced Air|Yes;Patio/Deck|Patio|Yes;RV Parking|None|Yes;Security|Smoke Detector(s)|Yes;Security|Carbon Monoxide Detector(s)|Yes;Subdivision Restrict|Deed Restrictions|Yes;Subdivision Restrict|CC&amp;Rs|Yes;Subdivision Restrict|Age Restrictions|Yes;Dining Areas|Dining Area|Yes;Fireplace Location|None|Yes;Garage/Carport Feat|Electric Door Opener|Yes;Garage/Carport Feat|Golf Cart Garage|Yes;Lot Features|Subdivided|Yes;Pool|None|Yes;Pool|Conventional|No;Special Conditions|Public Report|Yes;View|Residential|Yes;Extra Room|Den|Yes;Landscape - Front|None|Yes;Landscape - Rear|None|Yes;Association &amp; Fees|HOA|Yes;Association &amp; Fees|HOA Amt (Monthly)|287;Primary Bathroom Features|Double Vanity|Yes;Primary Bathroom Features|Exhaust Fan|Yes;Primary Bathroom Features|Shower Only|Yes;Technology|Pre-Wired Sat Dish|Yes;Technology|Smart Panel|Yes;Technology|Pre-Wired Tele Lines|Yes;Terms|Conventional|Yes;Terms|Cash|Yes;Water|Water Company|Yes;Exterior Features|None|Yes;Neighborhood Feature|Pool|Yes;Neighborhood Feature|Pickleball|Yes;Neighborhood Feature|Paved Street|Yes;Neighborhood Feature|Walking Trail|Yes;Neighborhood Feature|Gated|Yes;Neighborhood Feature|Spa|Yes;Neighborhood Feature|Exercise Facilities|Yes;Neighborhood Feature|Jogging/Bike Path|Yes;Neighborhood Feature|Tennis Courts|Yes;Neighborhood Feature|Golf|Yes;Property Disclosures|None|Yes;Accessibility Option|None|Yes;Kitchen Features|Dishwasher|Yes;Kitchen Features|# of Ovens|1;Kitchen Features|Microwave|Yes;Kitchen Features|Convection Oven|Yes;Kitchen Features|Appliance Color|Stainless;Kitchen Features|Pantry|Walk-In;Kitchen Features|Gas Range|Yes;Kitchen Features|Refrigerator|Yes;Kitchen Features|Disposal|Yes;Submit With Offer|Earnest Check|Yes;Submit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</si>
  <si>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Features|Powder Room|Yes;Assoc Amenities|Clubhouse|Yes;Assoc Amenities|Pickleball|Yes;Assoc Amenities|Tennis Courts|Yes;Assoc Amenities|Spa/Hot Tub|Yes;Assoc Amenities|Security|Yes;Assoc Amenities|Recreation Room|Yes;Assoc Amenities|Pool|Yes;Assoc Fees Includes|Common Area Maint|Yes;Assoc Fees Includes|Street Maint|Yes;Assoc Fees Includes|Gated Community|Yes;Builder/New Constr.|Date Complete|2026-01-13;Builder/New Constr.|Builder Name|Robson Communities;Builder/New Constr.|New Construction|Yes;Builder/New Constr.|Date Framed|2025-06-18;Income Property|Current Use|Owner Occupied;Sold Info|Seller Concessions|0;Window Features|Low-Emissivity Windows|Yes;Road Maintenance|HOA|Yes;Road Type|Paved|Yes;Showing Service|Showing Service|None;Stories|One|Yes;Window Covering|None|Yes;Gas|Natural|Yes;Guest Facilities|None|Yes;Home Protection|Offered|No;Sewer|Connected|Yes;Construction|Frame|Yes;Construction|Model Name|Alora;Construction|Stucco Finish|Yes;Driveway|Paved|Concrete;Electric|Electric Company|Trico;Fence|None|Yes;Roof|Tile|Yes;Spa|None|Yes;Style|Contemporary|Yes;Style|Modern|Yes;Water Heater|Tankless Water Heater|Yes;Fireplace|None|Yes;Floor Covering|Carpet|Yes;Floor Covering|Vinyl|Yes;Floor Covering|Ceramic Tile|Yes;Laundry|Storage|Yes;Laundry|Gas Dryer Hookup|Yes;Laundry|Electric Dryer Hookup|Yes;Laundry|Laundry Room|Yes;Living Areas|Great Room|Yes;Main Cooling|Central Air|Yes;Main Cooling|Ceiling Fans Pre-Wired|Yes;Main Heating|Forced Air|Yes;Patio/Deck|Patio|Yes;RV Parking|None|Yes;Security|Smoke Detector(s)|Yes;Security|Carbon Monoxide Detector(s)|Yes;Subdivision Restrict|Deed Restrictions|Yes;Subdivision Restrict|CC&amp;Rs|Yes;Subdivision Restrict|Age Restrictions|Yes;Dining Areas|Dining Area|Yes;Fireplace Location|None|Yes;Garage/Carport Feat|Electric Door Opener|Yes;Garage/Carport Feat|Utility Sink|Yes;Garage/Carport Feat|Extended Length|Yes;Garage/Carport Feat|Golf Cart Garage|Yes;Lot Features|Subdivided|Yes;Lot Features|Borders Common Area|Yes;Lot Features|North/South Exposure|Yes;Pool|None|Yes;Pool|Conventional|No;Special Conditions|Public Report|Yes;View|Residential|Yes;Extra Room|Den|Yes;Landscape - Front|None|Yes;Landscape - Rear|None|Yes;Association &amp; Fees|HOA|Yes;Association &amp; Fees|HOA Amt (Monthly)|287;Primary Bathroom Features|Double Vanity|Yes;Primary Bathroom Features|Exhaust Fan|Yes;Primary Bathroom Features|Shower Only|Yes;Technology|Pre-Wired Tele Lines|Yes;Technology|Smart Panel|Yes;Terms|Conventional|Yes;Terms|Cash|Yes;Water|Water Company|Yes;Exterior Features|Front Faces|Southeast;Neighborhood Feature|Pool|Yes;Neighborhood Feature|Pickleball|Yes;Neighborhood Feature|Paved Street|Yes;Neighborhood Feature|Walking Trail|Yes;Neighborhood Feature|Gated|Yes;Neighborhood Feature|Spa|Yes;Neighborhood Feature|Exercise Facilities|Yes;Neighborhood Feature|Jogging/Bike Path|Yes;Neighborhood Feature|Tennis Courts|Yes;Neighborhood Feature|Golf|Yes;Property Disclosures|None|Yes;Accessibility Option|None|Yes;Kitchen Features|Dishwasher|Yes;Kitchen Features|# of Ovens|1;Kitchen Features|Microwave|Yes;Kitchen Features|Appliance Color|Stainless;Kitchen Features|Pantry|Walk-In;Kitchen Features|Gas Range|Yes;Kitchen Features|Refrigerator|Yes;Kitchen Features|Disposal|Yes;Submit With Offer|Earnest Check|Yes;Submit With Offer|Loan Pre-Qual|Yes;Interior Features|Split Bedroom Plan|Yes;Interior Features|High Ceilings|Yes;Interior Features|Walk-In Closet(s)|Yes;Interior Features|Interior Steps Y/N|N;</t>
  </si>
  <si>
    <t>Additional Bathroom Features|Shower &amp; Tub|Yes;Additional Bathroom Features|Other|Quartz Countertops;Additional Bathroom Features|Exhaust Fan|Yes;Assoc Amenities|Maintenance|Yes;Assoc Amenities|Park|Yes;Assoc Fees Includes|Common Area Maint|Yes;Builder/New Constr.|Date Complete|2026-08-31;Builder/New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Name|Bristle C;Driveway|Paved|Concrete;Electric|Electric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</si>
  <si>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Complete|2026-06-30;Builder/New Constr.|Builder Warranty|Lennar;Builder/New Constr.|Builder Name|Lennar;Builder/New Constr.|Site Contact|520-399-7923;Income Property|Current Use|Owner Occupied;Sold Info|Seller Concessions|8,795.65;Window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Name|Dune B;Driveway|Paved|Concrete;Electric|Electric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</si>
  <si>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Only|Yes;Additional Bathroom Features|Exhaust Fan|Yes;Additional Bathroom Features|Powder Room|Yes;Additional Bathroom Features|Pedestal Sink(s)|Yes;Assoc Amenities|Maintenance|Yes;Assoc Amenities|Pickleball|Yes;Assoc Amenities|Tennis Courts|Yes;Assoc Amenities|Security|Yes;Assoc Amenities|Pool|Yes;Assoc Amenities|Clubhouse|Yes;Assoc Fees Includes|Common Area Maint|Yes;Assoc Fees Includes|Street Maint|Yes;Builder/New Constr.|Date Complete|2026-02-27;Builder/New Constr.|Builder Name|Robson Communities;Builder/New Constr.|New Construction|Yes;Builder/New Constr.|Date Framed|2025-09-23;Green Building Verification Type|ENERGY STAR Certified Homes|Yes;Income Property|Current Use|Owner Occupied;Sold Info|Seller Concessions|0;Window Features|Low-Emissivity Windows|Yes;Window Features|Double Pane Windows|Yes;Road Maintenance|HOA|Yes;Road Type|Paved|Yes;Showing Service|Showing Service|None;Stories|One|Yes;Window Covering|None|Yes;Gas|Natural|Yes;Guest Facilities|None|Yes;Home Protection|Offered|No;Sewer|Connected|Yes;Construction|Frame - Stucco|Yes;Driveway|Paved|Concrete;Electric|Electric Company|Trico;Fence|Block|Yes;Roof|Tile|Yes;Spa|None|Yes;Style|Contemporary|Yes;Style|Modern|Yes;Water Heater|Tankless Water Heater|Yes;Fireplace|None|Yes;Floor Covering|Carpet|Yes;Floor Covering|Vinyl|Yes;Floor Covering|Ceramic Tile|Yes;Laundry|Sink|Yes;Laundry|Gas Dryer Hookup|Yes;Laundry|Laundry Room|Yes;Laundry|Storage|Yes;Living Areas|Great Room|Yes;Main Cooling|Central Air|Yes;Main Cooling|Ceiling Fans Pre-Wired|Yes;Main Heating|Forced Air|Yes;Patio/Deck|Patio|Yes;RV Parking|None|Yes;Security|None|Yes;Security|Carbon Monoxide Detector(s)|Yes;Security|Smoke Detector(s)|Yes;Subdivision Restrict|Deed Restrictions|Yes;Subdivision Restrict|CC&amp;Rs|Yes;Subdivision Restrict|Age Restrictions|Yes;Dining Areas|Dining Area|Yes;Fireplace Location|None|Yes;Garage/Carport Feat|Electric Door Opener|Yes;Garage/Carport Feat|Second Garage|Yes;Lot Features|On Golf Course|Yes;Lot Features|East/West Exposure|Yes;Pool|None|Yes;Pool|Conventional|No;Special Conditions|Public Report|Yes;View|Sunset|Yes;View|Golf Course|Yes;Extra Room|None|Yes;Landscape - Front|None|Yes;Landscape - Rear|None|Yes;Association &amp; Fees|HOA|Yes;Association &amp; Fees|HOA Amt (Monthly)|305.83;Primary Bathroom Features|Double Vanity|Yes;Primary Bathroom Features|Exhaust Fan|Yes;Primary Bathroom Features|Countertops|Quartz;Primary Bathroom Features|Soaking Tub|Yes;Primary Bathroom Features|Shower Only|Yes;Technology|Pre-Wired Sat Dish|Yes;Technology|Smart Panel|Yes;Technology|Pre-Wired Tele Lines|Yes;Terms|Conventional|Yes;Terms|Cash|Yes;Water|Water Company|Yes;Exterior Features|Front Faces|East;Neighborhood Feature|Pool|Yes;Neighborhood Feature|Paved Street|Yes;Neighborhood Feature|Pickleball|Yes;Neighborhood Feature|Golf|Yes;Neighborhood Feature|Exercise Facilities|Yes;Neighborhood Feature|Jogging/Bike Path|Yes;Neighborhood Feature|Tennis Courts|Yes;Property Disclosures|None|Yes;Accessibility Option|None|Yes;Kitchen Features|Dishwasher|Yes;Kitchen Features|# of Ovens|1;Kitchen Features|Gas Cooktop|Yes;Kitchen Features|Electric Oven|Yes;Kitchen Features|Appliance Color|Stainless;Kitchen Features|Pantry|Walk-In;Kitchen Features|Kitchen Island|Yes;Kitchen Features|Refrigerator|Yes;Kitchen Features|Disposal|Yes;Submit With Offer|Earnest Check|Yes;Submit With Offer|Loan Pre-Qual|Yes;Interior Features|Split Bedroom Plan|Yes;Interior Features|High Ceilings|Yes;Interior Features|Walk-In Closet(s)|Yes;Interior Features|Entrance Foyer|Yes;Interior Features|Interior Steps Y/N|N;</t>
  </si>
  <si>
    <t>Additional Bathroom Features|Shower &amp; Tub|Yes;Additional Bathroom Features|Other|Quartz Countertops;Additional Bathroom Features|Exhaust Fan|Yes;Assoc Amenities|Maintenance|Yes;Assoc Amenities|Park|Yes;Assoc Fees Includes|Common Area Maint|Yes;Builder/New Constr.|Date Complete|2026-05-30;Builder/New Constr.|Builder Warranty|Lennar;Builder/New Constr.|Builder Name|Lennar;Builder/New Constr.|Site Contact|520-399-7923;Income Property|Current Use|Owner Occupied;Sold Info|Seller Concessions|8,000;Window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Name|Bella NG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</si>
  <si>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Concessions|2,000;Window Features|Low-Emissivity Windows|Yes;Window Features|Double Pane Windows|Yes;Window Features|ENERGY STAR Qualified Windows|Yes;Road Maintenance|HOA|Yes;Road Type|Paved|Yes;Showing Service|Showing Service|ShowingTime;Stories|Two|Yes;Window Covering|Other|faux wood blinds;Gas|Natural|Yes;Guest Facilities|None|Yes;Home Protection|Plan By|Builder;Sewer|Connected|Yes;Construction|Frame - Stucco|Yes;Construction|Model Name|Sienna;Driveway|Paved|Concrete;Electric|Electric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Cooling|Ceiling Fans Pre-Wired|Yes;Main Cooling|ENERGY STAR Qualified Equipment|Yes;Main Heating|Heat Pump|Yes;Main Heating|Energy Star Qualified Equipment|Yes;Main Heating|Electric|Yes;Main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Room|Loft|Yes;Landscape - Front|Low Care|Yes;Landscape - Front|Decorative Gravel|Yes;Landscape - Front|Sprinkler/Drip|Yes;Landscape - Front|Shrubs|Yes;Landscape - Front|Desert Plantings|Yes;Landscape - Rear|None|Yes;Association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Features|Exhaust Fan|Yes;Kitchen Features|Microwave|Yes;Kitchen Features|ENERGY STAR Qualified Range|Yes;Kitchen Features|ENERGY STAR Qualified Refrigerator|Yes;Kitchen Features|ENERGY STAR Qualified Dishwasher|Yes;Kitchen Features|Dishwasher|Yes;Kitchen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Y/N|Y;Interior Features|High Ceilings|Yes;Interior Features|Energy Star Qualified|Yes;Interior Features|Walk-In Closet(s)|Yes;Interior Features|Entrance Foyer|Yes;</t>
  </si>
  <si>
    <t>Additional Bathroom Features|Shower &amp; Tub|Yes;Additional Bathroom Features|Exhaust Fan|Yes;Assoc Amenities|Maintenance|Yes;Assoc Amenities|Park|Yes;Assoc Fees Includes|Common Area Maint|Yes;Builder/New Constr.|Date Complete|2026-06-30;Builder/New Constr.|Builder Warranty|Lennar;Builder/New Constr.|Builder Name|Lennar;Builder/New Constr.|Site Contact|520-399-7923;Income Property|Current Use|Owner Occupied;Window Features|Low-Emissivity Windows|Yes;Road Maintenance|County|Yes;Road Type|Paved|Yes;Showing Service|Showing Service|None;Stories|One|Yes;Window Covering|Some|Yes;Gas|Natural|Yes;Guest Facilities|None|Yes;Home Protection|Offered|No;Sewer|Connected|Yes;Construction|Frame - Stucco|Yes;Construction|Model Name|Daisy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Faces|South;Neighborhood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</si>
  <si>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Fan|Yes;Additional Bathroom Features|Powder Room|Yes;Additional Bathroom Features|Double Vanity|Yes;Assoc Amenities|Maintenance|Yes;Assoc Amenities|Park|Yes;Assoc Fees Includes|Common Area Maint|Yes;Builder/New Constr.|Date Complete|2026-04-30;Builder/New Constr.|Builder Warranty|Lennar;Builder/New Constr.|Builder Name|Lennar;Builder/New Constr.|Site Contact|520-399-7923;Income Property|Current Use|Owner Occupied;Window Features|Low-Emissivity Windows|Yes;Road Maintenance|County|Yes;Road Type|Paved|Yes;Showing Service|Showing Service|None;Stories|Two|Yes;Window Covering|Some|Yes;Gas|Natural|Yes;Guest Facilities|None|Yes;Home Protection|Offered|No;Sewer|Connected|Yes;Construction|Frame - Stucco|Yes;Construction|Model Name|Gwen A;Driveway|Paved|Concrete;Electric|Electric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Room|Loft|Yes;Extra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Features|Double Vanity|Yes;Primary Bathroom Features|Exhaust Fan|Yes;Primary Bathroom Features|Shower Only|Yes;Technology|Smart Thermostat|Yes;Terms|FHA|Yes;Terms|Cash|Yes;Terms|Conventional|Yes;Terms|VA|Yes;Water|Other|Spanish Trail Water;Water|Water Company|Yes;Exterior Features|None|Yes;Exterior Features|Front Faces|Southwest;Neighborhood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Y/N|Y;Interior Features|Energy Efficient Lighting|Some;Interior Features|Walk-In Closet(s)|Yes;Interior Features|Entrance Foyer|Yes;</t>
  </si>
  <si>
    <t>Additional Bathroom Features|Shower &amp; Tub|Yes;Additional Bathroom Features|Exhaust Fan|Yes;Additional Bathroom Features|Powder Room|Yes;Additional Bathroom Features|Double Vanity|Yes;Assoc Amenities|Maintenance|Yes;Assoc Amenities|Park|Yes;Assoc Fees Includes|Common Area Maint|Yes;Builder/New Constr.|Date Complete|2026-03-31;Builder/New Constr.|Builder Warranty|Lennar;Builder/New Constr.|Builder Name|Lennar;Builder/New Constr.|Site Contact|520-399-7923;Income Property|Current Use|Owner Occupied;Sold Info|Seller Concessions|5,500;Window Features|Low-Emissivity Windows|Yes;Road Maintenance|County|Yes;Road Type|Paved|Yes;Showing Service|Showing Service|None;Stories|Two|Yes;Window Covering|Some|Yes;Gas|Natural|Yes;Guest Facilities|None|Yes;Home Protection|Offered|No;Sewer|Connected|Yes;Construction|Frame - Stucco|Yes;Construction|Model Name|Gwen B;Driveway|Paved|Concrete;Electric|Electric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Room|Loft|Yes;Extra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Features|Double Vanity|Yes;Primary Bathroom Features|Exhaust Fan|Yes;Primary Bathroom Features|Shower Only|Yes;Technology|Smart Thermostat|Yes;Terms|FHA|Yes;Terms|Cash|Yes;Terms|Conventional|Yes;Terms|VA|Yes;Water|Other|Spanish Trail Water;Water|Water Company|Yes;Exterior Features|None|Yes;Exterior Features|Front Faces|Northeast;Neighborhood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Y/N|Y;Interior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</si>
  <si>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Complete|2026-05-30;Builder/New Constr.|Builder Warranty|Lennar;Builder/New Constr.|Builder Name|Lennar;Builder/New Constr.|Site Contact|520-399-7923;Income Property|Current Use|Owner Occupied;Sold Info|Seller Concessions|6,500;Window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Name|Venture A;Driveway|Paved|Concrete;Electric|Electric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Areas|Breakfast Nook|Yes;Fireplace Location|None|Yes;Garage/Carport Feat|Attached Garage/Carport|Yes;Lot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</si>
  <si>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Complete|2026-06-30;Builder/New Constr.|Builder Warranty|Lennar;Builder/New Constr.|Builder Name|Lennar;Builder/New Constr.|Site Contact|520-399-7923;Income Property|Current Use|Owner Occupied;Sold Info|Seller Concessions|7,800;Window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Name|Venture C;Driveway|Paved|Concrete;Electric|Electric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Areas|Breakfast Nook|Yes;Fireplace Location|None|Yes;Garage/Carport Feat|Attached Garage/Carport|Yes;Lot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</si>
  <si>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Fan|Yes;Assoc Amenities|Maintenance|Yes;Assoc Amenities|Park|Yes;Assoc Fees Includes|Common Area Maint|Yes;Builder/New Constr.|Date Complete|2026-04-30;Builder/New Constr.|Builder Warranty|Lennar;Builder/New Constr.|Builder Name|Lennar;Builder/New Constr.|Site Contact|520-399-7923;Income Property|Current Use|Owner Occupied;Window Features|Low-Emissivity Windows|Yes;Road Maintenance|County|Yes;Road Type|Paved|Yes;Showing Service|Showing Service|None;Stories|One|Yes;Window Covering|Some|Yes;Gas|Natural|Yes;Guest Facilities|None|Yes;Home Protection|Offered|No;Sewer|Connected|Yes;Construction|Frame - Stucco|Yes;Construction|Model Name|Dolly B;Driveway|Paved|Concrete;Electric|Electric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</si>
  <si>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Complete|2026-07-31;Builder/New Constr.|Builder Warranty|Lennar;Builder/New Constr.|Builder Name|Lennar;Builder/New Constr.|Site Contact|520-399-7923;Builder/New Constr.|Date Framed|2025-02-28;Income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Name|Traverse B;Driveway|Paved|Concrete;Electric|Electric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Garage/Carport|Yes;Garage/Carport Feat|Tandem Garage|Yes;Lot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Faces|South;Neighborhood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</si>
  <si>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Complete|2026-07-31;Builder/New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Name|Bella NG B;Driveway|Paved|Concrete;Electric|Electric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</si>
  <si>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Complete|2026-05-30;Builder/New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Name|Jeffry B;Driveway|Paved|Concrete;Electric|Electric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Faces|Southeast;Neighborhood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</si>
  <si>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Fan|Yes;Additional Bathroom Features|Powder Room|Yes;Additional Bathroom Features|Double Vanity|Yes;Assoc Amenities|Maintenance|Yes;Assoc Amenities|Park|Yes;Assoc Fees Includes|Common Area Maint|Yes;Builder/New Constr.|Date Complete|2026-07-31;Builder/New Constr.|Builder Warranty|Lennar;Builder/New Constr.|Builder Name|Lennar;Builder/New Constr.|Site Contact|520-399-7923;Income Property|Current Use|Owner Occupied;Window Features|Low-Emissivity Windows|Yes;Road Maintenance|County|Yes;Road Type|Paved|Yes;Showing Service|Showing Service|None;Stories|Two|Yes;Window Covering|Some|Yes;Gas|Natural|Yes;Guest Facilities|None|Yes;Home Protection|Offered|No;Sewer|Connected|Yes;Construction|Frame - Stucco|Yes;Construction|Model Name|Poppy A;Driveway|Paved|Concrete;Electric|Electric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Room|Loft|Yes;Extra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Features|Double Vanity|Yes;Primary Bathroom Features|Exhaust Fan|Yes;Primary Bathroom Features|Shower Only|Yes;Technology|Smart Thermostat|Yes;Terms|FHA|Yes;Terms|Cash|Yes;Terms|Conventional|Yes;Terms|VA|Yes;Water|Other|Spanish Trail Water;Water|Water Company|Yes;Exterior Features|None|Yes;Exterior Features|Front Faces|Southwest;Neighborhood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Y/N|Y;Interior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</si>
  <si>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Complete|2026-07-31;Builder/New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Name|Tanner B;Driveway|Paved|Concrete;Electric|Electric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</si>
  <si>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Complete|2026-07-31;Builder/New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Name|Ironwood C;Driveway|Paved|Concrete;Electric|Electric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</si>
  <si>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Complete|2026-05-07;Builder/New Constr.|Builder Name|Meritage Homes;Builder/New Constr.|New Construction|Yes;Builder/New Constr.|Site Phone|520-686-5755;Builder/New Constr.|Date Framed|2026-02-17;Income Property|Current Use|Owner Occupied;Road Maintenance|City|Yes;Road Type|Paved|Yes;Showing Service|Showing Service|None;Stories|One|Yes;Window Covering|None|Yes;Gas|Natural|Yes;Guest Facilities|None|Yes;Home Protection|Offered|No;Sewer|Connected|Yes;Construction|Stucco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Room|None|Yes;Landscape - Front|Desert Plantings|Yes;Landscape - Front|Decorative Gravel|Yes;Landscape - Front|Shrubs|Yes;Landscape - Rear|None|Yes;Association &amp; Fees|HOA|Yes;Association &amp; Fees|Rec Fee|0;Association &amp; Fees|HOA Telephone|(520) 603-1889;Association &amp; Fees|HOA Name|The Rocking K South;Association &amp; Fees|HOA Transfer Fee|125;Association &amp; Fees|HOA Payment Frequency|Quarterly;Association &amp; Fees|HOA Amt (Monthly)|84;Primary Bathroom Features|Shower Only|Yes;Primary Bathroom Features|Exhaust Fan|Yes;Primary Bathroom Features|Low Flow Showerhead|Yes;Technology|High Speed Internet|Yes;Technology|Smart Panel|Yes;Terms|FHA|Yes;Terms|Cash|Yes;Terms|Conventional|Yes;Terms|VA|Yes;Water|Public|Yes;Exterior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Features|Refrigerator|Yes;Kitchen Features|Disposal|Yes;Submit With Offer|Earnest Check|Yes;Interior Features|Interior Steps Y/N|N;Interior Features|Walk-In Closet(s)|Yes;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</si>
  <si>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Complete|2026-04-29;Builder/New Constr.|Builder Name|Meritage Homes;Builder/New Constr.|New Construction|Yes;Builder/New Constr.|Site Phone|520-686-5755;Builder/New Constr.|Date Framed|2026-02-02;Income Property|Current Use|Owner Occupied;Road Maintenance|City|Yes;Road Type|Paved|Yes;Showing Service|Showing Service|None;Stories|One|Yes;Window Covering|None|Yes;Gas|Natural|Yes;Guest Facilities|None|Yes;Home Protection|Offered|No;Sewer|Connected|Yes;Construction|Stucco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Pump|Yes;Patio/Deck|Patio|Yes;RV Parking|None|Yes;Security|Smoke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Room|None|Yes;Landscape - Front|Desert Plantings|Yes;Landscape - Front|Decorative Gravel|Yes;Landscape - Front|Shrubs|Yes;Landscape - Rear|None|Yes;Association &amp; Fees|HOA|Yes;Association &amp; Fees|Rec Fee|0;Association &amp; Fees|HOA Telephone|(520) 603-1889;Association &amp; Fees|HOA Name|The Rocking K South;Association &amp; Fees|HOA Transfer Fee|125;Association &amp; Fees|HOA Payment Frequency|Quarterly;Association &amp; Fees|HOA Amt (Monthly)|84.5;Primary Bathroom Features|Double Vanity|Yes;Primary Bathroom Features|Exhaust Fan|Yes;Primary Bathroom Features|Shower Only|Yes;Technology|High Speed Internet|Yes;Technology|Smart Panel|Yes;Terms|FHA|Yes;Terms|Cash|Yes;Terms|Conventional|Yes;Terms|VA|Yes;Water|Public|Yes;Exterior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Features|Refrigerator|Yes;Kitchen Features|Disposal|Yes;Submit With Offer|Earnest Check|Yes;Interior Features|Interior Steps Y/N|Y;Interior Features|Walk-In Closet(s)|Yes;</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</si>
  <si>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Concessions|0;Window Features|Low-Emissivity Windows|Yes;Window Features|Double Pane Windows|Yes;Window Features|ENERGY STAR Qualified Windows|Yes;Road Maintenance|HOA|Yes;Road Type|Paved|Yes;Showing Service|Showing Service|ShowingTime;Stories|One|Yes;Window Covering|Other|faux wood blinds;Gas|Natural|Yes;Guest Facilities|None|Yes;Home Protection|Plan By|Builder;Sewer|Connected|Yes;Construction|Frame - Stucco|Yes;Construction|Model Name|Copper;Driveway|Paved|Concrete;Electric|Electric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Heating|Heat Pump|Yes;Main Heating|Energy Star Qualified Equipment|Yes;Main Heating|Electric|Yes;Main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Room|None|Yes;Landscape - Front|Low Care|Yes;Landscape - Front|Decorative Gravel|Yes;Landscape - Front|Sprinkler/Drip|Yes;Landscape - Front|Shrubs|Yes;Landscape - Front|Desert Plantings|Yes;Landscape - Rear|Low Care|Yes;Landscape - Rear|Decorative Gravel|Yes;Landscape - Rear|Sprinkler/Drip|Yes;Landscape - Rear|None|Yes;Landscape - Rear|Desert Plantings|Yes;Association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Range|Yes;Kitchen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Y/N|N;Interior Features|High Ceilings|Yes;Interior Features|Energy Star Qualified|Yes;Interior Features|Walk-In Closet(s)|Yes;Interior Features|Entrance Foyer|Yes;</t>
  </si>
  <si>
    <t>Additional Bathroom Features|Shower &amp; Tub|Yes;Additional Bathroom Features|Exhaust Fan|Yes;Additional Bathroom Features|Powder Room|Yes;Assoc Amenities|Clubhouse|Yes;Assoc Amenities|Pickleball|Yes;Assoc Amenities|Tennis Courts|Yes;Assoc Amenities|Spa/Hot Tub|Yes;Assoc Amenities|Security|Yes;Assoc Amenities|Recreation Room|Yes;Assoc Amenities|Pool|Yes;Assoc Fees Includes|Blanket Ins Policy|Yes;Assoc Fees Includes|Pest Control|Yes;Assoc Fees Includes|Gated Community|Yes;Assoc Fees Includes|Front Yard Maint|Yes;Assoc Fees Includes|Common Area Maint|Yes;Builder/New Constr.|Date Complete|2026-03-16;Builder/New Constr.|Builder Name|Robson Communities;Builder/New Constr.|New Construction|Yes;Builder/New Constr.|Date Framed|2025-11-14;Income Property|Current Use|Owner Occupied;Window Features|Low-Emissivity Windows|Yes;Road Maintenance|HOA|Yes;Road Type|Paved|Yes;Showing Service|Showing Service|None;Stories|One|Yes;Window Covering|None|Yes;Gas|Natural|Yes;Guest Facilities|None|Yes;Home Protection|Offered|No;Sewer|Connected|Yes;Construction|Frame|Yes;Construction|Stucco Finish|Yes;Driveway|Paved|Concrete;Electric|Electric Company|Trico Electric;Fence|Stucco Finish|Yes;Fence|Masonry|Yes;Roof|Tile|Yes;Spa|None|Yes;Style|Contemporary|Yes;Style|Modern|Yes;Water Heater|Natural Gas|Yes;Fireplace|None|Yes;Floor Covering|Carpet|Yes;Floor Covering|Laminate|Yes;Floor Covering|Vinyl|Yes;Laundry|Laundry Room|Yes;Laundry|Gas Dryer Hookup|Yes;Living Areas|Great Room|Yes;Main Cooling|Zoned|Yes;Main Cooling|Ceiling Fans Pre-Wired|Yes;Main Heating|Forced Air|Yes;Patio/Deck|Patio|Yes;RV Parking|None|Yes;Security|Smoke Detector(s)|Yes;Security|Security Gate|Yes;Subdivision Restrict|Deed Restrictions|Yes;Subdivision Restrict|CC&amp;Rs|Yes;Subdivision Restrict|Age Restrictions|Yes;Dining Areas|Dining Area|Yes;Fireplace Location|None|Yes;Garage/Carport Feat|Electric Door Opener|Yes;Lot Features|Borders Common Area|Yes;Pool|Conventional|No;Special Conditions|Public Report|Yes;View|Residential|Yes;Extra Room|Den|Yes;Landscape - Front|Low Care|Yes;Landscape - Front|Decorative Gravel|Yes;Landscape - Front|Trees|Yes;Landscape - Front|Sprinkler/Drip|Yes;Landscape - Front|Shrubs|Yes;Landscape - Front|Desert Plantings|Yes;Landscape - Rear|Low Care|Yes;Landscape - Rear|Shrubs|Yes;Landscape - Rear|Sprinkler/Drip|Yes;Landscape - Rear|Desert Plantings|Yes;Association &amp; Fees|HOA|Yes;Association &amp; Fees|HOA Payment Frequency|Semi-Annually;Association &amp; Fees|HOA Amt (Monthly)|497.19;Primary Bathroom Features|Double Vanity|Yes;Primary Bathroom Features|Exhaust Fan|Yes;Primary Bathroom Features|Countertops|Quartz;Primary Bathroom Features|Shower Only|Yes;Technology|Pre-Wired Sat Dish|Yes;Technology|Smart Panel|Yes;Terms|Conventional|Yes;Terms|Cash|Yes;Water|Water Company|Yes;Exterior Features|None|Yes;Neighborhood Feature|Pool|Yes;Neighborhood Feature|Walking Trail|Yes;Neighborhood Feature|Pickleball|Yes;Neighborhood Feature|Gated|Yes;Neighborhood Feature|Spa|Yes;Neighborhood Feature|Rec Center|Yes;Neighborhood Feature|Exercise Facilities|Yes;Neighborhood Feature|Jogging/Bike Path|Yes;Neighborhood Feature|Tennis Courts|Yes;Neighborhood Feature|Golf|Yes;Property Disclosures|Other|CC&amp;Rs;Accessibility Option|None|Yes;Kitchen Features|Disposal|Yes;Kitchen Features|# of Ovens|1;Kitchen Features|ENERGY STAR Qualified Refrigerator|Yes;Kitchen Features|ENERGY STAR Qualified Dishwasher|Yes;Kitchen Features|Microwave|Yes;Kitchen Features|Gas Cooktop|Yes;Kitchen Features|Appliance Color|Stainless;Kitchen Features|Pantry|Walk-In;Kitchen Features|Kitchen Island|Yes;Submit With Offer|Earnest Check|Yes;Submit With Offer|Other|New Home Contract;Interior Features|Split Bedroom Plan|Yes;Interior Features|High Ceilings|Yes;Interior Features|Walk-In Closet(s)|Yes;Interior Features|Entrance Foyer|Yes;Interior Features|Interior Steps Y/N|N;</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</si>
  <si>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Concessions|0;Window Features|Low-Emissivity Windows|Yes;Window Features|Double Pane Windows|Yes;Window Features|ENERGY STAR Qualified Windows|Yes;Road Maintenance|HOA|Yes;Road Type|Paved|Yes;Showing Service|Showing Service|ShowingTime;Stories|One|Yes;Window Covering|Other|faux wood blinds;Gas|Natural|Yes;Guest Facilities|None|Yes;Home Protection|Plan By|Builder;Sewer|Connected|Yes;Construction|Frame - Stucco|Yes;Construction|Model Name|Copper;Driveway|Paved|Concrete;Electric|Electric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Cooling|Ceiling Fans Pre-Wired|Yes;Main Cooling|ENERGY STAR Qualified Equipment|Yes;Main Heating|Heat Pump|Yes;Main Heating|Energy Star Qualified Equipment|Yes;Main Heating|Electric|Yes;Main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Room|None|Yes;Landscape - Front|Low Care|Yes;Landscape - Front|Decorative Gravel|Yes;Landscape - Front|Sprinkler/Drip|Yes;Landscape - Front|Shrubs|Yes;Landscape - Front|Desert Plantings|Yes;Landscape - Rear|None|Yes;Association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Range|Yes;Kitchen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Features|Split Bedroom Plan|Yes;Interior Features|High Ceilings|Yes;Interior Features|Energy Star Qualified|Yes;Interior Features|Walk-In Closet(s)|Yes;Interior Features|Entrance Foyer|Yes;Interior Features|Interior Steps Y/N|N;</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</si>
  <si>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Concessions|31,186;Window Features|Low-Emissivity Windows|Yes;Window Features|Double Pane Windows|Yes;Window Features|ENERGY STAR Qualified Windows|Yes;Road Maintenance|HOA|Yes;Road Type|Paved|Yes;Showing Service|Showing Service|ShowingTime;Stories|Two|Yes;Window Covering|None|Yes;Gas|Natural|Yes;Guest Facilities|None|Yes;Home Protection|Plan By|Builder;Sewer|Connected|Yes;Construction|Frame - Stucco|Yes;Construction|Model Name|Sienna;Driveway|Paved|Concrete;Electric|Electric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Room|Loft|Yes;Landscape - Front|Low Care|Yes;Landscape - Front|Decorative Gravel|Yes;Landscape - Front|Sprinkler/Drip|Yes;Landscape - Front|Shrubs|Yes;Landscape - Front|Desert Plantings|Yes;Landscape - Rear|None|Yes;Association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Features|Exhaust Fan|Yes;Kitchen Features|Microwave|Yes;Kitchen Features|ENERGY STAR Qualified Range|Yes;Kitchen Features|ENERGY STAR Qualified Refrigerator|Yes;Kitchen Features|ENERGY STAR Qualified Dishwasher|Yes;Kitchen Features|Dishwasher|Yes;Kitchen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Y/N|Y;Interior Features|High Ceilings|Yes;Interior Features|Energy Star Qualified|Yes;Interior Features|Walk-In Closet(s)|Yes;Interior Features|Entrance Foyer|Yes;</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</si>
  <si>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Occupied;Window Features|Low-Emissivity Windows|Yes;Window Features|Double Pane Windows|Yes;Window Features|ENERGY STAR Qualified Windows|Yes;Road Maintenance|HOA|Yes;Road Type|Paved|Yes;Showing Service|Showing Service|ShowingTime;Stories|One|Yes;Window Covering|Other|faux wood blinds;Gas|Natural|Yes;Guest Facilities|None|Yes;Home Protection|Plan By|Builder;Sewer|Connected|Yes;Construction|Frame - Stucco|Yes;Construction|Model Name|Copper;Driveway|Paved|Concrete;Electric|Electric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Room|Den|Yes;Landscape - Front|Low Care|Yes;Landscape - Front|Decorative Gravel|Yes;Landscape - Front|Sprinkler/Drip|Yes;Landscape - Front|Shrubs|Yes;Landscape - Front|Desert Plantings|Yes;Landscape - Rear|Low Care|Yes;Landscape - Rear|Artificial Turf|Yes;Landscape - Rear|Decorative Gravel|Yes;Landscape - Rear|Sprinkler/Drip|Yes;Landscape - Rear|Other|pavers;Landscape - Rear|Desert Plantings|Yes;Association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Features|Split Bedroom Plan|Yes;Interior Features|High Ceilings|Yes;Interior Features|Energy Star Qualified|Yes;Interior Features|Walk-In Closet(s)|Yes;Interior Features|Entrance Foyer|Yes;Interior Features|Interior Steps Y/N|N;</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</si>
  <si>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Occupied;Window Features|Low-Emissivity Windows|Yes;Window Features|Double Pane Windows|Yes;Window Features|ENERGY STAR Qualified Windows|Yes;Road Maintenance|HOA|Yes;Road Type|Paved|Yes;Showing Service|Showing Service|ShowingTime;Stories|One|Yes;Window Covering|Other|faux wood blinds;Gas|Natural|Yes;Guest Facilities|None|Yes;Home Protection|Plan By|Builder;Sewer|Connected|Yes;Construction|Frame - Stucco|Yes;Construction|Model Name|Copper;Driveway|Paved|Concrete;Electric|Electric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Room|Den|Yes;Landscape - Front|Low Care|Yes;Landscape - Front|Decorative Gravel|Yes;Landscape - Front|Sprinkler/Drip|Yes;Landscape - Front|Shrubs|Yes;Landscape - Front|Desert Plantings|Yes;Landscape - Rear|Low Care|Yes;Landscape - Rear|Artificial Turf|Yes;Landscape - Rear|Decorative Gravel|Yes;Landscape - Rear|Sprinkler/Drip|Yes;Landscape - Rear|Shrubs|Yes;Landscape - Rear|Other|pavers;Association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Features|Split Bedroom Plan|Yes;Interior Features|High Ceilings|Yes;Interior Features|Energy Star Qualified|Yes;Interior Features|Walk-In Closet(s)|Yes;Interior Features|Entrance Foyer|Yes;Interior Features|Interior Steps Y/N|N;</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</si>
  <si>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Concessions|20,000;Window Features|Low-Emissivity Windows|Yes;Window Features|Double Pane Windows|Yes;Window Features|ENERGY STAR Qualified Windows|Yes;Road Maintenance|HOA|Yes;Road Type|Paved|Yes;Showing Service|Showing Service|ShowingTime;Stories|Two|Yes;Window Covering|Other|faux wood blinds;Gas|Natural|Yes;Guest Facilities|None|Yes;Home Protection|Plan By|Builder;Sewer|Connected|Yes;Construction|Frame - Stucco|Yes;Construction|Model Name|Sienna;Driveway|Paved|Concrete;Electric|Electric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Opener|Yes;Garage/Carport Feat|Other|Storage space;Lot Features|Subdivided|Yes;Lot Features|North/South Exposure|Yes;Pool|None|Yes;Pool|Conventional|No;Special Conditions|None|Yes;View|Residential|Yes;Extra Room|Loft|Yes;Landscape - Front|Low Care|Yes;Landscape - Front|Decorative Gravel|Yes;Landscape - Front|Sprinkler/Drip|Yes;Landscape - Front|Shrubs|Yes;Landscape - Front|Desert Plantings|Yes;Landscape - Rear|Low Care|Yes;Landscape - Rear|Artificial Turf|Yes;Landscape - Rear|Shrubs|Yes;Landscape - Rear|Sprinkler/Drip|Yes;Landscape - Rear|Other|pavers;Association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Features|Exhaust Fan|Yes;Kitchen Features|Microwave|Yes;Kitchen Features|ENERGY STAR Qualified Range|Yes;Kitchen Features|ENERGY STAR Qualified Refrigerator|Yes;Kitchen Features|ENERGY STAR Qualified Dishwasher|Yes;Kitchen Features|Dishwasher|Yes;Kitchen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Y/N|Y;Interior Features|High Ceilings|Yes;Interior Features|Energy Star Qualified|Yes;Interior Features|Walk-In Closet(s)|Yes;Interior Features|Entrance Foyer|Yes;</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</si>
  <si>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Concessions|11,000;Window Features|Low-Emissivity Windows|Yes;Window Features|Double Pane Windows|Yes;Window Features|ENERGY STAR Qualified Windows|Yes;Road Maintenance|HOA|Yes;Road Type|Paved|Yes;Showing Service|Showing Service|ShowingTime;Stories|One|Yes;Window Covering|Other|faux wood blinds;Gas|Natural|Yes;Guest Facilities|None|Yes;Home Protection|Plan By|Builder;Sewer|Connected|Yes;Construction|Frame - Stucco|Yes;Construction|Model Name|Brandy;Driveway|Paved|Concrete;Electric|Electric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Room|None|Yes;Landscape - Front|Low Care|Yes;Landscape - Front|Decorative Gravel|Yes;Landscape - Front|Sprinkler/Drip|Yes;Landscape - Front|Shrubs|Yes;Landscape - Front|Desert Plantings|Yes;Landscape - Rear|Low Care|Yes;Landscape - Rear|Artificial Turf|Yes;Landscape - Rear|Decorative Gravel|Yes;Landscape - Rear|Sprinkler/Drip|Yes;Landscape - Rear|Other|pavers;Association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Range|Yes;Kitchen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Y/N|N;Interior Features|High Ceilings|Yes;Interior Features|Energy Star Qualified|Yes;Interior Features|Walk-In Closet(s)|Yes;Interior Features|Entrance Foyer|Yes;</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</si>
  <si>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Occupied;Window Features|Low-Emissivity Windows|Yes;Window Features|Double Pane Windows|Yes;Window Features|ENERGY STAR Qualified Windows|Yes;Road Maintenance|HOA|Yes;Road Type|Paved|Yes;Showing Service|Showing Service|ShowingTime;Stories|One|Yes;Window Covering|Other|faux wood blinds;Gas|Natural|Yes;Guest Facilities|None|Yes;Home Protection|Plan By|Builder;Sewer|Connected|Yes;Construction|Frame - Stucco|Yes;Construction|Model Name|Copper;Driveway|Paved|Concrete;Electric|Electric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Room|None|Yes;Landscape - Front|Low Care|Yes;Landscape - Front|Decorative Gravel|Yes;Landscape - Front|Sprinkler/Drip|Yes;Landscape - Front|Shrubs|Yes;Landscape - Front|Desert Plantings|Yes;Landscape - Rear|Low Care|Yes;Landscape - Rear|Artificial Turf|Yes;Landscape - Rear|Decorative Gravel|Yes;Landscape - Rear|Sprinkler/Drip|Yes;Landscape - Rear|Shrubs|Yes;Landscape - Rear|Natural Desert|Yes;Association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Features|Split Bedroom Plan|Yes;Interior Features|High Ceilings|Yes;Interior Features|Energy Star Qualified|Yes;Interior Features|Walk-In Closet(s)|Yes;Interior Features|Entrance Foyer|Yes;Interior Features|Interior Steps Y/N|N;</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</si>
  <si>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Occupied;Window Features|Low-Emissivity Windows|Yes;Window Features|Double Pane Windows|Yes;Window Features|ENERGY STAR Qualified Windows|Yes;Road Maintenance|HOA|Yes;Road Type|Paved|Yes;Showing Service|Showing Service|ShowingTime;Stories|One|Yes;Window Covering|Other|faux wood blinds;Gas|Natural|Yes;Guest Facilities|None|Yes;Home Protection|Plan By|Builder;Sewer|Connected|Yes;Construction|Frame - Stucco|Yes;Construction|Model Name|Brandy;Driveway|Paved|Concrete;Electric|Electric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Cooling|ENERGY STAR Qualified Equipment|Yes;Main Heating|Energy Star Qualified Equipment|Yes;Main Heating|Natural Gas|Yes;Main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Room|None|Yes;Landscape - Front|Low Care|Yes;Landscape - Front|Decorative Gravel|Yes;Landscape - Front|Sprinkler/Drip|Yes;Landscape - Front|Shrubs|Yes;Landscape - Front|Desert Plantings|Yes;Landscape - Rear|Low Care|Yes;Landscape - Rear|Artificial Turf|Yes;Landscape - Rear|Decorative Gravel|Yes;Landscape - Rear|Sprinkler/Drip|Yes;Landscape - Rear|Shrubs|Yes;Association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Range|Yes;Kitchen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Y/N|N;Interior Features|High Ceilings|Yes;Interior Features|Energy Star Qualified|Yes;Interior Features|Walk-In Closet(s)|Yes;Interior Features|Entrance Foyer|Yes;</t>
  </si>
  <si>
    <t>Additional Bathroom Features|Shower &amp; Tub|Yes;Additional Bathroom Features|Exhaust Fan|Yes;Assoc Amenities|Park|Yes;Assoc Amenities|Pickleball|Yes;Assoc Fees Includes|Common Area Maint|Yes;Builder/New Constr.|Date Complete|2026-11-30;Builder/New Constr.|Builder Warranty|Yes;Builder/New Constr.|Builder Name|Del Webb;Builder/New Constr.|New Construction|Yes;Builder/New Constr.|Site Phone|(520) 837-0276;Builder/New Constr.|Date Framed|2026-02-27;Income Property|Current Use|Owner Occupied;Window Features|Double Pane Windows|Yes;Road Maintenance|County|Yes;Road Type|Paved|Yes;Showing Service|Showing Service|None;Stories|One|Yes;Window Covering|None|Yes;Gas|Natural|Yes;Guest Facilities|None|Yes;Home Protection|Offered|Yes;Home Protection|Plan By|Builder Warranty;Sewer|Connected|Yes;Construction|Stucco Finish|Yes;Construction|Model Name|Hideaway;Construction|Wood Frame|Yes;Driveway|Paved|Concrete;Electric|Electric Company|TEP;Fence|Block|Yes;Roof|Tile|Yes;Spa|None|Yes;Style|Ranch|Yes;Style|Southwestern|Yes;Water Heater|Natural Gas|Yes;Fireplace|None|Yes;Floor Covering|Carpet|Yes;Floor Covering|Ceramic Tile|Yes;Laundry|Laundry Room|Yes;Living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Areas|Breakfast Bar|Yes;Dining Areas|Great Room|Yes;Fireplace Location|None|Yes;Garage/Carport Feat|Electric Door Opener|Yes;Garage/Carport Feat|Attached Garage/Carport|Yes;Lot Features|Subdivided|Yes;Pool|Conventional|No;Special Conditions|Public Report|Yes;View|Sunset|Yes;View|Residential|Yes;Extra Room|None|Yes;Landscape - Front|Low Care|Yes;Landscape - Front|Decorative Gravel|Yes;Landscape - Front|Sprinkler/Drip|Yes;Landscape - Rear|None|Yes;Association &amp; Fees|HOA|Yes;Association &amp; Fees|HOA Telephone|480-921-7500;Association &amp; Fees|HOA Name|Del Webb Rocking K;Association &amp; Fees|HOA Payment Frequency|Monthly;Association &amp; Fees|HOA Amt (Monthly)|305;Primary Bathroom Features|Double Vanity|Yes;Primary Bathroom Features|Exhaust Fan|Yes;Primary Bathroom Features|Shower Only|Yes;Technology|Cable TV|Yes;Technology|Pre-Wired Tele Lines|Yes;Technology|Smart Panel|Yes;Terms|FHA|Yes;Terms|Cash|Yes;Terms|Conventional|Yes;Terms|VA|Yes;Water|Water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Features|Dishwasher|Yes;Kitchen Features|Microwave|Yes;Kitchen Features|Countertops|granite;Kitchen Features|Appliance Color|Stainless;Kitchen Features|Reverse Osmosis|Yes;Kitchen Features|Pantry|Walk-In;Kitchen Features|Kitchen Island|Yes;Kitchen Features|Disposal|Yes;Submit With Offer|Earnest Check|Yes;Interior Features|Split Bedroom Plan|Yes;Interior Features|Walk-In Closet(s)|Yes;Interior Features|Entrance Foyer|Yes;Interior Features|Ceiling Fan(s)|Yes;Interior Features|Interior Steps Y/N|N;</t>
  </si>
  <si>
    <t>Additional Bathroom Features|Shower &amp; Tub|Yes;Additional Bathroom Features|Exhaust Fan|Yes;Assoc Amenities|Park|Yes;Assoc Amenities|Pickleball|Yes;Assoc Fees Includes|Common Area Maint|Yes;Builder/New Constr.|Date Complete|2026-11-30;Builder/New Constr.|Builder Warranty|Yes;Builder/New Constr.|Builder Name|Del Webb;Builder/New Constr.|New Construction|Yes;Builder/New Constr.|Site Phone|(520) 837-0276;Builder/New Constr.|Date Framed|2026-02-27;Income Property|Current Use|Owner Occupied;Window Features|Double Pane Windows|Yes;Road Maintenance|County|Yes;Road Type|Paved|Yes;Showing Service|Showing Service|None;Stories|One|Yes;Window Covering|None|Yes;Gas|Natural|Yes;Guest Facilities|None|Yes;Home Protection|Offered|Yes;Home Protection|Plan By|Builder Warranty;Sewer|Connected|Yes;Construction|Stucco Finish|Yes;Construction|Model Name|Pursuit;Construction|Wood Frame|Yes;Driveway|Paved|Concrete;Electric|Electric Company|TEP;Fence|Block|Yes;Fence|Wrought Iron|Yes;Roof|Tile|Yes;Spa|None|Yes;Style|Ranch|Yes;Style|Southwestern|Yes;Water Heater|Natural Gas|Yes;Fireplace|None|Yes;Floor Covering|Carpet|Yes;Floor Covering|Ceramic Tile|Yes;Laundry|Laundry Room|Yes;Living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Areas|Breakfast Bar|Yes;Dining Areas|Breakfast Nook|Yes;Fireplace Location|None|Yes;Garage/Carport Feat|Electric Door Opener|Yes;Garage/Carport Feat|Attached Garage/Carport|Yes;Lot Features|Subdivided|Yes;Pool|Conventional|No;Special Conditions|Public Report|Yes;View|Sunset|Yes;View|Residential|Yes;Extra Room|Den|Yes;Landscape - Front|Low Care|Yes;Landscape - Front|Decorative Gravel|Yes;Landscape - Front|Sprinkler/Drip|Yes;Landscape - Rear|None|Yes;Association &amp; Fees|HOA|Yes;Association &amp; Fees|HOA Telephone|480-921-7500;Association &amp; Fees|HOA Name|Del Webb Rocking K;Association &amp; Fees|HOA Payment Frequency|Monthly;Association &amp; Fees|HOA Amt (Monthly)|305;Primary Bathroom Features|Double Vanity|Yes;Primary Bathroom Features|Exhaust Fan|Yes;Primary Bathroom Features|Shower Only|Yes;Technology|Cable TV|Yes;Technology|Smart Panel|Yes;Technology|Pre-Wired Tele Lines|Yes;Terms|FHA|Yes;Terms|Cash|Yes;Terms|Conventional|Yes;Terms|VA|Yes;Water|Water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Features|Dishwasher|Yes;Kitchen Features|Microwave|Yes;Kitchen Features|Countertops|quartz;Kitchen Features|Appliance Color|Stainless;Kitchen Features|Reverse Osmosis|Yes;Kitchen Features|Pantry|Walk-In;Kitchen Features|Kitchen Island|Yes;Kitchen Features|Disposal|Yes;Submit With Offer|Earnest Check|Yes;Interior Features|Split Bedroom Plan|Yes;Interior Features|Walk-In Closet(s)|Yes;Interior Features|Entrance Foyer|Yes;Interior Features|Ceiling Fan(s)|Yes;Interior Features|Interior Steps Y/N|N;</t>
  </si>
  <si>
    <t>Additional Bathroom Features|Shower &amp; Tub|Yes;Additional Bathroom Features|Exhaust Fan|Yes;Assoc Amenities|Park|Yes;Assoc Amenities|Pickleball|Yes;Assoc Fees Includes|Common Area Maint|Yes;Builder/New Constr.|Date Complete|2026-11-30;Builder/New Constr.|Builder Warranty|Yes;Builder/New Constr.|Builder Name|Del Webb;Builder/New Constr.|New Construction|Yes;Builder/New Constr.|Site Phone|(520) 837-0276;Builder/New Constr.|Date Framed|2026-02-27;Income Property|Current Use|Owner Occupied;Window Features|Double Pane Windows|Yes;Road Maintenance|County|Yes;Road Type|Paved|Yes;Showing Service|Showing Service|None;Stories|One|Yes;Window Covering|None|Yes;Gas|Natural|Yes;Guest Facilities|None|Yes;Home Protection|Offered|Yes;Home Protection|Plan By|Builder Warranty;Sewer|Connected|Yes;Construction|Stucco Finish|Yes;Construction|Model Name|Serenity;Construction|Wood Frame|Yes;Driveway|Paved|Concrete;Electric|Electric Company|TEP;Fence|Block|Yes;Fence|Wrought Iron|Yes;Roof|Tile|Yes;Spa|None|Yes;Style|Ranch|Yes;Style|Southwestern|Yes;Water Heater|Natural Gas|Yes;Fireplace|None|Yes;Floor Covering|Carpet|Yes;Floor Covering|Ceramic Tile|Yes;Laundry|Laundry Room|Yes;Living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Areas|Breakfast Bar|Yes;Dining Areas|Breakfast Nook|Yes;Fireplace Location|None|Yes;Garage/Carport Feat|Electric Door Opener|Yes;Garage/Carport Feat|Attached Garage/Carport|Yes;Lot Features|Subdivided|Yes;Pool|Conventional|No;Special Conditions|Public Report|Yes;View|Sunset|Yes;View|Residential|Yes;Extra Room|Den|Yes;Landscape - Front|Low Care|Yes;Landscape - Front|Decorative Gravel|Yes;Landscape - Front|Sprinkler/Drip|Yes;Landscape - Rear|None|Yes;Association &amp; Fees|HOA|Yes;Association &amp; Fees|HOA Telephone|480-921-7500;Association &amp; Fees|HOA Name|Del Webb Rocking K;Association &amp; Fees|HOA Payment Frequency|Monthly;Association &amp; Fees|HOA Amt (Monthly)|305;Primary Bathroom Features|Double Vanity|Yes;Primary Bathroom Features|Exhaust Fan|Yes;Primary Bathroom Features|Shower Only|Yes;Technology|Cable TV|Yes;Technology|Smart Panel|Yes;Technology|Pre-Wired Tele Lines|Yes;Terms|FHA|Yes;Terms|Cash|Yes;Terms|Conventional|Yes;Terms|VA|Yes;Water|Water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Features|Dishwasher|Yes;Kitchen Features|Microwave|Yes;Kitchen Features|Countertops|quartz;Kitchen Features|Appliance Color|Stainless;Kitchen Features|Reverse Osmosis|Yes;Kitchen Features|Pantry|Walk-In;Kitchen Features|Kitchen Island|Yes;Kitchen Features|Disposal|Yes;Submit With Offer|Earnest Check|Yes;Interior Features|Split Bedroom Plan|Yes;Interior Features|Walk-In Closet(s)|Yes;Interior Features|Entrance Foyer|Yes;Interior Features|Ceiling Fan(s)|Yes;Interior Features|Interior Steps Y/N|N;</t>
  </si>
  <si>
    <t>Additional Bathroom Features|Shower &amp; Tub|Yes;Additional Bathroom Features|Exhaust Fan|Yes;Assoc Amenities|Park|Yes;Assoc Amenities|Pickleball|Yes;Assoc Fees Includes|Common Area Maint|Yes;Builder/New Constr.|Date Complete|2026-11-30;Builder/New Constr.|Builder Warranty|Yes;Builder/New Constr.|Builder Name|Del Webb;Builder/New Constr.|New Construction|Yes;Builder/New Constr.|Site Phone|(520) 837-0276;Builder/New Constr.|Date Framed|2026-02-27;Income Property|Current Use|Owner Occupied;Window Features|Double Pane Windows|Yes;Road Maintenance|County|Yes;Road Type|Paved|Yes;Showing Service|Showing Service|None;Stories|One|Yes;Window Covering|None|Yes;Gas|Natural|Yes;Guest Facilities|None|Yes;Home Protection|Offered|Yes;Home Protection|Plan By|Builder Warranty;Sewer|Connected|Yes;Construction|Stucco Finish|Yes;Construction|Model Name|Sanctuary;Construction|Wood Frame|Yes;Driveway|Paved|Concrete;Electric|Electric Company|TEP;Fence|Block|Yes;Fence|Wrought Iron|Yes;Roof|Tile|Yes;Spa|None|Yes;Style|Ranch|Yes;Style|Southwestern|Yes;Water Heater|Natural Gas|Yes;Fireplace|None|Yes;Floor Covering|Carpet|Yes;Floor Covering|Ceramic Tile|Yes;Laundry|Laundry Room|Yes;Living Areas|Great Room|Yes;Main Cooling|Central Air|Yes;Main Cooling|Ceiling Fans Pre-Wired|Yes;Main Heating|Forced Air|Yes;Patio/Deck|Covered|Yes;Patio/Deck|Patio|Yes;RV Parking|None|Yes;Security|Smoke Detector(s)|Yes;Subdivision Restrict|Deed Restrictions|Yes;Subdivision Restrict|CC&amp;Rs|Yes;Subdivision Restrict|Age Restrictions|Yes;Dining Areas|Breakfast Bar|Yes;Dining Areas|Breakfast Nook|Yes;Fireplace Location|None|Yes;Garage/Carport Feat|Electric Door Opener|Yes;Garage/Carport Feat|Attached Garage/Carport|Yes;Lot Features|Subdivided|Yes;Pool|Conventional|No;Special Conditions|Public Report|Yes;View|Sunset|Yes;View|Residential|Yes;Extra Room|Den|Yes;Landscape - Front|Low Care|Yes;Landscape - Front|Decorative Gravel|Yes;Landscape - Front|Sprinkler/Drip|Yes;Landscape - Rear|None|Yes;Association &amp; Fees|HOA|Yes;Association &amp; Fees|HOA Telephone|480-921-7500;Association &amp; Fees|HOA Name|Del Webb Rocking K;Association &amp; Fees|HOA Payment Frequency|Monthly;Association &amp; Fees|HOA Amt (Monthly)|305;Primary Bathroom Features|Double Vanity|Yes;Primary Bathroom Features|Exhaust Fan|Yes;Primary Bathroom Features|Shower Only|Yes;Technology|Cable TV|Yes;Technology|Smart Panel|Yes;Technology|Pre-Wired Tele Lines|Yes;Terms|FHA|Yes;Terms|Cash|Yes;Terms|Conventional|Yes;Terms|VA|Yes;Water|Water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Features|Dishwasher|Yes;Kitchen Features|Microwave|Yes;Kitchen Features|Countertops|quartz;Kitchen Features|Appliance Color|Stainless;Kitchen Features|Reverse Osmosis|Yes;Kitchen Features|Pantry|Walk-In;Kitchen Features|Kitchen Island|Yes;Kitchen Features|Disposal|Yes;Submit With Offer|Earnest Check|Yes;Interior Features|Split Bedroom Plan|Yes;Interior Features|Walk-In Closet(s)|Yes;Interior Features|Entrance Foyer|Yes;Interior Features|Ceiling Fan(s)|Yes;Interior Features|Interior Steps Y/N|N;</t>
  </si>
  <si>
    <t>Additional Bathroom Features|Shower &amp; Tub|Yes;Additional Bathroom Features|Other|Quartz Countertops;Additional Bathroom Features|Exhaust Fan|Yes;Assoc Amenities|Maintenance|Yes;Assoc Amenities|Park|Yes;Assoc Fees Includes|Common Area Maint|Yes;Builder/New Constr.|Date Complete|2026-06-30;Builder/New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Name|Archer B;Driveway|Paved|Concrete;Electric|Electric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Faces|Southeast;Neighborhood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</si>
  <si>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Complete|2026-09-30;Builder/New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Name|Carson B;Driveway|Paved|Concrete;Electric|Electric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</si>
  <si>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Complete|2026-10-31;Builder/New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Name|Bella NG B;Driveway|Paved|Concrete;Electric|Electric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</si>
  <si>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Fan|Yes;Additional Bathroom Features|Powder Room|Yes;Additional Bathroom Features|Double Vanity|Yes;Assoc Amenities|Maintenance|Yes;Assoc Amenities|Park|Yes;Assoc Fees Includes|Common Area Maint|Yes;Builder/New Constr.|Date Complete|2026-09-30;Builder/New Constr.|Builder Warranty|Lennar;Builder/New Constr.|Builder Name|Lennar;Builder/New Constr.|Site Contact|520-399-7923;Income Property|Current Use|Owner Occupied;Window Features|Low-Emissivity Windows|Yes;Road Maintenance|County|Yes;Road Type|Paved|Yes;Showing Service|Showing Service|None;Stories|Two|Yes;Window Covering|Some|Yes;Gas|Natural|Yes;Guest Facilities|None|Yes;Home Protection|Offered|No;Sewer|Connected|Yes;Construction|Frame - Stucco|Yes;Construction|Model Name|Poppy C;Driveway|Paved|Concrete;Electric|Electric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Room|Loft|Yes;Extra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Features|Double Vanity|Yes;Primary Bathroom Features|Exhaust Fan|Yes;Primary Bathroom Features|Shower Only|Yes;Technology|Smart Thermostat|Yes;Terms|FHA|Yes;Terms|Cash|Yes;Terms|Conventional|Yes;Terms|VA|Yes;Water|Other|Spanish Trail Water;Water|Water Company|Yes;Exterior Features|None|Yes;Exterior Features|Front Faces|Southeast;Neighborhood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Y/N|Y;Interior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</si>
  <si>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Complete|2026-06-30;Builder/New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Name|Odyssey A;Driveway|Paved|Concrete;Electric|Electric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Garage/Carport|Yes;Garage/Carport Feat|Tandem Garage|Yes;Lot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Faces|South;Neighborhood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</si>
  <si>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Complete|2026-07-31;Builder/New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Name|Odyssey B;Driveway|Paved|Concrete;Electric|Electric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Garage/Carport|Yes;Garage/Carport Feat|Tandem Garage|Yes;Lot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Faces|Southeast;Neighborhood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</si>
  <si>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Complete|2026-09-30;Builder/New Constr.|Builder Warranty|Lennar;Builder/New Constr.|Builder Name|Lennar;Builder/New Constr.|Site Contact|520-399-7923;Builder/New Constr.|Date Framed|2025-02-28;Income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Name|Traverse B;Driveway|Paved|Concrete;Electric|Electric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Garage/Carport|Yes;Garage/Carport Feat|Tandem Garage|Yes;Lot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</si>
  <si>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Complete|2026-08-31;Builder/New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Name|Venture B;Driveway|Paved|Concrete;Electric|Electric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Areas|Breakfast Nook|Yes;Fireplace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Faces|Southeast;Neighborhood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</si>
  <si>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Complete|2026-06-30;Builder/New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Name|Wayfarer A;Driveway|Paved|Concrete;Electric|Electric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Room|Loft|Yes;Landscape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</si>
  <si>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Complete|2026-05-30;Builder/New Constr.|Builder Warranty|Lennar;Builder/New Constr.|Builder Name|Lennar;Builder/New Constr.|Site Contact|520-399-7923;Income Property|Current Use|Owner Occupied;Sold Info|Seller Concessions|8,748.43;Window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Name|Wayfarer C;Driveway|Paved|Concrete;Electric|Electric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Room|Loft|Yes;Landscape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</si>
  <si>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Concessions|11,000;Window Features|Low-Emissivity Windows|Yes;Window Features|Double Pane Windows|Yes;Window Features|ENERGY STAR Qualified Windows|Yes;Road Maintenance|HOA|Yes;Road Type|Paved|Yes;Showing Service|Showing Service|ShowingTime;Stories|Two|Yes;Window Covering|Other|faux wood blinds;Gas|Natural|Yes;Guest Facilities|None|Yes;Home Protection|Plan By|Builder;Sewer|Connected|Yes;Construction|Frame - Stucco|Yes;Construction|Model Name|Sienna;Driveway|Paved|Concrete;Electric|Electric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Cooling|Ceiling Fans Pre-Wired|Yes;Main Cooling|ENERGY STAR Qualified Equipment|Yes;Main Heating|Heat Pump|Yes;Main Heating|Energy Star Qualified Equipment|Yes;Main Heating|Electric|Yes;Main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Opener|Yes;Garage/Carport Feat|Other|Storage space;Lot Features|Subdivided|Yes;Lot Features|North/South Exposure|Yes;Pool|None|Yes;Pool|Conventional|No;Special Conditions|None|Yes;View|Residential|Yes;Extra Room|Loft|Yes;Landscape - Front|Low Care|Yes;Landscape - Front|Decorative Gravel|Yes;Landscape - Front|Sprinkler/Drip|Yes;Landscape - Front|Shrubs|Yes;Landscape - Front|Desert Plantings|Yes;Landscape - Rear|Low Care|Yes;Landscape - Rear|Artificial Turf|Yes;Landscape - Rear|Shrubs|Yes;Landscape - Rear|Sprinkler/Drip|Yes;Landscape - Rear|Other|pavers;Association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Features|Exhaust Fan|Yes;Kitchen Features|Microwave|Yes;Kitchen Features|ENERGY STAR Qualified Range|Yes;Kitchen Features|ENERGY STAR Qualified Refrigerator|Yes;Kitchen Features|ENERGY STAR Qualified Dishwasher|Yes;Kitchen Features|Dishwasher|Yes;Kitchen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Y/N|Y;Interior Features|High Ceilings|Yes;Interior Features|Energy Star Qualified|Yes;Interior Features|Walk-In Closet(s)|Yes;Interior Features|Entrance Foyer|Yes;</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</si>
  <si>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Occupied;Window Features|Low-Emissivity Windows|Yes;Window Features|Double Pane Windows|Yes;Window Features|ENERGY STAR Qualified Windows|Yes;Road Maintenance|HOA|Yes;Road Type|Paved|Yes;Showing Service|Showing Service|ShowingTime;Stories|One|Yes;Window Covering|Other|faux wood blinds;Gas|Natural|Yes;Guest Facilities|None|Yes;Home Protection|Plan By|Builder;Sewer|Connected|Yes;Construction|Frame - Stucco|Yes;Construction|Model Name|Brandy;Driveway|Paved|Concrete;Electric|Electric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Cooling|Ceiling Fans Pre-Wired|Yes;Main Cooling|ENERGY STAR Qualified Equipment|Yes;Main Heating|Heat Pump|Yes;Main Heating|Energy Star Qualified Equipment|Yes;Main Heating|Electric|Yes;Main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Room|None|Yes;Landscape - Front|Low Care|Yes;Landscape - Front|Decorative Gravel|Yes;Landscape - Front|Sprinkler/Drip|Yes;Landscape - Front|Shrubs|Yes;Landscape - Front|Desert Plantings|Yes;Landscape - Rear|Low Care|Yes;Landscape - Rear|Artificial Turf|Yes;Landscape - Rear|Decorative Gravel|Yes;Landscape - Rear|Sprinkler/Drip|Yes;Landscape - Rear|Other|pavers;Association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Range|Yes;Kitchen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Y/N|N;Interior Features|High Ceilings|Yes;Interior Features|Energy Star Qualified|Yes;Interior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</si>
  <si>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Complete|2026-05-29;Builder/New Constr.|Builder Warranty|Lennar;Builder/New Constr.|Builder Name|Lennar;Builder/New Constr.|Site Contact|520-399-7923;Income Property|Current Use|Owner Occupied;Sold Info|Seller Concessions|0;Window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Name|Wayfarer A;Driveway|Paved|Concrete;Electric|Electric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Room|Loft|Yes;Landscape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</si>
  <si>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Concessions|6,000;Window Features|Low-Emissivity Windows|Yes;Window Features|Double Pane Windows|Yes;Window Features|ENERGY STAR Qualified Windows|Yes;Road Maintenance|HOA|Yes;Road Type|Paved|Yes;Showing Service|Showing Service|ShowingTime;Stories|One|Yes;Window Covering|Other|faux wood blinds;Gas|Natural|Yes;Guest Facilities|None|Yes;Home Protection|Plan By|Builder;Sewer|Connected|Yes;Construction|Frame - Stucco|Yes;Construction|Model Name|Brandy;Driveway|Paved|Concrete;Electric|Electric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Cooling|Ceiling Fans Pre-Wired|Yes;Main Cooling|ENERGY STAR Qualified Equipment|Yes;Main Heating|Heat Pump|Yes;Main Heating|Energy Star Qualified Equipment|Yes;Main Heating|Electric|Yes;Main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Room|None|Yes;Landscape - Front|Low Care|Yes;Landscape - Front|Decorative Gravel|Yes;Landscape - Front|Sprinkler/Drip|Yes;Landscape - Front|Shrubs|Yes;Landscape - Front|Desert Plantings|Yes;Landscape - Rear|Low Care|Yes;Landscape - Rear|Artificial Turf|Yes;Landscape - Rear|Decorative Gravel|Yes;Landscape - Rear|Sprinkler/Drip|Yes;Landscape - Rear|Other|pavers;Association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Range|Yes;Kitchen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Y/N|N;Interior Features|High Ceilings|Yes;Interior Features|Energy Star Qualified|Yes;Interior Features|Walk-In Closet(s)|Yes;Interior Features|Entrance Foyer|Yes;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</si>
  <si>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Complete|2026-05-14;Builder/New Constr.|Builder Name|Meritage Homes;Builder/New Constr.|New Construction|Yes;Builder/New Constr.|Site Phone|520-686-5755;Builder/New Constr.|Date Framed|2026-02-17;Income Property|Current Use|Owner Occupied;Sold Info|Seller Concessions|7,900.72;Road Maintenance|City|Yes;Road Type|Paved|Yes;Showing Service|Showing Service|None;Stories|One|Yes;Window Covering|None|Yes;Gas|Natural|Yes;Guest Facilities|None|Yes;Home Protection|Offered|No;Sewer|Connected|Yes;Construction|Stucco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Room|Media|Yes;Landscape - Front|Desert Plantings|Yes;Landscape - Front|Decorative Gravel|Yes;Landscape - Front|Shrubs|Yes;Landscape - Rear|None|Yes;Association &amp; Fees|HOA|Yes;Association &amp; Fees|Rec Fee|0;Association &amp; Fees|HOA Telephone|(520) 603-1889;Association &amp; Fees|HOA Name|The Rocking K South;Association &amp; Fees|HOA Transfer Fee|125;Association &amp; Fees|HOA Payment Frequency|Quarterly;Association &amp; Fees|HOA Amt (Monthly)|84.5;Primary Bathroom Features|Double Vanity|Yes;Primary Bathroom Features|Exhaust Fan|Yes;Primary Bathroom Features|Shower Only|Yes;Technology|High Speed Internet|Yes;Technology|Smart Panel|Yes;Terms|FHA|Yes;Terms|Cash|Yes;Terms|Conventional|Yes;Terms|VA|Yes;Water|Public|Yes;Exterior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Features|Refrigerator|Yes;Kitchen Features|Disposal|Yes;Submit With Offer|Earnest Check|Yes;Interior Features|Interior Steps Y/N|N;Interior Features|Walk-In Closet(s)|Yes;</t>
  </si>
  <si>
    <t>Additional Bathroom Features|Shower &amp; Tub|Yes;Additional Bathroom Features|Other|Quartz Countertops;Additional Bathroom Features|Exhaust Fan|Yes;Assoc Amenities|Maintenance|Yes;Assoc Amenities|Park|Yes;Assoc Fees Includes|Common Area Maint|Yes;Builder/New Constr.|Date Complete|2026-08-31;Builder/New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Name|Clark B;Driveway|Paved|Concrete;Electric|Electric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Faces|Southeast;Neighborhood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</si>
  <si>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Complete|2026-06-30;Builder/New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Name|Etta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Faces|Southeast;Neighborhood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</si>
  <si>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Complete|2026-08-31;Builder/New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Name|Jeffry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Faces|Southeast;Neighborhood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</si>
  <si>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Complete|2026-07-31;Builder/New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Name|Arcadia B;Driveway|Paved|Concrete;Electric|Electric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</si>
  <si>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Complete|2026-08-31;Builder/New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Name|Dune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</si>
  <si>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Fan|Yes;Additional Bathroom Features|Powder Room|Yes;Assoc Amenities|Clubhouse|Yes;Assoc Amenities|Pickleball|Yes;Assoc Amenities|Tennis Courts|Yes;Assoc Amenities|Spa/Hot Tub|Yes;Assoc Amenities|Security|Yes;Assoc Amenities|Recreation Room|Yes;Assoc Amenities|Pool|Yes;Assoc Fees Includes|Common Area Maint|Yes;Assoc Fees Includes|Street Maint|Yes;Assoc Fees Includes|Gated Community|Yes;Builder/New Constr.|Date Complete|2026-03-12;Builder/New Constr.|Builder Name|Robson Communities;Builder/New Constr.|New Construction|Yes;Builder/New Constr.|Date Framed|2025-06-16;Income Property|Current Use|Owner Occupied;Window Features|Low-Emissivity Windows|Yes;Window Features|Double Pane Windows|Yes;Road Maintenance|HOA|Yes;Road Type|Paved|Yes;Showing Service|Showing Service|None;Stories|One|Yes;Window Covering|None|Yes;Gas|Natural|Yes;Guest Facilities|None|Yes;Home Protection|Offered|No;Sewer|Connected|Yes;Construction|Frame|Yes;Construction|Model Name|Alora;Construction|Stucco Finish|Yes;Driveway|Paved|Concrete;Electric|Electric Company|Trico;Fence|None|Yes;Roof|Tile|Yes;Spa|None|Yes;Style|Contemporary|Yes;Style|Modern|Yes;Water Heater|Tankless Water Heater|Yes;Fireplace|None|Yes;Floor Covering|Other|Buyer to select;Laundry|Laundry Room|Yes;Laundry|Gas Dryer Hookup|Yes;Laundry|Electric Dryer Hookup|Yes;Living Areas|Great Room|Yes;Main Cooling|Central Air|Yes;Main Cooling|Ceiling Fans Pre-Wired|Yes;Main Heating|Forced Air|Yes;Patio/Deck|Patio|Yes;RV Parking|None|Yes;Security|Smoke Detector(s)|Yes;Security|Carbon Monoxide Detector(s)|Yes;Subdivision Restrict|Deed Restrictions|Yes;Subdivision Restrict|CC&amp;Rs|Yes;Subdivision Restrict|Age Restrictions|Yes;Dining Areas|Dining Area|Yes;Fireplace Location|None|Yes;Garage/Carport Feat|Electric Door Opener|Yes;Garage/Carport Feat|Utility Sink|Yes;Garage/Carport Feat|Extended Length|Yes;Garage/Carport Feat|Golf Cart Garage|Yes;Lot Features|Subdivided|Yes;Lot Features|Borders Common Area|Yes;Pool|None|Yes;Pool|Conventional|No;Special Conditions|Public Report|Yes;View|Residential|Yes;Extra Room|Den|Yes;Landscape - Front|None|Yes;Landscape - Rear|None|Yes;Association &amp; Fees|HOA|Yes;Association &amp; Fees|HOA Amt (Monthly)|277;Primary Bathroom Features|Shower Only|Yes;Primary Bathroom Features|Exhaust Fan|Yes;Technology|Pre-Wired Sat Dish|Yes;Technology|Smart Panel|Yes;Technology|Pre-Wired Tele Lines|Yes;Terms|Conventional|Yes;Terms|Cash|Yes;Water|Water Company|Yes;Exterior Features|None|Yes;Exterior Features|Front Faces|North;Neighborhood Feature|Pool|Yes;Neighborhood Feature|Pickleball|Yes;Neighborhood Feature|Paved Street|Yes;Neighborhood Feature|Walking Trail|Yes;Neighborhood Feature|Gated|Yes;Neighborhood Feature|Spa|Yes;Neighborhood Feature|Exercise Facilities|Yes;Neighborhood Feature|Jogging/Bike Path|Yes;Neighborhood Feature|Tennis Courts|Yes;Neighborhood Feature|Golf|Yes;Property Disclosures|None|Yes;Accessibility Option|None|Yes;Kitchen Features|Disposal|Yes;Kitchen Features|ENERGY STAR Qualified Dishwasher|Yes;Kitchen Features|# of Ovens|1;Kitchen Features|Microwave|Yes;Kitchen Features|Gas Cooktop|Yes;Kitchen Features|Convection Oven|Yes;Kitchen Features|Appliance Color|Stainless;Kitchen Features|Pantry|Walk-In;Kitchen Features|Kitchen Island|Yes;Kitchen Features|Refrigerator|Yes;Submit With Offer|Earnest Check|Yes;Submit With Offer|Loan Pre-Qual|Yes;Interior Features|Split Bedroom Plan|Yes;Interior Features|High Ceilings|Yes;Interior Features|Walk-In Closet(s)|Yes;Interior Features|Interior Steps Y/N|N;</t>
  </si>
  <si>
    <t>Additional Bathroom Features|Shower &amp; Tub|Yes;Additional Bathroom Features|Exhaust Fan|Yes;Additional Bathroom Features|Powder Room|Yes;Additional Bathroom Features|Pedestal Sink(s)|Yes;Assoc Amenities|Clubhouse|Yes;Assoc Amenities|Pickleball|Yes;Assoc Amenities|Tennis Courts|Yes;Assoc Amenities|Spa/Hot Tub|Yes;Assoc Amenities|Security|Yes;Assoc Amenities|Recreation Room|Yes;Assoc Amenities|Pool|Yes;Assoc Fees Includes|Common Area Maint|Yes;Assoc Fees Includes|Street Maint|Yes;Assoc Fees Includes|Gated Community|Yes;Builder/New Constr.|Date Framed|2025-12-16;Builder/New Constr.|Builder Name|Robson Communities;Builder/New Constr.|New Construction|Yes;Green Building Verification Type|ENERGY STAR Certified Homes|Yes;Income Property|Current Use|Owner Occupied;Window Features|Low-Emissivity Windows|Yes;Window Features|Double Pane Windows|Yes;Road Maintenance|HOA|Yes;Road Type|Paved|Yes;Showing Service|Showing Service|None;Stories|One|Yes;Window Covering|None|Yes;Gas|Natural|Yes;Guest Facilities|House|Yes;Home Protection|Offered|No;Sewer|Connected|Yes;Construction|Frame|Yes;Construction|Stucco Finish|Yes;Driveway|Paved|Concrete;Electric|Electric Company|Trico;Fence|None|Yes;Roof|Tile|Yes;Spa|None|Yes;Style|Contemporary|Yes;Style|Modern|Yes;Water Heater|Tankless Water Heater|Yes;Fireplace|None|Yes;Floor Covering|Carpet|Yes;Floor Covering|Laminate|Yes;Floor Covering|Vinyl|Yes;Floor Covering|Ceramic Tile|Yes;Laundry|Sink|Yes;Laundry|Gas Dryer Hookup|Yes;Laundry|Laundry Room|Yes;Laundry|Storage|Yes;Living Areas|Great Room|Yes;Main Cooling|Central Air|Yes;Main Cooling|Ceiling Fans Pre-Wired|Yes;Main Heating|Forced Air|Yes;Main Heating|Zoned|Yes;Patio/Deck|Patio|Yes;RV Parking|None|Yes;Security|Smoke Detector(s)|Yes;Security|Carbon Monoxide Detector(s)|Yes;Subdivision Restrict|Deed Restrictions|Yes;Subdivision Restrict|CC&amp;Rs|Yes;Subdivision Restrict|Age Restrictions|Yes;Dining Areas|Breakfast Bar|Yes;Dining Areas|Dining Area|Yes;Fireplace Location|None|Yes;Garage/Carport Feat|Electric Door Opener|Yes;Garage/Carport Feat|Golf Cart Garage|Yes;Lot Features|Subdivided|Yes;Lot Features|Borders Common Area|Yes;Pool|None|Yes;Pool|Conventional|No;Special Conditions|Public Report|Yes;View|Residential|Yes;Extra Room|Den|Yes;Landscape - Front|None|Yes;Landscape - Rear|None|Yes;Association &amp; Fees|HOA Amt (Monthly)|287;Association &amp; Fees|HOA Payment Frequency|Semi-Annually;Primary Bathroom Features|Shower Only|Yes;Primary Bathroom Features|Exhaust Fan|Yes;Primary Bathroom Features|Countertops|Quartz;Technology|Pre-Wired Sat Dish|Yes;Technology|Pre-Wired Tele Lines|Yes;Terms|Conventional|Yes;Terms|Cash|Yes;Water|Water Company|Yes;Exterior Features|Front Faces|Northwest;Neighborhood Feature|Pool|Yes;Neighborhood Feature|Paved Street|Yes;Neighborhood Feature|Pickleball|Yes;Neighborhood Feature|Walking Trail|Yes;Neighborhood Feature|Gated|Yes;Neighborhood Feature|Golf|Yes;Neighborhood Feature|Rec Center|Yes;Neighborhood Feature|Exercise Facilities|Yes;Neighborhood Feature|Jogging/Bike Path|Yes;Neighborhood Feature|Tennis Courts|Yes;Property Disclosures|None|Yes;Accessibility Option|None|Yes;Kitchen Features|Dishwasher|Yes;Kitchen Features|# of Ovens|1;Kitchen Features|Microwave|Yes;Kitchen Features|Gas Cooktop|Yes;Kitchen Features|Convection Oven|Yes;Kitchen Features|Countertops|Quartz;Kitchen Features|Appliance Color|Stainless;Kitchen Features|Pantry|Walk-In;Kitchen Features|Disposal|Yes;Submit With Offer|Earnest Check|Yes;Submit With Offer|Loan Pre-Qual|Yes;Interior Features|Split Bedroom Plan|Yes;Interior Features|High Ceilings|Yes;Interior Features|Energy Star Qualified|Yes;Interior Features|Interior Steps Y/N|N;</t>
  </si>
  <si>
    <t>Additional Bathroom Features|Shower &amp; Tub|Yes;Additional Bathroom Features|Exhaust Fan|Yes;Additional Bathroom Features|Powder Room|Yes;Additional Bathroom Features|Pedestal Sink(s)|Yes;Assoc Amenities|Clubhouse|Yes;Assoc Amenities|Pickleball|Yes;Assoc Amenities|Tennis Courts|Yes;Assoc Amenities|Spa/Hot Tub|Yes;Assoc Amenities|Security|Yes;Assoc Amenities|Recreation Room|Yes;Assoc Amenities|Pool|Yes;Assoc Fees Includes|Common Area Maint|Yes;Assoc Fees Includes|Street Maint|Yes;Assoc Fees Includes|Gated Community|Yes;Builder/New Constr.|Date Framed|2025-08-26;Builder/New Constr.|Builder Name|Robson Communities;Builder/New Constr.|New Construction|Yes;Green Building Verification Type|ENERGY STAR Certified Homes|Yes;Income Property|Current Use|Owner Occupied;Window Features|Low-Emissivity Windows|Yes;Window Features|Double Pane Windows|Yes;Road Maintenance|HOA|Yes;Road Type|Paved|Yes;Showing Service|Showing Service|None;Stories|One|Yes;Window Covering|None|Yes;Gas|Natural|Yes;Guest Facilities|None|Yes;Home Protection|Offered|No;Sewer|Connected|Yes;Construction|Frame|Yes;Construction|Model Name|Alora;Construction|Stucco Finish|Yes;Driveway|Paved|Concrete;Electric|Electric Company|Trico;Fence|None|Yes;Roof|Tile|Yes;Spa|None|Yes;Style|Contemporary|Yes;Style|Modern|Yes;Water Heater|Tankless Water Heater|Yes;Fireplace|None|Yes;Floor Covering|Carpet|Yes;Floor Covering|Vinyl|Yes;Floor Covering|Ceramic Tile|Yes;Laundry|Gas Dryer Hookup|Yes;Laundry|Electric Dryer Hookup|Yes;Living Areas|Great Room|Yes;Main Cooling|Central Air|Yes;Main Cooling|Ceiling Fans Pre-Wired|Yes;Main Heating|Forced Air|Yes;Patio/Deck|Patio|Yes;RV Parking|None|Yes;Security|Smoke Detector(s)|Yes;Security|Carbon Monoxide Detector(s)|Yes;Subdivision Restrict|Deed Restrictions|Yes;Subdivision Restrict|CC&amp;Rs|Yes;Subdivision Restrict|Age Restrictions|Yes;Dining Areas|Dining Area|Yes;Fireplace Location|None|Yes;Garage/Carport Feat|Electric Door Opener|Yes;Garage/Carport Feat|Golf Cart Garage|Yes;Lot Features|Subdivided|Yes;Lot Features|North/South Exposure|Yes;Pool|None|Yes;Pool|Conventional|No;Special Conditions|Public Report|Yes;View|Residential|Yes;Extra Room|Den|Yes;Landscape - Front|None|Yes;Landscape - Rear|None|Yes;Association &amp; Fees|HOA|Yes;Association &amp; Fees|HOA Amt (Monthly)|287;Primary Bathroom Features|Double Vanity|Yes;Primary Bathroom Features|Exhaust Fan|Yes;Primary Bathroom Features|Shower Only|Yes;Technology|Pre-Wired Sat Dish|Yes;Technology|Pre-Wired Tele Lines|Yes;Terms|Conventional|Yes;Terms|Cash|Yes;Water|Water Company|Yes;Exterior Features|Front Faces|North;Neighborhood Feature|Pool|Yes;Neighborhood Feature|Pickleball|Yes;Neighborhood Feature|Paved Street|Yes;Neighborhood Feature|Walking Trail|Yes;Neighborhood Feature|Gated|Yes;Neighborhood Feature|Spa|Yes;Neighborhood Feature|Exercise Facilities|Yes;Neighborhood Feature|Jogging/Bike Path|Yes;Neighborhood Feature|Tennis Courts|Yes;Neighborhood Feature|Golf|Yes;Property Disclosures|None|Yes;Accessibility Option|None|Yes;Kitchen Features|Dishwasher|Yes;Kitchen Features|# of Ovens|1;Kitchen Features|Microwave|Yes;Kitchen Features|Convection Oven|Yes;Kitchen Features|Appliance Color|Stainless;Kitchen Features|Pantry|Walk-In;Kitchen Features|Kitchen Island|Yes;Kitchen Features|Gas Range|Yes;Kitchen Features|Disposal|Yes;Submit With Offer|Earnest Check|Yes;Submit With Offer|Loan Pre-Qual|Yes;Interior Features|Split Bedroom Plan|Yes;Interior Features|High Ceilings|Yes;Interior Features|Walk-In Closet(s)|Yes;Interior Features|Interior Steps Y/N|N;</t>
  </si>
  <si>
    <t>Additional Bathroom Features|Shower &amp; Tub|Yes;Additional Bathroom Features|Other|Quartz Counter Top;Additional Bathroom Features|Exhaust Fan|Yes;Assoc Amenities|Clubhouse|Yes;Assoc Amenities|Pickleball|Yes;Assoc Amenities|Tennis Courts|Yes;Assoc Amenities|Security|Yes;Assoc Amenities|Pool|Yes;Assoc Fees Includes|Common Area Maint|Yes;Assoc Fees Includes|Street Maint|Yes;Assoc Fees Includes|Gated Community|Yes;Builder/New Constr.|Date Complete|2026-02-06;Builder/New Constr.|Builder License #|LC545967000;Builder/New Constr.|Builder Name|Robson Communites;Builder/New Constr.|New Construction|Yes;Builder/New Constr.|Site Phone|888-648-0332;Builder/New Constr.|Date Framed|2025-09-04;Income Property|Current Use|Owner Occupied;Window Features|ENERGY STAR Qualified Windows|Yes;Road Maintenance|HOA|Yes;Road Type|Paved|Yes;Showing Service|Showing Service|None;Stories|One|Yes;Window Covering|None|Yes;Gas|Natural|Yes;Guest Facilities|House|Yes;Home Protection|Offered|No;Sewer|Connected|Yes;Construction|Frame - Stucco|Yes;Construction|Model Name|Agave;Driveway|Paved|Concrete;Electric|Electric Company|TEP;Fence|None|Yes;Roof|Tile|Yes;Spa|None|Yes;Style|Contemporary|Yes;Water Heater|Tankless Water Heater|Yes;Water Heater|ENERGY STAR Qualified Water Heater|Yes;Water Heater|Natural Gas|Yes;Fireplace|None|Yes;Floor Covering|Other|Upgraded Tile/Carpet;Floor Covering|Vinyl|Yes;Laundry|Other|Upper/Lower Cabinets;Laundry|Laundry Room|Yes;Living Areas|Great Room|Yes;Main Cooling|ENERGY STAR Qualified Equipment|Yes;Main Cooling|SEER Rating|14;Main Heating|Forced Air|Yes;Patio/Deck|Covered|Yes;RV Parking|None|Yes;Security|Smoke Detector(s)|Yes;Security|Carbon Monoxide Detector(s)|Yes;Subdivision Restrict|Deed Restrictions|Yes;Subdivision Restrict|CC&amp;Rs|Yes;Subdivision Restrict|Green Valley Rec|Unavailable;Subdivision Restrict|Age Restrictions|Yes;Dining Areas|Great Room|Yes;Fireplace Location|None|Yes;Garage/Carport Feat|Electric Door Opener|Yes;Garage/Carport Feat|Attached Garage/Carport|Yes;Garage/Carport Feat|Golf Cart Garage|Yes;Lot Features|Borders Common Area|Yes;Lot Features|East/West Exposure|Yes;Pool|None|Yes;Pool|Conventional|No;Special Conditions|None|Yes;View|Sunset|Yes;Extra Room|Den|Yes;Landscape - Front|Desert Plantings|Yes;Landscape - Front|Decorative Gravel|Yes;Landscape - Front|Trees|Yes;Landscape - Front|Sprinkler/Drip|Yes;Landscape - Front|Shrubs|Yes;Landscape - Front|Graded|Yes;Landscape - Rear|Low Care|Yes;Landscape - Rear|Decorative Gravel|Yes;Landscape - Rear|Trees|Yes;Landscape - Rear|Sprinkler/Drip|Yes;Landscape - Rear|Shrubs|Yes;Landscape - Rear|Desert Plantings|Yes;Association &amp; Fees|HOA|Yes;Association &amp; Fees|HOA Name|Quail Creek;Association &amp; Fees|HOA Payment Frequency|Semi-Annually;Association &amp; Fees|HOA Amt (Monthly)|276;Primary Bathroom Features|Double Vanity|Yes;Primary Bathroom Features|Exhaust Fan|Yes;Primary Bathroom Features|Countertops|Quartz;Primary Bathroom Features|Shower Only|Yes;Technology|Cable TV|Yes;Technology|Smart Thermostat|Yes;Technology|High Speed Internet|Yes;Terms|Conventional|Yes;Terms|Cash|Yes;Water|Water Company|Yes;Exterior Features|Front Faces|East;Neighborhood Feature|Pool|Yes;Neighborhood Feature|Pickleball|Yes;Neighborhood Feature|Paved Street|Yes;Neighborhood Feature|Gated|Yes;Neighborhood Feature|Golf|Yes;Neighborhood Feature|Rec Center|Yes;Neighborhood Feature|Exercise Facilities|Yes;Neighborhood Feature|Putting Green|Yes;Neighborhood Feature|Tennis Courts|Yes;Neighborhood Feature|Spa|Yes;Property Disclosures|None|Yes;Accessibility Option|Door Levers|Yes;Kitchen Features|Exhaust Fan|Yes;Kitchen Features|ENERGY STAR Qualified Dishwasher|Yes;Kitchen Features|ENERGY STAR Qualified Range|Yes;Kitchen Features|# of Ovens|1;Kitchen Features|Microwave|Yes;Kitchen Features|Convection Oven|Yes;Kitchen Features|Dishwasher|Yes;Kitchen Features|Countertops|Quartz;Kitchen Features|Appliance Color|Stainless;Kitchen Features|Pantry|Cabinet;Kitchen Features|Kitchen Island|Yes;Kitchen Features|Gas Range|Yes;Kitchen Features|Refrigerator|Yes;Kitchen Features|Disposal|Yes;Submit With Offer|Earnest Check|Yes;Interior Features|Interior Steps Y/N|N;Interior Features|High Ceilings|Yes;Interior Features|Walk-In Closet(s)|Yes;Interior Features|Entrance Foyer|Yes;Interior Features|Water Softener|Yes;</t>
  </si>
  <si>
    <t>Additional Bathroom Features|Shower Only|Yes;Additional Bathroom Features|Other|Quartz Countertops;Additional Bathroom Features|Exhaust Fan|Yes;Assoc Amenities|Clubhouse|Yes;Assoc Amenities|Pickleball|Yes;Assoc Amenities|Tennis Courts|Yes;Assoc Amenities|Spa/Hot Tub|Yes;Assoc Amenities|Security|Yes;Assoc Amenities|Sauna|Yes;Assoc Amenities|Pool|Yes;Assoc Fees Includes|Common Area Maint|Yes;Assoc Fees Includes|Street Maint|Yes;Assoc Fees Includes|Gated Community|Yes;Builder/New Constr.|Date Complete|2026-04-14;Builder/New Constr.|Builder License #|LC545967000;Builder/New Constr.|Date Framed|2025-12-16;Income Property|Current Use|Owner Occupied;Window Features|Plantation Shutters|Yes;Road Maintenance|HOA|Yes;Road Type|Paved|Yes;Showing Service|Showing Service|None;Stories|One|Yes;Window Covering|Some|Yes;Gas|Natural|Yes;Guest Facilities|House|Yes;Home Protection|Offered|No;Sewer|Connected|Yes;Construction|Frame - Stucco|Yes;Construction|Model Name|Agave;Driveway|Paved|Concrete;Electric|Electric Company|TEP;Fence|None|Yes;Roof|Tile|Yes;Spa|None|Yes;Style|Contemporary|Yes;Water Heater|Tankless Water Heater|Yes;Fireplace|None|Yes;Floor Covering|Other|Luxury  Vinyl Plank;Laundry|Other|Upper Cabinets;Laundry|Laundry Room|Yes;Living Areas|Great Room|Yes;Main Cooling|Central Air|Yes;Main Cooling|SEER Rating|14;Main Cooling|ENERGY STAR Qualified Equipment|Yes;Main Heating|Energy Star Qualified Equipment|Yes;Main Heating|Forced Air|Yes;Patio/Deck|Covered|Yes;RV Parking|None|Yes;Security|Security Gate|Yes;Subdivision Restrict|Deed Restrictions|Yes;Subdivision Restrict|Green Valley Rec|Unavailable;Subdivision Restrict|CC&amp;Rs|Yes;Subdivision Restrict|Age Restrictions|Yes;Dining Areas|Great Room|Yes;Fireplace Location|None|Yes;Garage/Carport Feat|Electric Door Opener|Yes;Garage/Carport Feat|Attached Garage/Carport|Yes;Lot Features|Borders Common Area|Yes;Lot Features|East/West Exposure|Yes;Pool|None|Yes;Pool|Conventional|No;Special Conditions|None|Yes;View|Residential|Yes;Extra Room|Den|Yes;Landscape - Front|None|Yes;Landscape - Rear|None|Yes;Association &amp; Fees|HOA|Yes;Association &amp; Fees|HOA Name|Qual Creek;Association &amp; Fees|HOA Payment Frequency|Semi-Annually;Association &amp; Fees|HOA Amt (Monthly)|276;Primary Bathroom Features|Double Vanity|Yes;Primary Bathroom Features|Exhaust Fan|Yes;Primary Bathroom Features|Countertops|Quartz;Primary Bathroom Features|Shower Only|Yes;Technology|Cable TV|Yes;Technology|High Speed Internet|Yes;Terms|Conventional|Yes;Terms|Cash|Yes;Water|Water Company|Yes;Exterior Features|Front Faces|West;Neighborhood Feature|Pool|Yes;Neighborhood Feature|Pickleball|Yes;Neighborhood Feature|Paved Street|Yes;Neighborhood Feature|Walking Trail|Yes;Neighborhood Feature|Gated|Yes;Neighborhood Feature|Golf|Yes;Neighborhood Feature|Exercise Facilities|Yes;Neighborhood Feature|Putting Green|Yes;Neighborhood Feature|Tennis Courts|Yes;Neighborhood Feature|Spa|Yes;Property Disclosures|None|Yes;Accessibility Option|Door Levers|Yes;Kitchen Features|Exhaust Fan|Yes;Kitchen Features|ENERGY STAR Qualified Dishwasher|Yes;Kitchen Features|ENERGY STAR Qualified Range|Yes;Kitchen Features|ENERGY STAR Qualified Refrigerator|Yes;Kitchen Features|# of Ovens|1;Kitchen Features|Microwave|Yes;Kitchen Features|Convection Oven|Yes;Kitchen Features|Disposal|Yes;Kitchen Features|Pantry|Cabinet;Kitchen Features|Kitchen Island|Yes;Kitchen Features|Gas Range|Yes;Submit With Offer|Earnest Check|Yes;Interior Features|Interior Steps Y/N|N;Interior Features|High Ceilings|Yes;Interior Features|Walk-In Closet(s)|Yes;Interior Features|Entrance Foyer|Yes;</t>
  </si>
  <si>
    <t>Additional Bathroom Features|Shower &amp; Tub|Yes;Assoc Amenities|Clubhouse|Yes;Assoc Amenities|Pickleball|Yes;Assoc Amenities|Tennis Courts|Yes;Assoc Amenities|Spa/Hot Tub|Yes;Assoc Amenities|Security|Yes;Assoc Amenities|Sauna|Yes;Assoc Amenities|Pool|Yes;Assoc Fees Includes|Common Area Maint|Yes;Assoc Fees Includes|Street Maint|Yes;Assoc Fees Includes|Gated Community|Yes;Builder/New Constr.|Date Complete|2026-07-20;Builder/New Constr.|Builder License #|LC545967000;Builder/New Constr.|New Construction|Yes;Builder/New Constr.|Date Framed|2026-02-11;Income Property|Current Use|Owner Occupied;Road Maintenance|HOA|Yes;Road Type|Paved|Yes;Showing Service|Showing Service|None;Stories|One|Yes;Window Covering|None|Yes;Gas|Natural|Yes;Guest Facilities|House|Yes;Home Protection|Offered|No;Sewer|Connected|Yes;Construction|Frame - Stucco|Yes;Construction|Model Name|Vienta;Driveway|Paved|Concrete;Electric|Electric Company|TEP;Fence|None|Yes;Roof|Tile|Yes;Spa|None|Yes;Style|Contemporary|Yes;Water Heater|Tankless Water Heater|Yes;Fireplace|None|Yes;Floor Covering|Other|None;Laundry|Sink|Yes;Laundry|Laundry Room|Yes;Laundry|Other|Upper/Lower Cabinets;Living Areas|Great Room|Yes;Main Cooling|Zoned|Yes;Main Cooling|SEER Rating|15;Main Cooling|ENERGY STAR Qualified Equipment|Yes;Main Cooling|Central Air|Yes;Main Heating|Forced Air|Yes;Main Heating|Zoned|Yes;Patio/Deck|Covered|Yes;RV Parking|None|Yes;Security|Smoke Detector(s)|Yes;Security|Security Gate|Yes;Security|Carbon Monoxide Detector(s)|Yes;Subdivision Restrict|Deed Restrictions|Yes;Subdivision Restrict|Green Valley Rec|Unavailable;Subdivision Restrict|CC&amp;Rs|Yes;Subdivision Restrict|Age Restrictions|Yes;Dining Areas|Great Room|Yes;Fireplace Location|None|Yes;Garage/Carport Feat|Electric Door Opener|Yes;Garage/Carport Feat|Attached Garage/Carport|Yes;Garage/Carport Feat|Golf Cart Garage|Yes;Lot Features|Borders Common Area|Yes;Pool|None|Yes;Pool|Conventional|No;Special Conditions|None|Yes;View|Residential|Yes;Extra Room|Den|Yes;Landscape - Front|None|Yes;Landscape - Rear|None|Yes;Association &amp; Fees|HOA|Yes;Association &amp; Fees|HOA Name|Quail Creek;Association &amp; Fees|HOA Payment Frequency|Semi-Annually;Association &amp; Fees|HOA Amt (Monthly)|276;Primary Bathroom Features|Double Vanity|Yes;Primary Bathroom Features|Exhaust Fan|Yes;Primary Bathroom Features|Countertops|Quartz;Primary Bathroom Features|Shower &amp; Tub|Yes;Technology|Cable TV|Yes;Technology|Smart Thermostat|Yes;Technology|High Speed Internet|Yes;Terms|Conventional|Yes;Terms|Cash|Yes;Water|Water Company|Yes;Exterior Features|None|Yes;Neighborhood Feature|Pool|Yes;Neighborhood Feature|Pickleball|Yes;Neighborhood Feature|Paved Street|Yes;Neighborhood Feature|Gated|Yes;Neighborhood Feature|Golf|Yes;Neighborhood Feature|Exercise Facilities|Yes;Neighborhood Feature|Putting Green|Yes;Neighborhood Feature|Jogging/Bike Path|Yes;Neighborhood Feature|Tennis Courts|Yes;Neighborhood Feature|Spa|Yes;Property Disclosures|None|Yes;Accessibility Option|Door Levers|Yes;Kitchen Features|Exhaust Fan|Yes;Kitchen Features|# of Ovens|1;Kitchen Features|ENERGY STAR Qualified Range|Yes;Kitchen Features|ENERGY STAR Qualified Refrigerator|Yes;Kitchen Features|ENERGY STAR Qualified Dishwasher|Yes;Kitchen Features|Microwave|Yes;Kitchen Features|Gas Cooktop|Yes;Kitchen Features|Convection Oven|Yes;Kitchen Features|Disposal|Yes;Kitchen Features|Pantry|Closet;Kitchen Features|Kitchen Island|Yes;Submit With Offer|Earnest Check|Yes;Interior Features|Interior Steps Y/N|N;Interior Features|High Ceilings|Yes;Interior Features|Energy Star Qualified|Yes;Interior Features|Entrance Foyer|Yes;</t>
  </si>
  <si>
    <t>Additional Bathroom Features|Shower &amp; Tub|Yes;Additional Bathroom Features|Exhaust Fan|Yes;Assoc Amenities|Park|Yes;Assoc Amenities|Pickleball|Yes;Assoc Fees Includes|Common Area Maint|Yes;Builder/New Constr.|Date Complete|2026-11-30;Builder/New Constr.|Builder Warranty|Yes;Builder/New Constr.|Builder Name|Del Webb;Builder/New Constr.|New Construction|Yes;Builder/New Constr.|Site Phone|(520) 837-0276;Builder/New Constr.|Date Framed|2026-02-27;Income Property|Current Use|Owner Occupied;Window Features|Low-Emissivity Windows|Yes;Window Features|Double Pane Windows|Yes;Window Features|ENERGY STAR Qualified Windows|Yes;Road Maintenance|County|Yes;Road Type|Paved|Yes;Showing Service|Showing Service|None;Stories|One|Yes;Window Covering|Stay|Yes;Gas|Natural|Yes;Guest Facilities|None|Yes;Home Protection|Offered|Yes;Home Protection|Plan By|Builder Warranty;Sewer|Connected|Yes;Construction|Stucco Finish|Yes;Construction|Model Name|Hideaway;Construction|Wood Frame|Yes;Driveway|Paved|Concrete;Electric|Electric Company|TEP;Fence|Block|Yes;Roof|Tile|Yes;Spa|None|Yes;Style|Ranch|Yes;Style|Southwestern|Yes;Water Heater|Natural Gas|Yes;Fireplace|None|Yes;Floor Covering|Carpet|Yes;Floor Covering|Ceramic Tile|Yes;Laundry|Laundry Room|Yes;Living Areas|Great Room|Yes;Main Cooling|Central Air|Yes;Main Heating|Forced Air|Yes;Patio/Deck|Covered|Yes;Patio/Deck|Patio|Yes;RV Parking|None|Yes;Security|Smoke Detector(s)|Yes;Subdivision Restrict|Deed Restrictions|Yes;Subdivision Restrict|CC&amp;Rs|Yes;Subdivision Restrict|Age Restrictions|Yes;Dining Areas|Breakfast Bar|Yes;Dining Areas|Great Room|Yes;Fireplace Location|None|Yes;Garage/Carport Feat|Electric Door Opener|Yes;Garage/Carport Feat|Attached Garage/Carport|Yes;Lot Features|Subdivided|Yes;Pool|Conventional|No;Special Conditions|Public Report|Yes;View|Sunset|Yes;View|Residential|Yes;Extra Room|None|Yes;Landscape - Front|Low Care|Yes;Landscape - Front|Decorative Gravel|Yes;Landscape - Front|Sprinkler/Drip|Yes;Landscape - Front|Shrubs|Yes;Landscape - Rear|None|Yes;Association &amp; Fees|HOA|Yes;Association &amp; Fees|HOA Telephone|480-921-7500;Association &amp; Fees|HOA Name|Del Webb Rocking K;Association &amp; Fees|HOA Payment Frequency|Quarterly;Association &amp; Fees|HOA Amt (Monthly)|305;Primary Bathroom Features|Double Vanity|Yes;Primary Bathroom Features|Exhaust Fan|Yes;Primary Bathroom Features|Shower Only|Yes;Technology|Pre-Wired Tele Lines|Yes;Terms|FHA|Yes;Terms|Cash|Yes;Terms|Conventional|Yes;Terms|VA|Yes;Water|Water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Features|Dishwasher|Yes;Kitchen Features|Microwave|Yes;Kitchen Features|Countertops|granite;Kitchen Features|Appliance Color|Stainless;Kitchen Features|Reverse Osmosis|Yes;Kitchen Features|Pantry|Walk-In;Kitchen Features|Lazy Susan|Yes;Kitchen Features|Kitchen Island|Yes;Kitchen Features|Refrigerator|Yes;Kitchen Features|Disposal|Yes;Submit With Offer|Earnest Check|Yes;Interior Features|Split Bedroom Plan|Yes;Interior Features|High Ceilings|Yes;Interior Features|Walk-In Closet(s)|Yes;Interior Features|Entrance Foyer|Yes;Interior Features|Interior Steps Y/N|N;</t>
  </si>
  <si>
    <t>Additional Bathroom Features|Shower &amp; Tub|Yes;Additional Bathroom Features|Low Flow Showerhead|Yes;Additional Bathroom Features|Exhaust Fan|Yes;Additional Bathroom Features|Powder Room|Yes;Additional Bathroom Features|Pedestal Sink(s)|Yes;Assoc Amenities|None|Yes;Assoc Fees Includes|Common Area Maint|Yes;Builder/New Constr.|Site Phone|520-214-0226;Builder/New Constr.|Construction Phase|02 - Slab;Builder/New Constr.|New Construction|Yes;Builder/New Constr.|Site Contact|520-214-0226;Green Building Verification Type|ENERGY STAR Certified Homes|Yes;Green Building Verification Type|HERS Index Score|Yes;Income Property|Current Use|Owner Occupied;Window Features|Low-Emissivity Windows|Yes;Window Features|ENERGY STAR Qualified Windows|Yes;Road Maintenance|County|Yes;Road Type|Paved|Yes;Showing Service|Showing Service|None;Stories|One|Yes;Window Covering|None|Yes;Gas|Natural|Yes;Guest Facilities|None|Yes;Home Protection|Offered|No;Sewer|Connected|Yes;Construction|Frame - Stucco|Yes;Construction|Model Name|York;Driveway|Paved|Pavers;Electric|Electric Company|TEP;Fence|Block|Yes;Roof|Tile|Yes;Spa|None|Yes;Style|Modern|Yes;Water Heater|Tankless Water Heater|Yes;Water Heater|ENERGY STAR Qualified Water Heater|Yes;Water Heater|Natural Gas|Yes;Fireplace|None|Yes;Floor Covering|Carpet|Yes;Floor Covering|Other|Luxury Vinyl Plank;Laundry|Laundry Room|Yes;Laundry|Gas Dryer Hookup|Yes;Laundry|Electric Dryer Hookup|Yes;Living Areas|Great Room|Yes;Main Cooling|ENERGY STAR Qualified Equipment|Yes;Main Cooling|SEER Rating|15;Main Cooling|Ceiling Fans Pre-Wired|Yes;Main Cooling|Heat Pump|Yes;Main Heating|Heat Pump|Yes;Main Heating|Natural Gas|Yes;Patio/Deck|Covered|Yes;RV Parking|None|Yes;Security|Smoke Detector(s)|Yes;Security|Carbon Monoxide Detector(s)|Yes;Subdivision Restrict|Deed Restrictions|Yes;Subdivision Restrict|Green Valley Rec|Yes - Has GVR;Subdivision Restrict|CC&amp;Rs|Yes;Subdivision Restrict|Age Restrictions|Yes;Dining Areas|Dining Area|Yes;Fireplace Location|None|Yes;Garage/Carport Feat|Electric Door Opener|Yes;Garage/Carport Feat|Tandem Garage|Yes;Lot Features|North/South Exposure|Yes;Pool|None|Yes;Pool|Conventional|No;Special Conditions|Public Report|Yes;View|Mountain(s)|Yes;View|Residential|Yes;Extra Room|Den|Yes;Landscape - Front|Decorative Gravel|Yes;Landscape - Front|Trees|Yes;Landscape - Front|Sprinkler/Drip|Yes;Landscape - Front|Shrubs|Yes;Landscape - Front|Graded|Yes;Landscape - Rear|None|Yes;Association &amp; Fees|HOA|Yes;Association &amp; Fees|Rec Fee|44;Association &amp; Fees|HOA Payment Frequency|Annually;Association &amp; Fees|HOA Amt (Monthly)|38;Primary Bathroom Features|Double Vanity|Yes;Primary Bathroom Features|Exhaust Fan|Yes;Primary Bathroom Features|Low Flow Showerhead|Yes;Primary Bathroom Features|Countertops|Quartz;Primary Bathroom Features|Shower Only|Yes;Technology|Cable TV|Yes;Technology|Smart Thermostat|Yes;Technology|Smart Panel|Yes;Technology|High Speed Internet|Yes;Terms|FHA|Yes;Terms|Cash|Yes;Terms|Conventional|Yes;Terms|VA|Yes;Water|Public|Yes;Exterior Features|Front Faces|North;Neighborhood Feature|Jogging/Bike Path|Yes;Property Disclosures|None|Yes;Accessibility Option|Door Levers|Yes;Kitchen Features|Exhaust Fan|Yes;Kitchen Features|ENERGY STAR Qualified Dishwasher|Yes;Kitchen Features|ENERGY STAR Qualified Range|Yes;Kitchen Features|Microwave|Yes;Kitchen Features|Dishwasher|Yes;Kitchen Features|Countertops|Quartz;Kitchen Features|Appliance Color|Stainless;Kitchen Features|Pantry|Walk-In;Kitchen Features|Kitchen Island|Yes;Kitchen Features|Gas Range|Yes;Kitchen Features|Disposal|Yes;Submit With Offer|Earnest Check|Yes;Interior Features|Split Bedroom Plan|Yes;Interior Features|High Ceilings|Yes;Interior Features|Energy Star Qualified|Yes;Interior Features|Energy Efficient Lighting|All;Interior Features|Walk-In Closet(s)|Yes;Interior Features|Entrance Foyer|Yes;Interior Features|Interior Steps Y/N|N;</t>
  </si>
  <si>
    <t>Additional Bathroom Features|Shower &amp; Tub|Yes;Assoc Amenities|Park|Yes;Assoc Fees Includes|Common Area Maint|Yes;Assoc Fees Includes|Street Maint|Yes;Builder/New Constr.|New Construction|Yes;Builder/New Constr.|Builder Name|Mattamy Homes;Green Building Verification Type|ENERGY STAR Certified Homes|Yes;Green Building Verification Type|HERS Index Score|Yes;Income Property|Current Use|Owner Occupied;Sold Info|Seller Concessions|1,521;Window Features|Low-Emissivity Windows|Yes;Window Features|Double Pane Windows|Yes;Window Features|ENERGY STAR Qualified Windows|Yes;Road Maintenance|HOA|Yes;Road Type|Paved|Yes;Showing Service|Showing Service|ShowingTime;Stories|One|Yes;Window Covering|Other|faux wood blinds;Gas|Natural|Yes;Guest Facilities|None|Yes;Home Protection|Plan By|Builder;Sewer|Connected|Yes;Construction|Frame - Stucco|Yes;Construction|Model Name|Copper;Driveway|Paved|Concrete;Electric|Electric Company|TEP;Fence|Block|Yes;Roof|Tile|Yes;Spa|None|Yes;Style|Contemporary|Yes;Water Heater|Tankless Water Heater|Yes;Fireplace|None|Yes;Floor Covering|Carpet|Yes;Floor Covering|Ceramic Tile|Yes;Laundry|Laundry Room|Yes;Laundry|Washer|Yes;Laundry|Dryer|Yes;Living Areas|Great Room|Yes;Main Cooling|Central Air|Yes;Main Cooling|Ceiling Fans Pre-Wired|Yes;Main Cooling|ENERGY STAR Qualified Equipment|Yes;Main Heating|Heat Pump|Yes;Main Heating|Energy Star Qualified Equipment|Yes;Main Heating|Electric|Yes;Main Heating|Forced Air|Yes;Patio/Deck|Covered|Yes;RV Parking|Not Allowed|Yes;Security|Prewired|Yes;Security|Smoke Detector(s)|Yes;Subdivision Restrict|Deed Restrictions|Yes;Subdivision Restrict|CC&amp;Rs|Yes;Subdivision Restrict|Age Restrictions|No;Dining Areas|Breakfast Bar|Yes;Dining Areas|Dining Area|Yes;Fireplace Location|None|Yes;Garage/Carport Feat|Electric Door Opener|Yes;Lot Features|Subdivided|Yes;Lot Features|North/South Exposure|Yes;Pool|None|Yes;Pool|Conventional|No;Special Conditions|None|Yes;View|Residential|Yes;Extra Room|None|Yes;Landscape - Front|Low Care|Yes;Landscape - Front|Decorative Gravel|Yes;Landscape - Front|Sprinkler/Drip|Yes;Landscape - Front|Shrubs|Yes;Landscape - Front|Desert Plantings|Yes;Landscape - Rear|Low Care|Yes;Landscape - Rear|Artificial Turf|Yes;Landscape - Rear|Decorative Gravel|Yes;Landscape - Rear|Sprinkler/Drip|Yes;Landscape - Rear|Other|pavers;Landscape - Rear|Desert Plantings|Yes;Association &amp; Fees|HOA|Yes;Association &amp; Fees|HOA Payment Frequency|Quarterly;Association &amp; Fees|HOA Amt (Monthly)|84.5;Primary Bathroom Features|Shower Only|Yes;Technology|Cable TV|Yes;Technology|Smart Thermostat|Yes;Technology|High Speed Internet|Yes;Terms|FHA|Yes;Terms|Cash|Yes;Terms|Conventional|Yes;Terms|VA|Yes;Water|Water Company|Yes;Exterior Features|None|Yes;Neighborhood Feature|Sidewalks|Yes;Neighborhood Feature|Walking Trail|Yes;Neighborhood Feature|Park|Yes;Property Disclosures|Unknown|Yes;Accessibility Option|Door Levers|Yes;Kitchen Features|Dishwasher|Yes;Kitchen Features|Microwave|Yes;Kitchen Features|ENERGY STAR Qualified Range|Yes;Kitchen Features|ENERGY STAR Qualified Refrigerator|Yes;Kitchen Features|ENERGY STAR Qualified Dishwasher|Yes;Kitchen Features|Countertops|Quartz;Kitchen Features|Appliance Color|Stainless;Kitchen Features|Pantry|Walk-In;Kitchen Features|Kitchen Island|Yes;Kitchen Features|Gas Range|Yes;Kitchen Features|Refrigerator|Yes;Kitchen Features|Disposal|Yes;Submit With Offer|Earnest Check|Yes;Submit With Offer|Loan Pre-Qual|Yes;Interior Features|Interior Steps Y/N|N;Interior Features|High Ceilings|Yes;Interior Features|Energy Star Qualified|Yes;Interior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</si>
  <si>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Complete|2026-10-31;Builder/New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Name|Bella NG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</si>
  <si>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Complete|2026-09-30;Builder/New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Name|Mesa B;Driveway|Paved|Concrete;Electric|Electric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</si>
  <si>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Complete|2026-09-30;Builder/New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Name|Etta C;Driveway|Paved|Concrete;Electric|Electric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Faces|Southeast;Neighborhood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</si>
  <si>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Fan|Yes;Additional Bathroom Features|Double Vanity|Yes;Assoc Amenities|Park|Yes;Assoc Amenities|Tennis Courts|Yes;Assoc Amenities|Recreation Room|Yes;Assoc Fees Includes|Common Area Maint|Yes;Builder/New Constr.|Date Complete|2026-06-11;Builder/New Constr.|Builder Name|Meritage Homes;Builder/New Constr.|New Construction|Yes;Builder/New Constr.|Site Phone|520-686-5755;Builder/New Constr.|Date Framed|2026-03-13;Income Property|Current Use|Owner Occupied;Road Maintenance|City|Yes;Road Type|Paved|Yes;Showing Service|Showing Service|None;Stories|One|Yes;Window Covering|None|Yes;Gas|Natural|Yes;Guest Facilities|None|Yes;Home Protection|Offered|No;Sewer|Connected|Yes;Construction|Stucco Finish|Yes;Construction|Wood Frame|Yes;Driveway|Paved|Concrete;Electric|Electric Company|TEP;Fence|Block|Yes;Roof|Tile|Yes;Spa|None|Yes;Style|Contemporary|Yes;Water Heater|Tankless Water Heater|Yes;Fireplace|None|Yes;Floor Covering|Carpet|Yes;Floor Covering|Ceramic Tile|Yes;Laundry|Laundry Room|Yes;Living Areas|Great Room|Yes;Main Cooling|Heat Pump|Yes;Main Heating|Heat Pump|Yes;Patio/Deck|Covered|Yes;RV Parking|None|Yes;Security|Smoke Detector(s)|Yes;Security|Carbon Monoxide Detector(s)|Yes;Subdivision Restrict|Deed Restrictions|Yes;Subdivision Restrict|CC&amp;Rs|Yes;Subdivision Restrict|Age Restrictions|No;Dining Areas|Dining Area|Yes;Fireplace Location|None|Yes;Garage/Carport Feat|Attached Garage/Carport|Yes;Lot Features|Subdivided|Yes;Pool|None|Yes;Pool|Conventional|No;Special Conditions|None|Yes;View|Residential|Yes;Extra Room|None|Yes;Landscape - Front|Desert Plantings|Yes;Landscape - Front|Decorative Gravel|Yes;Landscape - Front|Shrubs|Yes;Landscape - Rear|None|Yes;Association &amp; Fees|HOA|Yes;Association &amp; Fees|Rec Fee|0;Association &amp; Fees|HOA Telephone|(520) 603-1889;Association &amp; Fees|HOA Name|The Rocking K South;Association &amp; Fees|HOA Transfer Fee|125;Association &amp; Fees|HOA Payment Frequency|Quarterly;Association &amp; Fees|HOA Amt (Monthly)|84.5;Primary Bathroom Features|Double Vanity|Yes;Primary Bathroom Features|Exhaust Fan|Yes;Primary Bathroom Features|Shower Only|Yes;Technology|High Speed Internet|Yes;Technology|Smart Panel|Yes;Terms|FHA|Yes;Terms|Cash|Yes;Terms|Conventional|Yes;Terms|VA|Yes;Water|Public|Yes;Exterior Features|None|Yes;Neighborhood Feature|Tennis Courts|Yes;Neighborhood Feature|Paved Street|Yes;Neighborhood Feature|Park|Yes;Neighborhood Feature|Sidewalks|Yes;Neighborhood Feature|Basketball Court|Yes;Neighborhood Feature|Jogging/Bike Path|Yes;Property Disclosures|None|Yes;Accessibility Option|Wide Doorways|Yes;Kitchen Features|Dishwasher|Yes;Kitchen Features|# of Ovens|1;Kitchen Features|Microwave|Yes;Kitchen Features|Countertops|Quartz/Granite;Kitchen Features|Appliance Color|Stainless;Kitchen Features|Pantry|Walk-In;Kitchen Features|Kitchen Island|Yes;Kitchen Features|Gas Range|Yes;Kitchen Features|Refrigerator|Yes;Kitchen Features|Disposal|Yes;Submit With Offer|Earnest Check|Yes;Interior Features|Interior Steps Y/N|N;Interior Features|Walk-In Closet(s)|Yes;</t>
  </si>
  <si>
    <t>Additional Bathroom Features|Shower &amp; Tub|Yes;Additional Bathroom Features|Exhaust Fan|Yes;Additional Bathroom Features|Powder Room|Yes;Additional Bathroom Features|Double Vanity|Yes;Assoc Amenities|Maintenance|Yes;Assoc Amenities|Park|Yes;Assoc Fees Includes|Common Area Maint|Yes;Builder/New Constr.|Date Complete|2026-07-31;Builder/New Constr.|Builder Warranty|Lennar;Builder/New Constr.|Builder Name|Lennar;Builder/New Constr.|Site Contact|520-399-7923;Income Property|Current Use|Owner Occupied;Window Features|Low-Emissivity Windows|Yes;Road Maintenance|County|Yes;Road Type|Paved|Yes;Showing Service|Showing Service|None;Stories|Two|Yes;Window Covering|Some|Yes;Gas|Natural|Yes;Guest Facilities|None|Yes;Home Protection|Offered|No;Sewer|Connected|Yes;Construction|Frame - Stucco|Yes;Construction|Model Name|Gwen C;Driveway|Paved|Concrete;Electric|Electric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Room|Loft|Yes;Extra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Features|Double Vanity|Yes;Primary Bathroom Features|Exhaust Fan|Yes;Primary Bathroom Features|Shower Only|Yes;Technology|Smart Thermostat|Yes;Terms|FHA|Yes;Terms|Cash|Yes;Terms|Conventional|Yes;Terms|VA|Yes;Water|Other|Spanish Trail Water;Water|Water Company|Yes;Exterior Features|None|Yes;Exterior Features|Front Faces|Southwest;Neighborhood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Y/N|Y;Interior Features|Energy Efficient Lighting|Some;Interior Features|Walk-In Closet(s)|Yes;Interior Features|Entrance Foyer|Yes;</t>
  </si>
  <si>
    <t>Additional Bathroom Features|Shower &amp; Tub|Yes;Additional Bathroom Features|Exhaust Fan|Yes;Additional Bathroom Features|Powder Room|Yes;Additional Bathroom Features|Double Vanity|Yes;Assoc Amenities|Maintenance|Yes;Assoc Amenities|Park|Yes;Assoc Fees Includes|Common Area Maint|Yes;Builder/New Constr.|Date Complete|2026-09-30;Builder/New Constr.|Builder Warranty|Lennar;Builder/New Constr.|Builder Name|Lennar;Builder/New Constr.|Site Contact|520-399-7923;Income Property|Current Use|Owner Occupied;Window Features|Low-Emissivity Windows|Yes;Road Maintenance|County|Yes;Road Type|Paved|Yes;Showing Service|Showing Service|None;Stories|Two|Yes;Window Covering|Some|Yes;Gas|Natural|Yes;Guest Facilities|None|Yes;Home Protection|Offered|No;Sewer|Connected|Yes;Construction|Frame - Stucco|Yes;Construction|Model Name|Poppy B;Driveway|Paved|Concrete;Electric|Electric Company|Tucson Electric Powe;Fence|Other|Retaining Walls;Roof|Tile|Yes;Spa|None|Yes;Style|Contemporary|Yes;Water Heater|Tankless Water Heater|Yes;Water Heater|Natural Gas|Yes;Fireplace|None|Yes;Floor Covering|Carpet|Yes;Floor Covering|Ceramic Tile|Yes;Laundry|Laundry Room|Yes;Laundry|Gas Dryer Hookup|Yes;Living Areas|Family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Room|Loft|Yes;Extra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Features|Double Vanity|Yes;Primary Bathroom Features|Exhaust Fan|Yes;Primary Bathroom Features|Shower Only|Yes;Technology|Smart Thermostat|Yes;Terms|FHA|Yes;Terms|Cash|Yes;Terms|Conventional|Yes;Terms|VA|Yes;Water|Other|Spanish Trail Water;Water|Water Company|Yes;Exterior Features|None|Yes;Exterior Features|Front Faces|Southeast;Neighborhood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Y/N|Y;Interior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</si>
  <si>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Complete|2026-09-30;Builder/New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Name|Odyssey A;Driveway|Paved|Concrete;Electric|Electric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Garage/Carport|Yes;Garage/Carport Feat|Tandem Garage|Yes;Lot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</si>
  <si>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Features|Other|Granite Countertops;Additional Bathroom Features|Exhaust Fan|Yes;Assoc Amenities|Maintenance|Yes;Assoc Amenities|Park|Yes;Assoc Fees Includes|Common Area Maint|Yes;Builder/New Constr.|Date Complete|2026-08-31;Builder/New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Name|Wayfarer B;Driveway|Paved|Concrete;Electric|Electric Company|Tucson Electric Powe;Fence|Block|Yes;Fence|Other|iron gate;Roof|Tile|Yes;Spa|None|Yes;Style|Contemporary|Yes;Water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Room|Loft|Yes;Landscape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Fan|Yes;Primary Bathroom Features|Countertops|Granite;Technology|Smart Thermostat|Yes;Terms|FHA|Yes;Terms|Cash|Yes;Terms|Conventional|Yes;Terms|VA|Yes;Water|Other|Spanish Trail Water;Water|Water Company|Yes;Exterior Features|None|Yes;Exterior Features|Front Faces|Southeast;Neighborhood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Features|Dishwasher|Yes;Kitchen Features|Countertops|Granite;Kitchen Features|Appliance Color|Stainless;Kitchen Features|Pantry|Closet;Kitchen Features|Gas Range|Yes;Kitchen Features|Refrigerator|Yes;Kitchen Features|Disposal|Yes;Submit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</si>
  <si>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Complete|2026-10-31;Builder/New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Service|None;Stories|Two|Yes;Window Covering|Some|Yes;Gas|Natural|Yes;Guest Facilities|None|Yes;Home Protection|Offered|No;Sewer|Connected|Yes;Construction|Frame - Stucco|Yes;Construction|Model Name|Jeffry A;Driveway|Paved|Concrete;Electric|Electric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Exposure|Yes;Lot Features|North/South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Faces|Northwest;Neighborhood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</si>
  <si>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Features|Other|Quartz Countertops;Additional Bathroom Features|Exhaust Fan|Yes;Assoc Amenities|Maintenance|Yes;Assoc Amenities|Park|Yes;Assoc Fees Includes|Common Area Maint|Yes;Builder/New Constr.|Date Complete|2026-08-31;Builder/New Constr.|Builder Warranty|Lennar;Builder/New Constr.|Builder Name|Lennar;Builder/New Constr.|Site Contact|520-399-7923;Income Property|Current Use|Owner Occupied;Window Features|Low-Emissivity Windows|Yes;Window Features|Double Pane Windows|Yes;Road Maintenance|County|Yes;Road Type|Paved|Yes;Showing Service|Showing Service|None;Stories|One|Yes;Window Covering|Some|Yes;Gas|Natural|Yes;Guest Facilities|None|Yes;Home Protection|Offered|No;Sewer|Connected|Yes;Construction|Frame - Stucco|Yes;Construction|Model Name|Ironwood C;Driveway|Paved|Concrete;Electric|Electric Company|Tucson Electric Powe;Fence|Block|Yes;Roof|Tile|Yes;Spa|None|Yes;Style|Contemporary|Yes;Water Heater|Tankless Water Heater|Yes;Water Heater|Natural Gas|Yes;Fireplace|None|Yes;Floor Covering|Carpet|Yes;Floor Covering|Ceramic Tile|Yes;Laundry|Laundry Room|Yes;Laundry|Gas Dryer Hookup|Yes;Living Areas|Great Room|Yes;Main Cooling|Central Air|Yes;Main Cooling|Ceiling Fans Pre-Wired|Yes;Main Heating|Forced Air|Yes;Main Heating|Natural Gas|Yes;Patio/Deck|Covered|Yes;Patio/Deck|Patio|Yes;RV Parking|None|Yes;Security|Smoke Detector(s)|Yes;Security|Carbon Monoxide Detector(s)|Yes;Subdivision Restrict|Deed Restrictions|Yes;Subdivision Restrict|CC&amp;Rs|Yes;Subdivision Restrict|Age Restrictions|No;Dining Areas|Breakfast Bar|Yes;Dining Areas|Dining Area|Yes;Fireplace Location|None|Yes;Garage/Carport Feat|Attached Garage/Carport|Yes;Lot Features|East/West Exposure|Yes;Pool|None|Yes;Pool|Conventional|No;Special Conditions|Public Report|Yes;View|None|Yes;Extra Room|None|Yes;Landscape - Front|Low Care|Yes;Landscape - Front|Decorative Gravel|Yes;Landscape - Rear|Other|Graded;Association &amp; Fees|HOA|Yes;Association &amp; Fees|HOA Name|Rocking K South;Association &amp; Fees|HOA Payment Frequency|Quarterly;Association &amp; Fees|HOA Amt (Monthly)|84.5;Primary Bathroom Features|Shower Only|Yes;Primary Bathroom Features|Exhaust Fan|Yes;Technology|Smart Thermostat|Yes;Terms|FHA|Yes;Terms|Cash|Yes;Terms|Conventional|Yes;Terms|VA|Yes;Water|Other|Spanish Trail Water;Water|Water Company|Yes;Exterior Features|None|Yes;Exterior Features|Front Faces|West;Neighborhood Feature|Jogging/Bike Path|Yes;Neighborhood Feature|Pickleball|Yes;Neighborhood Feature|Paved Street|Yes;Neighborhood Feature|Walking Trail|Yes;Neighborhood Feature|Park|Yes;Neighborhood Feature|Sidewalks|Yes;Neighborhood Feature|Basketball Court|Yes;Property Disclosures|Military Airport Vcty|Yes;Property Disclosures|Public Airport Vcty|Yes;Accessibility Option|Door Levers|Yes;Kitchen Features|Exhaust Fan|Yes;Kitchen Features|# of Ovens|1;Kitchen Features|Microwave|Yes;Kitchen Features|Disposal|Yes;Kitchen Features|Countertops|Quartz;Kitchen Features|Appliance Color|Stainless;Kitchen Features|Pantry|Closet;Kitchen Features|Gas Range|Yes;Kitchen Features|Refrigerator|Yes;Submit With Offer|Earnest Check|Yes;Submit With Offer|Loan Pre-Qual|Yes;Interior Features|Interior Steps Y/N|N;Interior Features|Energy Efficient Lighting|Some;Interior Features|Walk-In Closet(s)|Yes;Interior Features|Entrance Foyer|Yes;</t>
  </si>
  <si>
    <t>Additional Bathroom Features|Shower &amp; Tub|Yes;Additional Bathroom Features|Exhaust Fan|Yes;Assoc Amenities|Park|Yes;Assoc Amenities|Pickleball|Yes;Assoc Fees Includes|Common Area Maint|Yes;Builder/New Constr.|Date Complete|2026-09-25;Builder/New Constr.|Builder Warranty|Yes;Builder/New Constr.|Builder Name|Del Webb;Builder/New Constr.|New Construction|Yes;Builder/New Constr.|Site Phone|(520) 837-0276;Builder/New Constr.|Date Framed|2026-02-27;Income Property|Current Use|Owner Occupied;Window Features|Low-Emissivity Windows|Yes;Window Features|Double Pane Windows|Yes;Window Features|ENERGY STAR Qualified Windows|Yes;Road Maintenance|County|Yes;Road Type|Paved|Yes;Showing Service|Showing Service|None;Stories|One|Yes;Window Covering|None|Yes;Gas|Natural|Yes;Guest Facilities|None|Yes;Home Protection|Offered|Yes;Home Protection|Plan By|Builder Warranty;Sewer|Connected|Yes;Construction|Stucco Finish|Yes;Construction|Model Name|Preserve;Construction|Wood Frame|Yes;Driveway|Paved|Concrete;Electric|Electric Company|TEP;Fence|Block|Yes;Roof|Tile|Yes;Spa|None|Yes;Style|Ranch|Yes;Style|Southwestern|Yes;Water Heater|Tankless Water Heater|Yes;Water Heater|Natural Gas|Yes;Fireplace|None|Yes;Floor Covering|Carpet|Yes;Floor Covering|Ceramic Tile|Yes;Laundry|Laundry Room|Yes;Laundry|Washer|Yes;Laundry|Dryer|Yes;Living Areas|Great Room|Yes;Main Cooling|Central Air|Yes;Main Cooling|Ceiling Fans Pre-Wired|Yes;Main Heating|Forced Air|Yes;Main Heating|Natural Gas|Yes;Patio/Deck|Covered|Yes;Patio/Deck|Patio|Yes;RV Parking|None|Yes;Security|Smoke Detector(s)|Yes;Subdivision Restrict|Deed Restrictions|Yes;Subdivision Restrict|CC&amp;Rs|Yes;Subdivision Restrict|Age Restrictions|Yes;Dining Areas|Breakfast Bar|Yes;Dining Areas|Great Room|Yes;Dining Areas|Breakfast Nook|Yes;Fireplace Location|None|Yes;Garage/Carport Feat|Electric Door Opener|Yes;Garage/Carport Feat|Attached Garage/Carport|Yes;Garage/Carport Feat|Extended Length|Yes;Lot Features|Subdivided|Yes;Lot Features|Borders Common Area|Yes;Lot Features|East/West Exposure|Yes;Pool|Conventional|No;Special Conditions|Public Report|Yes;View|Sunset|Yes;View|Residential|Yes;Extra Room|Den|Yes;Landscape - Front|Low Care|Yes;Landscape - Front|Decorative Gravel|Yes;Landscape - Front|Sprinkler/Drip|Yes;Landscape - Front|Shrubs|Yes;Landscape - Rear|Low Care|Yes;Landscape - Rear|Decorative Gravel|Yes;Landscape - Rear|Trees|Yes;Landscape - Rear|Sprinkler/Drip|Yes;Landscape - Rear|Shrubs|Yes;Association &amp; Fees|HOA|Yes;Association &amp; Fees|HOA Telephone|480-921-7500;Association &amp; Fees|HOA Name|Del Webb Rocking K;Association &amp; Fees|HOA Payment Frequency|Quarterly;Association &amp; Fees|HOA Amt (Monthly)|305;Primary Bathroom Features|Double Vanity|Yes;Primary Bathroom Features|Exhaust Fan|Yes;Primary Bathroom Features|Shower Only|Yes;Technology|Pre-Wired Srnd Snd|Yes;Technology|Pre-Wired Tele Lines|Yes;Terms|FHA|Yes;Terms|Cash|Yes;Terms|Conventional|Yes;Terms|VA|Yes;Water|Water Company|Yes;Exterior Features|None|Yes;Neighborhood Feature|Pool|Yes;Neighborhood Feature|Pickleball|Yes;Neighborhood Feature|Paved Street|Yes;Neighborhood Feature|Walking Trail|Yes;Neighborhood Feature|Park|Yes;Neighborhood Feature|Sidewalks|Yes;Neighborhood Feature|Jogging/Bike Path|Yes;Neighborhood Feature|Lighted|Yes;Neighborhood Feature|Basketball Court|Yes;Property Disclosures|None|Yes;Accessibility Option|None|Yes;Kitchen Features|Dishwasher|Yes;Kitchen Features|Microwave|Yes;Kitchen Features|Countertops|quartz;Kitchen Features|Appliance Color|Stainless;Kitchen Features|Reverse Osmosis|Yes;Kitchen Features|Pantry|Walk-In;Kitchen Features|Lazy Susan|Yes;Kitchen Features|Kitchen Island|Yes;Kitchen Features|Disposal|Yes;Submit With Offer|Earnest Check|Yes;Interior Features|Split Bedroom Plan|Yes;Interior Features|High Ceilings|Yes;Interior Features|Walk-In Closet(s)|Yes;Interior Features|Entrance Foyer|Yes;Interior Features|Interior Steps Y/N|N;</t>
  </si>
  <si>
    <t>Additional Bathroom Features|Shower &amp; Tub|Yes;Additional Bathroom Features|Exhaust Fan|Yes;Additional Bathroom Features|Powder Room|Yes;Additional Bathroom Features|Pedestal Sink(s)|Yes;Assoc Amenities|Maintenance|Yes;Assoc Amenities|Pickleball|Yes;Assoc Amenities|Tennis Courts|Yes;Assoc Amenities|Spa/Hot Tub|Yes;Assoc Amenities|Security|Yes;Assoc Amenities|Recreation Room|Yes;Assoc Amenities|Pool|Yes;Assoc Amenities|Clubhouse|Yes;Assoc Fees Includes|Common Area Maint|Yes;Assoc Fees Includes|Street Maint|Yes;Assoc Fees Includes|Gated Community|Yes;Builder/New Constr.|Date Framed|2026-01-20;Builder/New Constr.|Builder Name|Robson Communities;Builder/New Constr.|New Construction|Yes;Income Property|Current Use|Owner Occupied;Window Features|Low-Emissivity Windows|Yes;Window Features|Bay Window(s)|Yes;Window Features|ENERGY STAR Qualified Windows|Yes;Road Maintenance|HOA|Yes;Road Type|Paved|Yes;Showing Service|Showing Service|None;Stories|One|Yes;Window Covering|None|Yes;Gas|Natural|Yes;Guest Facilities|None|Yes;Home Protection|Offered|No;Sewer|Connected|Yes;Construction|Frame|Yes;Construction|Model Name|Solstice;Construction|Stucco Finish|Yes;Driveway|Paved|Concrete;Electric|Electric Company|Trico;Fence|None|Yes;Roof|Tile|Yes;Spa|None|Yes;Style|Contemporary|Yes;Style|Modern|Yes;Water Heater|Tankless Water Heater|Yes;Fireplace|None|Yes;Floor Covering|Carpet|Yes;Floor Covering|Laminate|Yes;Floor Covering|Vinyl|Yes;Floor Covering|Ceramic Tile|Yes;Laundry|Sink|Yes;Laundry|Gas Dryer Hookup|Yes;Laundry|Electric Dryer Hookup|Yes;Laundry|Laundry Room|Yes;Living Areas|Great Room|Yes;Main Cooling|Central Air|Yes;Main Cooling|Ceiling Fans Pre-Wired|Yes;Main Heating|Forced Air|Yes;Patio/Deck|Patio|Yes;RV Parking|None|Yes;Security|Smoke Detector(s)|Yes;Security|Security Gate|Yes;Subdivision Restrict|Deed Restrictions|Yes;Subdivision Restrict|CC&amp;Rs|Yes;Subdivision Restrict|Age Restrictions|Yes;Dining Areas|Dining Area|Yes;Fireplace Location|None|Yes;Garage/Carport Feat|Electric Door Opener|Yes;Garage/Carport Feat|Utility Sink|Yes;Lot Features|Subdivided|Yes;Lot Features|Adjacent to Wash|Yes;Lot Features|North/South Exposure|Yes;Pool|None|Yes;Pool|Conventional|No;Special Conditions|Public Report|Yes;View|Residential|Yes;Extra Room|Den|Yes;Landscape - Front|None|Yes;Landscape - Rear|None|Yes;Association &amp; Fees|HOA|Yes;Association &amp; Fees|HOA Amt (Monthly)|287;Primary Bathroom Features|Shower Only|Yes;Primary Bathroom Features|Exhaust Fan|Yes;Primary Bathroom Features|Countertops|Quartz;Technology|Pre-Wired Sat Dish|Yes;Technology|Smart Panel|Yes;Technology|Pre-Wired Tele Lines|Yes;Terms|Conventional|Yes;Terms|Cash|Yes;Water|Water Company|Yes;Exterior Features|Front Faces|North;Neighborhood Feature|Pool|Yes;Neighborhood Feature|Pickleball|Yes;Neighborhood Feature|Paved Street|Yes;Neighborhood Feature|Gated|Yes;Neighborhood Feature|Spa|Yes;Neighborhood Feature|Exercise Facilities|Yes;Neighborhood Feature|Putting Green|Yes;Neighborhood Feature|Jogging/Bike Path|Yes;Neighborhood Feature|Tennis Courts|Yes;Neighborhood Feature|Golf|Yes;Property Disclosures|None|Yes;Accessibility Option|None|Yes;Kitchen Features|Dishwasher|Yes;Kitchen Features|Gas Cooktop|Yes;Kitchen Features|Countertops|Quartz;Kitchen Features|Pantry|Walk-In;Kitchen Features|Disposal|Yes;Submit With Offer|Earnest Check|Yes;Submit With Offer|Loan Pre-Qual|Yes;Interior Features|Split Bedroom Plan|Yes;Interior Features|High Ceilings|Yes;Interior Features|Walk-In Closet(s)|Yes;Interior Features|Entrance Foyer|Yes;Interior Features|Interior Steps Y/N|N;</t>
  </si>
  <si>
    <t>Additional Bathroom Features|Shower Only|Yes;Additional Bathroom Features|Exhaust Fan|Yes;Additional Bathroom Features|Powder Room|Yes;Additional Bathroom Features|Pedestal Sink(s)|Yes;Assoc Amenities|Maintenance|Yes;Assoc Amenities|Pickleball|Yes;Assoc Amenities|Tennis Courts|Yes;Assoc Amenities|Security|Yes;Assoc Amenities|Pool|Yes;Assoc Amenities|Clubhouse|Yes;Assoc Fees Includes|Common Area Maint|Yes;Assoc Fees Includes|Street Maint|Yes;Builder/New Constr.|Date Complete|2026-02-27;Builder/New Constr.|Builder Name|Robson Communities;Builder/New Constr.|New Construction|Yes;Builder/New Constr.|Date Framed|2025-08-18;Green Building Verification Type|ENERGY STAR Certified Homes|Yes;Income Property|Current Use|Owner Occupied;Window Features|Low-Emissivity Windows|Yes;Window Features|Double Pane Windows|Yes;Road Maintenance|HOA|Yes;Road Type|Paved|Yes;Showing Service|Showing Service|None;Stories|One|Yes;Window Covering|None|Yes;Gas|Natural|Yes;Guest Facilities|None|Yes;Home Protection|Offered|No;Sewer|Connected|Yes;Construction|Frame - Stucco|Yes;Driveway|Paved|Concrete;Electric|Electric Company|Trico;Fence|Block|Yes;Roof|Tile|Yes;Spa|None|Yes;Style|Contemporary|Yes;Style|Modern|Yes;Water Heater|Tankless Water Heater|Yes;Fireplace|None|Yes;Floor Covering|Carpet|Yes;Floor Covering|Vinyl|Yes;Floor Covering|Ceramic Tile|Yes;Laundry|Storage|Yes;Laundry|Gas Dryer Hookup|Yes;Laundry|Laundry Room|Yes;Living Areas|Great Room|Yes;Main Cooling|Central Air|Yes;Main Cooling|Ceiling Fans Pre-Wired|Yes;Main Heating|Forced Air|Yes;Patio/Deck|Patio|Yes;RV Parking|None|Yes;Security|None|Yes;Subdivision Restrict|Deed Restrictions|Yes;Subdivision Restrict|CC&amp;Rs|Yes;Subdivision Restrict|Age Restrictions|Yes;Dining Areas|Dining Area|Yes;Fireplace Location|None|Yes;Garage/Carport Feat|Electric Door Opener|Yes;Garage/Carport Feat|Second Garage|Yes;Lot Features|Corner Lot|Yes;Lot Features|North/South Exposure|Yes;Pool|None|Yes;Pool|Conventional|No;Special Conditions|Public Report|Yes;View|Residential|Yes;Extra Room|None|Yes;Landscape - Front|Low Care|Yes;Landscape - Front|Decorative Gravel|Yes;Landscape - Front|Trees|Yes;Landscape - Front|Sprinkler/Drip|Yes;Landscape - Front|Shrubs|Yes;Landscape - Front|Desert Plantings|Yes;Landscape - Rear|Desert Plantings|Yes;Landscape - Rear|Decorative Gravel|Yes;Landscape - Rear|Trees|Yes;Landscape - Rear|Sprinkler/Drip|Yes;Landscape - Rear|Shrubs|Yes;Association &amp; Fees|HOA|Yes;Association &amp; Fees|HOA Amt (Monthly)|305.83;Primary Bathroom Features|Double Vanity|Yes;Primary Bathroom Features|Exhaust Fan|Yes;Primary Bathroom Features|Countertops|Quartz;Primary Bathroom Features|Soaking Tub|Yes;Primary Bathroom Features|Shower Only|Yes;Technology|Pre-Wired Sat Dish|Yes;Technology|Smart Panel|Yes;Technology|Pre-Wired Tele Lines|Yes;Terms|Conventional|Yes;Terms|Cash|Yes;Water|Water Company|Yes;Exterior Features|Front Faces|North;Neighborhood Feature|Pool|Yes;Neighborhood Feature|Paved Street|Yes;Neighborhood Feature|Pickleball|Yes;Neighborhood Feature|Golf|Yes;Neighborhood Feature|Exercise Facilities|Yes;Neighborhood Feature|Jogging/Bike Path|Yes;Neighborhood Feature|Tennis Courts|Yes;Property Disclosures|None|Yes;Accessibility Option|None|Yes;Kitchen Features|Dishwasher|Yes;Kitchen Features|# of Ovens|1;Kitchen Features|Gas Cooktop|Yes;Kitchen Features|Electric Oven|Yes;Kitchen Features|Appliance Color|Stainless;Kitchen Features|Pantry|Walk-In;Kitchen Features|Kitchen Island|Yes;Kitchen Features|Refrigerator|Yes;Kitchen Features|Disposal|Yes;Submit With Offer|Earnest Check|Yes;Submit With Offer|Loan Pre-Qual|Yes;Interior Features|Split Bedroom Plan|Yes;Interior Features|High Ceilings|Yes;Interior Features|Walk-In Closet(s)|Yes;Interior Features|Entrance Foyer|Yes;Interior Features|Interior Steps Y/N|N;</t>
  </si>
  <si>
    <t>Legal Description on (Abbrev)</t>
  </si>
  <si>
    <t xml:space="preserve">Ownership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</si>
</sst>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0.0"/>
    <numFmt numFmtId="165" formatCode="&quot;$&quot;#,##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0" tint="-0.34998626667073579"/>
      <name val="Aptos Narrow"/>
      <family val="2"/>
      <scheme val="minor"/>
    </font>
    <font>
      <b/>
      <sz val="11"/>
      <name val="Aptos Narrow"/>
      <family val="2"/>
      <scheme val="minor"/>
    </font>
  </fonts>
  <fills count="7">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3" tint="0.79998168889431442"/>
        <bgColor indexed="64"/>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2">
    <xf numFmtId="0" fontId="0" fillId="0" borderId="0"/>
    <xf numFmtId="0" fontId="1" fillId="0" borderId="0"/>
  </cellStyleXfs>
  <cellXfs count="43">
    <xf numFmtId="0" fontId="0" fillId="0" borderId="0" xfId="0"/>
    <xf numFmtId="0" fontId="1" fillId="2" borderId="0" xfId="1" applyFill="1"/>
    <xf numFmtId="14" fontId="3" fillId="3" borderId="1" xfId="1" applyNumberFormat="1" applyFont="1" applyFill="1" applyBorder="1" applyAlignment="1">
      <alignment horizontal="center" vertical="top" wrapText="1"/>
    </xf>
    <xf numFmtId="0" fontId="4" fillId="4" borderId="1" xfId="1" applyFont="1" applyFill="1" applyBorder="1" applyAlignment="1">
      <alignment horizontal="center" vertical="top" wrapText="1"/>
    </xf>
    <xf numFmtId="6" fontId="2" fillId="4" borderId="1" xfId="1" applyNumberFormat="1" applyFont="1" applyFill="1" applyBorder="1" applyAlignment="1">
      <alignment horizontal="center" vertical="top" wrapText="1"/>
    </xf>
    <xf numFmtId="6" fontId="4" fillId="4" borderId="1" xfId="0" applyNumberFormat="1" applyFont="1" applyFill="1" applyBorder="1" applyAlignment="1">
      <alignment horizontal="center" vertical="top" wrapText="1"/>
    </xf>
    <xf numFmtId="6" fontId="2" fillId="5" borderId="1" xfId="1" applyNumberFormat="1" applyFont="1" applyFill="1" applyBorder="1" applyAlignment="1">
      <alignment horizontal="center" vertical="top" wrapText="1"/>
    </xf>
    <xf numFmtId="0" fontId="3" fillId="3" borderId="1" xfId="1" applyFont="1" applyFill="1" applyBorder="1" applyAlignment="1">
      <alignment horizontal="center" vertical="top" wrapText="1"/>
    </xf>
    <xf numFmtId="1" fontId="2" fillId="5" borderId="1" xfId="1" applyNumberFormat="1" applyFont="1" applyFill="1" applyBorder="1" applyAlignment="1">
      <alignment horizontal="center" vertical="top" wrapText="1"/>
    </xf>
    <xf numFmtId="1" fontId="2" fillId="4" borderId="1" xfId="1" applyNumberFormat="1" applyFont="1" applyFill="1" applyBorder="1" applyAlignment="1">
      <alignment horizontal="center" vertical="top" wrapText="1"/>
    </xf>
    <xf numFmtId="164" fontId="2" fillId="4" borderId="1" xfId="1" applyNumberFormat="1" applyFont="1" applyFill="1" applyBorder="1" applyAlignment="1">
      <alignment horizontal="center" vertical="top" wrapText="1"/>
    </xf>
    <xf numFmtId="14" fontId="1" fillId="2" borderId="1" xfId="1" applyNumberFormat="1" applyFill="1" applyBorder="1" applyAlignment="1">
      <alignment horizontal="center"/>
    </xf>
    <xf numFmtId="0" fontId="1" fillId="2" borderId="1" xfId="1" applyFill="1" applyBorder="1" applyAlignment="1">
      <alignment horizontal="center"/>
    </xf>
    <xf numFmtId="6" fontId="1" fillId="2" borderId="1" xfId="1" applyNumberFormat="1" applyFill="1" applyBorder="1" applyAlignment="1">
      <alignment horizontal="center"/>
    </xf>
    <xf numFmtId="6" fontId="1" fillId="2" borderId="1" xfId="0" applyNumberFormat="1" applyFont="1" applyFill="1" applyBorder="1" applyAlignment="1">
      <alignment horizontal="center" vertical="center"/>
    </xf>
    <xf numFmtId="0" fontId="1" fillId="2" borderId="1" xfId="1" applyFill="1" applyBorder="1"/>
    <xf numFmtId="1" fontId="1" fillId="2" borderId="1" xfId="1" applyNumberFormat="1" applyFill="1" applyBorder="1" applyAlignment="1">
      <alignment horizontal="center"/>
    </xf>
    <xf numFmtId="164" fontId="1" fillId="2" borderId="1" xfId="1" applyNumberFormat="1" applyFill="1" applyBorder="1" applyAlignment="1">
      <alignment horizontal="center"/>
    </xf>
    <xf numFmtId="14" fontId="1" fillId="2" borderId="1" xfId="0" applyNumberFormat="1" applyFont="1" applyFill="1" applyBorder="1" applyAlignment="1">
      <alignment horizontal="center"/>
    </xf>
    <xf numFmtId="0" fontId="1" fillId="2" borderId="1" xfId="0" applyFont="1" applyFill="1" applyBorder="1" applyAlignment="1">
      <alignment horizontal="center"/>
    </xf>
    <xf numFmtId="6" fontId="1" fillId="2" borderId="1" xfId="0" applyNumberFormat="1" applyFont="1" applyFill="1" applyBorder="1" applyAlignment="1">
      <alignment horizontal="center"/>
    </xf>
    <xf numFmtId="0" fontId="1" fillId="2" borderId="1" xfId="0" applyFont="1" applyFill="1" applyBorder="1"/>
    <xf numFmtId="1" fontId="1" fillId="2" borderId="1" xfId="0" applyNumberFormat="1" applyFont="1" applyFill="1" applyBorder="1" applyAlignment="1">
      <alignment horizontal="center"/>
    </xf>
    <xf numFmtId="164" fontId="1" fillId="2" borderId="1" xfId="0" applyNumberFormat="1" applyFont="1" applyFill="1" applyBorder="1" applyAlignment="1">
      <alignment horizontal="center"/>
    </xf>
    <xf numFmtId="6" fontId="2" fillId="2" borderId="1" xfId="1" applyNumberFormat="1" applyFont="1" applyFill="1" applyBorder="1" applyAlignment="1">
      <alignment horizontal="center"/>
    </xf>
    <xf numFmtId="0" fontId="1" fillId="2" borderId="0" xfId="1" applyFill="1" applyAlignment="1">
      <alignment horizontal="center"/>
    </xf>
    <xf numFmtId="6" fontId="1" fillId="2" borderId="0" xfId="1" applyNumberFormat="1" applyFill="1" applyAlignment="1">
      <alignment horizontal="center"/>
    </xf>
    <xf numFmtId="1" fontId="1" fillId="2" borderId="0" xfId="1" applyNumberFormat="1" applyFill="1" applyAlignment="1">
      <alignment horizontal="center"/>
    </xf>
    <xf numFmtId="164" fontId="1" fillId="2" borderId="0" xfId="1" applyNumberFormat="1" applyFill="1" applyAlignment="1">
      <alignment horizontal="center"/>
    </xf>
    <xf numFmtId="165" fontId="1" fillId="2" borderId="1" xfId="1" applyNumberFormat="1" applyFill="1" applyBorder="1" applyAlignment="1">
      <alignment horizontal="center"/>
    </xf>
    <xf numFmtId="0" fontId="1" fillId="2" borderId="0" xfId="1" applyFill="1" applyAlignment="1">
      <alignment horizontal="left"/>
    </xf>
    <xf numFmtId="0" fontId="1" fillId="2" borderId="0" xfId="0" applyFont="1" applyFill="1" applyAlignment="1">
      <alignment horizontal="left"/>
    </xf>
    <xf numFmtId="0" fontId="0" fillId="0" borderId="0" xfId="0" applyAlignment="1">
      <alignment horizontal="left"/>
    </xf>
    <xf numFmtId="0" fontId="1" fillId="2" borderId="1" xfId="1" applyFill="1" applyBorder="1" applyAlignment="1">
      <alignment horizontal="left"/>
    </xf>
    <xf numFmtId="0" fontId="0" fillId="0" borderId="1" xfId="0" applyBorder="1" applyAlignment="1">
      <alignment horizontal="left"/>
    </xf>
    <xf numFmtId="0" fontId="1" fillId="2" borderId="1" xfId="0" applyFont="1" applyFill="1" applyBorder="1" applyAlignment="1">
      <alignment horizontal="left"/>
    </xf>
    <xf numFmtId="1" fontId="1" fillId="2" borderId="0" xfId="1" applyNumberFormat="1" applyFill="1" applyAlignment="1">
      <alignment horizontal="left"/>
    </xf>
    <xf numFmtId="1" fontId="1" fillId="2" borderId="0" xfId="0" applyNumberFormat="1" applyFont="1" applyFill="1" applyAlignment="1">
      <alignment horizontal="left"/>
    </xf>
    <xf numFmtId="1" fontId="1" fillId="2" borderId="1" xfId="1" applyNumberFormat="1" applyFill="1" applyBorder="1" applyAlignment="1">
      <alignment horizontal="left"/>
    </xf>
    <xf numFmtId="1" fontId="1" fillId="2" borderId="1" xfId="0" applyNumberFormat="1" applyFont="1" applyFill="1" applyBorder="1" applyAlignment="1">
      <alignment horizontal="left"/>
    </xf>
    <xf numFmtId="14" fontId="0" fillId="0" borderId="0" xfId="0" applyNumberFormat="1" applyAlignment="1">
      <alignment horizontal="left"/>
    </xf>
    <xf numFmtId="0" fontId="0" fillId="6" borderId="0" xfId="0" applyFill="1" applyAlignment="1">
      <alignment horizontal="left"/>
    </xf>
    <xf numFmtId="0" fontId="0" fillId="0" borderId="0" xfId="0" quotePrefix="1" applyAlignment="1">
      <alignment horizontal="left"/>
    </xf>
  </cellXfs>
  <cellStyles count="2">
    <cellStyle name="Normal" xfId="0" builtinId="0"/>
    <cellStyle name="Normal 2 8" xfId="1" xr:uid="{5DA29FA6-E519-4F53-86DF-76EBC9D1DB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93137-F225-4BA2-A8E1-FE5592FF68D3}">
  <dimension ref="A1:Z2998"/>
  <sheetViews>
    <sheetView tabSelected="1" topLeftCell="A346" workbookViewId="0">
      <selection activeCell="E358" sqref="E358"/>
    </sheetView>
  </sheetViews>
  <sheetFormatPr defaultRowHeight="15" outlineLevelCol="1" x14ac:dyDescent="0.25"/>
  <cols>
    <col min="1" max="1" width="12" style="25" bestFit="1" customWidth="1"/>
    <col min="2" max="5" width="12.140625" style="25" customWidth="1"/>
    <col min="6" max="8" width="12.140625" style="26" customWidth="1"/>
    <col min="9" max="12" width="12.140625" style="25" customWidth="1"/>
    <col min="13" max="16" width="12.140625" style="1" customWidth="1"/>
    <col min="17" max="17" width="12.140625" style="27" customWidth="1"/>
    <col min="18" max="19" width="12.140625" style="27" customWidth="1" outlineLevel="1"/>
    <col min="20" max="20" width="12.140625" style="28" customWidth="1" outlineLevel="1"/>
    <col min="21" max="21" width="12.140625" style="25" customWidth="1"/>
    <col min="22" max="22" width="12.140625" style="27" customWidth="1" outlineLevel="1"/>
    <col min="23" max="23" width="117.5703125" style="25" bestFit="1" customWidth="1"/>
    <col min="24" max="24" width="255.7109375" style="25" bestFit="1" customWidth="1"/>
    <col min="25" max="25" width="12.140625" style="1" customWidth="1"/>
    <col min="26" max="26" width="12.140625" style="25" customWidth="1"/>
  </cols>
  <sheetData>
    <row r="1" spans="1:26" ht="45" x14ac:dyDescent="0.25">
      <c r="A1" s="2" t="s">
        <v>0</v>
      </c>
      <c r="B1" s="2" t="s">
        <v>6</v>
      </c>
      <c r="C1" s="2" t="s">
        <v>7</v>
      </c>
      <c r="D1" s="2" t="s">
        <v>8</v>
      </c>
      <c r="E1" s="3" t="s">
        <v>9</v>
      </c>
      <c r="F1" s="4" t="s">
        <v>11</v>
      </c>
      <c r="G1" s="5" t="s">
        <v>12</v>
      </c>
      <c r="H1" s="6" t="s">
        <v>13</v>
      </c>
      <c r="I1" s="2" t="s">
        <v>14</v>
      </c>
      <c r="J1" s="2" t="s">
        <v>15</v>
      </c>
      <c r="K1" s="2" t="s">
        <v>16</v>
      </c>
      <c r="L1" s="2" t="s">
        <v>17</v>
      </c>
      <c r="M1" s="7" t="s">
        <v>18</v>
      </c>
      <c r="N1" s="7" t="s">
        <v>20</v>
      </c>
      <c r="O1" s="7" t="s">
        <v>21</v>
      </c>
      <c r="P1" s="7" t="s">
        <v>22</v>
      </c>
      <c r="Q1" s="8" t="s">
        <v>23</v>
      </c>
      <c r="R1" s="9" t="s">
        <v>24</v>
      </c>
      <c r="S1" s="9" t="s">
        <v>25</v>
      </c>
      <c r="T1" s="10" t="s">
        <v>26</v>
      </c>
      <c r="U1" s="2" t="s">
        <v>27</v>
      </c>
      <c r="V1" s="9" t="s">
        <v>28</v>
      </c>
      <c r="W1" s="2" t="s">
        <v>29</v>
      </c>
      <c r="X1" s="2" t="s">
        <v>30</v>
      </c>
      <c r="Y1" s="8" t="s">
        <v>35</v>
      </c>
      <c r="Z1" s="2" t="s">
        <v>36</v>
      </c>
    </row>
    <row r="2" spans="1:26" x14ac:dyDescent="0.25">
      <c r="A2" s="16">
        <v>22606362</v>
      </c>
      <c r="B2" s="11">
        <v>46090</v>
      </c>
      <c r="C2" s="11">
        <v>46150</v>
      </c>
      <c r="D2" s="11">
        <v>46142</v>
      </c>
      <c r="E2" s="12" t="s">
        <v>37</v>
      </c>
      <c r="F2" s="13">
        <v>1007000</v>
      </c>
      <c r="G2" s="14">
        <v>1010000</v>
      </c>
      <c r="H2" s="13">
        <v>983000</v>
      </c>
      <c r="I2" s="29">
        <f t="shared" ref="I2:I65" si="0">H2/Q2</f>
        <v>371.78517397881996</v>
      </c>
      <c r="J2" s="11">
        <v>36872</v>
      </c>
      <c r="K2" s="11" t="s">
        <v>38</v>
      </c>
      <c r="L2" s="11" t="s">
        <v>39</v>
      </c>
      <c r="M2" s="15" t="s">
        <v>40</v>
      </c>
      <c r="N2" s="15">
        <v>85739</v>
      </c>
      <c r="O2" s="15">
        <v>32.541409999999999</v>
      </c>
      <c r="P2" s="15">
        <v>-110.85885399999999</v>
      </c>
      <c r="Q2" s="16">
        <v>2644</v>
      </c>
      <c r="R2" s="16">
        <v>2017</v>
      </c>
      <c r="S2" s="16">
        <v>3</v>
      </c>
      <c r="T2" s="17">
        <v>2.5</v>
      </c>
      <c r="U2" s="11" t="s">
        <v>41</v>
      </c>
      <c r="V2" s="16">
        <v>1</v>
      </c>
      <c r="W2" s="11" t="s">
        <v>42</v>
      </c>
      <c r="X2" s="11" t="s">
        <v>43</v>
      </c>
      <c r="Y2" s="15" t="s">
        <v>44</v>
      </c>
      <c r="Z2" s="11"/>
    </row>
    <row r="3" spans="1:26" x14ac:dyDescent="0.25">
      <c r="A3" s="16">
        <v>22605013</v>
      </c>
      <c r="B3" s="11">
        <v>46076</v>
      </c>
      <c r="C3" s="11">
        <v>46078</v>
      </c>
      <c r="D3" s="11">
        <v>46077</v>
      </c>
      <c r="E3" s="12" t="s">
        <v>37</v>
      </c>
      <c r="F3" s="13">
        <v>1250000</v>
      </c>
      <c r="G3" s="14">
        <v>1250000</v>
      </c>
      <c r="H3" s="13">
        <v>1225000</v>
      </c>
      <c r="I3" s="29">
        <f t="shared" si="0"/>
        <v>471.3351288957291</v>
      </c>
      <c r="J3" s="11">
        <v>36775</v>
      </c>
      <c r="K3" s="11" t="s">
        <v>38</v>
      </c>
      <c r="L3" s="11" t="s">
        <v>39</v>
      </c>
      <c r="M3" s="15" t="s">
        <v>45</v>
      </c>
      <c r="N3" s="15">
        <v>85739</v>
      </c>
      <c r="O3" s="15">
        <v>32.542808999999998</v>
      </c>
      <c r="P3" s="15">
        <v>-110.85770100000001</v>
      </c>
      <c r="Q3" s="16">
        <v>2599</v>
      </c>
      <c r="R3" s="16">
        <v>2007</v>
      </c>
      <c r="S3" s="16">
        <v>3</v>
      </c>
      <c r="T3" s="17">
        <v>3.5</v>
      </c>
      <c r="U3" s="11" t="s">
        <v>41</v>
      </c>
      <c r="V3" s="16">
        <v>1</v>
      </c>
      <c r="W3" s="11" t="s">
        <v>46</v>
      </c>
      <c r="X3" s="11" t="s">
        <v>47</v>
      </c>
      <c r="Y3" s="15" t="s">
        <v>44</v>
      </c>
      <c r="Z3" s="11"/>
    </row>
    <row r="4" spans="1:26" x14ac:dyDescent="0.25">
      <c r="A4" s="16">
        <v>22601260</v>
      </c>
      <c r="B4" s="11">
        <v>46036</v>
      </c>
      <c r="C4" s="11">
        <v>46132</v>
      </c>
      <c r="D4" s="11">
        <v>46118</v>
      </c>
      <c r="E4" s="12" t="s">
        <v>37</v>
      </c>
      <c r="F4" s="13">
        <v>1424000</v>
      </c>
      <c r="G4" s="14">
        <v>1399000</v>
      </c>
      <c r="H4" s="13">
        <v>1275000</v>
      </c>
      <c r="I4" s="29">
        <f t="shared" si="0"/>
        <v>408.39205637411914</v>
      </c>
      <c r="J4" s="11">
        <v>67137</v>
      </c>
      <c r="K4" s="11" t="s">
        <v>48</v>
      </c>
      <c r="L4" s="11" t="s">
        <v>49</v>
      </c>
      <c r="M4" s="15" t="s">
        <v>40</v>
      </c>
      <c r="N4" s="15">
        <v>85739</v>
      </c>
      <c r="O4" s="15">
        <v>32.543565999999998</v>
      </c>
      <c r="P4" s="15">
        <v>-110.850279</v>
      </c>
      <c r="Q4" s="16">
        <v>3122</v>
      </c>
      <c r="R4" s="16">
        <v>2020</v>
      </c>
      <c r="S4" s="16">
        <v>2</v>
      </c>
      <c r="T4" s="17">
        <v>2.5</v>
      </c>
      <c r="U4" s="11" t="s">
        <v>41</v>
      </c>
      <c r="V4" s="16">
        <v>1</v>
      </c>
      <c r="W4" s="11" t="s">
        <v>50</v>
      </c>
      <c r="X4" s="11" t="s">
        <v>51</v>
      </c>
      <c r="Y4" s="15" t="s">
        <v>44</v>
      </c>
      <c r="Z4" s="11"/>
    </row>
    <row r="5" spans="1:26" x14ac:dyDescent="0.25">
      <c r="A5" s="22">
        <v>22513226</v>
      </c>
      <c r="B5" s="18">
        <v>45786</v>
      </c>
      <c r="C5" s="18">
        <v>46057</v>
      </c>
      <c r="D5" s="18">
        <v>46049</v>
      </c>
      <c r="E5" s="19" t="s">
        <v>37</v>
      </c>
      <c r="F5" s="20">
        <v>995000</v>
      </c>
      <c r="G5" s="14">
        <v>894500</v>
      </c>
      <c r="H5" s="20">
        <v>850000</v>
      </c>
      <c r="I5" s="29">
        <f t="shared" si="0"/>
        <v>260.33690658499233</v>
      </c>
      <c r="J5" s="18">
        <v>36330</v>
      </c>
      <c r="K5" s="18" t="s">
        <v>38</v>
      </c>
      <c r="L5" s="18" t="s">
        <v>52</v>
      </c>
      <c r="M5" s="21" t="s">
        <v>45</v>
      </c>
      <c r="N5" s="21">
        <v>85739</v>
      </c>
      <c r="O5" s="21">
        <v>32.545811</v>
      </c>
      <c r="P5" s="21">
        <v>-110.861402</v>
      </c>
      <c r="Q5" s="22">
        <v>3265</v>
      </c>
      <c r="R5" s="19">
        <v>2006</v>
      </c>
      <c r="S5" s="22">
        <v>3</v>
      </c>
      <c r="T5" s="23">
        <v>3.5</v>
      </c>
      <c r="U5" s="18" t="s">
        <v>41</v>
      </c>
      <c r="V5" s="22">
        <v>1</v>
      </c>
      <c r="W5" s="18" t="s">
        <v>53</v>
      </c>
      <c r="X5" s="18" t="s">
        <v>54</v>
      </c>
      <c r="Y5" s="21" t="s">
        <v>44</v>
      </c>
      <c r="Z5" s="18"/>
    </row>
    <row r="6" spans="1:26" x14ac:dyDescent="0.25">
      <c r="A6" s="16">
        <v>22523136</v>
      </c>
      <c r="B6" s="11">
        <v>45904</v>
      </c>
      <c r="C6" s="11">
        <v>46148</v>
      </c>
      <c r="D6" s="11">
        <v>46143</v>
      </c>
      <c r="E6" s="12" t="s">
        <v>37</v>
      </c>
      <c r="F6" s="13">
        <v>1799000</v>
      </c>
      <c r="G6" s="14">
        <v>1599000</v>
      </c>
      <c r="H6" s="13">
        <v>1550000</v>
      </c>
      <c r="I6" s="29">
        <f t="shared" si="0"/>
        <v>424.30878729811116</v>
      </c>
      <c r="J6" s="11">
        <v>36351</v>
      </c>
      <c r="K6" s="11" t="s">
        <v>38</v>
      </c>
      <c r="L6" s="11" t="s">
        <v>55</v>
      </c>
      <c r="M6" s="15" t="s">
        <v>45</v>
      </c>
      <c r="N6" s="15">
        <v>85739</v>
      </c>
      <c r="O6" s="15">
        <v>32.54618</v>
      </c>
      <c r="P6" s="15">
        <v>-110.85149</v>
      </c>
      <c r="Q6" s="16">
        <v>3653</v>
      </c>
      <c r="R6" s="16">
        <v>2020</v>
      </c>
      <c r="S6" s="16">
        <v>3</v>
      </c>
      <c r="T6" s="17">
        <v>3.5</v>
      </c>
      <c r="U6" s="11" t="s">
        <v>41</v>
      </c>
      <c r="V6" s="16">
        <v>1</v>
      </c>
      <c r="W6" s="11" t="s">
        <v>56</v>
      </c>
      <c r="X6" s="11" t="s">
        <v>57</v>
      </c>
      <c r="Y6" s="15" t="s">
        <v>44</v>
      </c>
      <c r="Z6" s="11"/>
    </row>
    <row r="7" spans="1:26" x14ac:dyDescent="0.25">
      <c r="A7" s="16">
        <v>22601837</v>
      </c>
      <c r="B7" s="11">
        <v>46042</v>
      </c>
      <c r="C7" s="11">
        <v>46170</v>
      </c>
      <c r="D7" s="11">
        <v>46153</v>
      </c>
      <c r="E7" s="12" t="s">
        <v>37</v>
      </c>
      <c r="F7" s="13">
        <v>949000</v>
      </c>
      <c r="G7" s="14">
        <v>919000</v>
      </c>
      <c r="H7" s="13">
        <v>914000</v>
      </c>
      <c r="I7" s="29">
        <f t="shared" si="0"/>
        <v>362.98649722001591</v>
      </c>
      <c r="J7" s="11">
        <v>36511</v>
      </c>
      <c r="K7" s="11" t="s">
        <v>38</v>
      </c>
      <c r="L7" s="11" t="s">
        <v>58</v>
      </c>
      <c r="M7" s="15" t="s">
        <v>45</v>
      </c>
      <c r="N7" s="15">
        <v>85739</v>
      </c>
      <c r="O7" s="15">
        <v>32.546435000000002</v>
      </c>
      <c r="P7" s="15">
        <v>-110.855457</v>
      </c>
      <c r="Q7" s="16">
        <v>2518</v>
      </c>
      <c r="R7" s="16">
        <v>2018</v>
      </c>
      <c r="S7" s="16">
        <v>2</v>
      </c>
      <c r="T7" s="17">
        <v>2.5</v>
      </c>
      <c r="U7" s="11" t="s">
        <v>41</v>
      </c>
      <c r="V7" s="16">
        <v>1</v>
      </c>
      <c r="W7" s="11" t="s">
        <v>59</v>
      </c>
      <c r="X7" s="11" t="s">
        <v>60</v>
      </c>
      <c r="Y7" s="15" t="s">
        <v>44</v>
      </c>
      <c r="Z7" s="11"/>
    </row>
    <row r="8" spans="1:26" x14ac:dyDescent="0.25">
      <c r="A8" s="16">
        <v>22530875</v>
      </c>
      <c r="B8" s="11">
        <v>45993</v>
      </c>
      <c r="C8" s="11">
        <v>46107</v>
      </c>
      <c r="D8" s="11">
        <v>46083</v>
      </c>
      <c r="E8" s="12" t="s">
        <v>37</v>
      </c>
      <c r="F8" s="13">
        <v>1549000</v>
      </c>
      <c r="G8" s="14">
        <v>1549000</v>
      </c>
      <c r="H8" s="13">
        <v>1490000</v>
      </c>
      <c r="I8" s="29">
        <f t="shared" si="0"/>
        <v>464.31910252415082</v>
      </c>
      <c r="J8" s="11">
        <v>36085</v>
      </c>
      <c r="K8" s="11" t="s">
        <v>38</v>
      </c>
      <c r="L8" s="11" t="s">
        <v>55</v>
      </c>
      <c r="M8" s="15" t="s">
        <v>45</v>
      </c>
      <c r="N8" s="15">
        <v>85739</v>
      </c>
      <c r="O8" s="15">
        <v>32.548591000000002</v>
      </c>
      <c r="P8" s="15">
        <v>-110.85203300000001</v>
      </c>
      <c r="Q8" s="16">
        <v>3209</v>
      </c>
      <c r="R8" s="16">
        <v>2021</v>
      </c>
      <c r="S8" s="16">
        <v>3</v>
      </c>
      <c r="T8" s="17">
        <v>3.5</v>
      </c>
      <c r="U8" s="11" t="s">
        <v>41</v>
      </c>
      <c r="V8" s="16">
        <v>1</v>
      </c>
      <c r="W8" s="11" t="s">
        <v>61</v>
      </c>
      <c r="X8" s="11" t="s">
        <v>62</v>
      </c>
      <c r="Y8" s="15" t="s">
        <v>44</v>
      </c>
      <c r="Z8" s="11"/>
    </row>
    <row r="9" spans="1:26" x14ac:dyDescent="0.25">
      <c r="A9" s="16">
        <v>22603634</v>
      </c>
      <c r="B9" s="11">
        <v>46060</v>
      </c>
      <c r="C9" s="11">
        <v>46149</v>
      </c>
      <c r="D9" s="11">
        <v>46147</v>
      </c>
      <c r="E9" s="12" t="s">
        <v>37</v>
      </c>
      <c r="F9" s="13">
        <v>1250000</v>
      </c>
      <c r="G9" s="14">
        <v>1250000</v>
      </c>
      <c r="H9" s="13">
        <v>1100000</v>
      </c>
      <c r="I9" s="29">
        <f t="shared" si="0"/>
        <v>315.72904707233067</v>
      </c>
      <c r="J9" s="11">
        <v>36067</v>
      </c>
      <c r="K9" s="11" t="s">
        <v>38</v>
      </c>
      <c r="L9" s="11" t="s">
        <v>55</v>
      </c>
      <c r="M9" s="15" t="s">
        <v>40</v>
      </c>
      <c r="N9" s="15">
        <v>85739</v>
      </c>
      <c r="O9" s="15">
        <v>32.549008000000001</v>
      </c>
      <c r="P9" s="15">
        <v>-110.852092</v>
      </c>
      <c r="Q9" s="16">
        <v>3484</v>
      </c>
      <c r="R9" s="16">
        <v>2021</v>
      </c>
      <c r="S9" s="16">
        <v>2</v>
      </c>
      <c r="T9" s="17">
        <v>2.5</v>
      </c>
      <c r="U9" s="11" t="s">
        <v>41</v>
      </c>
      <c r="V9" s="16">
        <v>1</v>
      </c>
      <c r="W9" s="11" t="s">
        <v>63</v>
      </c>
      <c r="X9" s="11" t="s">
        <v>64</v>
      </c>
      <c r="Y9" s="15" t="s">
        <v>44</v>
      </c>
      <c r="Z9" s="11"/>
    </row>
    <row r="10" spans="1:26" x14ac:dyDescent="0.25">
      <c r="A10" s="16">
        <v>22522924</v>
      </c>
      <c r="B10" s="11">
        <v>45893</v>
      </c>
      <c r="C10" s="11">
        <v>46132</v>
      </c>
      <c r="D10" s="11">
        <v>46132</v>
      </c>
      <c r="E10" s="12" t="s">
        <v>37</v>
      </c>
      <c r="F10" s="13">
        <v>860000</v>
      </c>
      <c r="G10" s="14">
        <v>699999</v>
      </c>
      <c r="H10" s="13">
        <v>699999</v>
      </c>
      <c r="I10" s="29">
        <f t="shared" si="0"/>
        <v>229.58314201377502</v>
      </c>
      <c r="J10" s="11">
        <v>36239</v>
      </c>
      <c r="K10" s="11" t="s">
        <v>38</v>
      </c>
      <c r="L10" s="11" t="s">
        <v>65</v>
      </c>
      <c r="M10" s="15" t="s">
        <v>45</v>
      </c>
      <c r="N10" s="15">
        <v>85739</v>
      </c>
      <c r="O10" s="15">
        <v>32.550085000000003</v>
      </c>
      <c r="P10" s="15">
        <v>-110.85806700000001</v>
      </c>
      <c r="Q10" s="16">
        <v>3049</v>
      </c>
      <c r="R10" s="16">
        <v>2007</v>
      </c>
      <c r="S10" s="16">
        <v>2</v>
      </c>
      <c r="T10" s="17">
        <v>2.5</v>
      </c>
      <c r="U10" s="11" t="s">
        <v>41</v>
      </c>
      <c r="V10" s="16">
        <v>1</v>
      </c>
      <c r="W10" s="11" t="s">
        <v>66</v>
      </c>
      <c r="X10" s="11" t="s">
        <v>67</v>
      </c>
      <c r="Y10" s="15" t="s">
        <v>44</v>
      </c>
      <c r="Z10" s="11"/>
    </row>
    <row r="11" spans="1:26" x14ac:dyDescent="0.25">
      <c r="A11" s="16">
        <v>22603408</v>
      </c>
      <c r="B11" s="11">
        <v>46058</v>
      </c>
      <c r="C11" s="11">
        <v>46105</v>
      </c>
      <c r="D11" s="11">
        <v>46086</v>
      </c>
      <c r="E11" s="12" t="s">
        <v>37</v>
      </c>
      <c r="F11" s="13">
        <v>925000</v>
      </c>
      <c r="G11" s="14">
        <v>900000</v>
      </c>
      <c r="H11" s="13">
        <v>885000</v>
      </c>
      <c r="I11" s="29">
        <f t="shared" si="0"/>
        <v>343.28937160589606</v>
      </c>
      <c r="J11" s="11">
        <v>65165</v>
      </c>
      <c r="K11" s="11" t="s">
        <v>48</v>
      </c>
      <c r="L11" s="11" t="s">
        <v>68</v>
      </c>
      <c r="M11" s="15" t="s">
        <v>45</v>
      </c>
      <c r="N11" s="15">
        <v>85739</v>
      </c>
      <c r="O11" s="15">
        <v>32.552154000000002</v>
      </c>
      <c r="P11" s="15">
        <v>-110.86957700000001</v>
      </c>
      <c r="Q11" s="16">
        <v>2578</v>
      </c>
      <c r="R11" s="16">
        <v>2005</v>
      </c>
      <c r="S11" s="16">
        <v>2</v>
      </c>
      <c r="T11" s="17">
        <v>2.5</v>
      </c>
      <c r="U11" s="11" t="s">
        <v>41</v>
      </c>
      <c r="V11" s="16">
        <v>1</v>
      </c>
      <c r="W11" s="11" t="s">
        <v>69</v>
      </c>
      <c r="X11" s="11" t="s">
        <v>70</v>
      </c>
      <c r="Y11" s="15" t="s">
        <v>44</v>
      </c>
      <c r="Z11" s="11"/>
    </row>
    <row r="12" spans="1:26" x14ac:dyDescent="0.25">
      <c r="A12" s="16">
        <v>22512015</v>
      </c>
      <c r="B12" s="11">
        <v>45774</v>
      </c>
      <c r="C12" s="11">
        <v>46035</v>
      </c>
      <c r="D12" s="11">
        <v>46017</v>
      </c>
      <c r="E12" s="12" t="s">
        <v>37</v>
      </c>
      <c r="F12" s="13">
        <v>1765000</v>
      </c>
      <c r="G12" s="14">
        <v>1385000</v>
      </c>
      <c r="H12" s="13">
        <v>1250000</v>
      </c>
      <c r="I12" s="29">
        <f t="shared" si="0"/>
        <v>430.29259896729775</v>
      </c>
      <c r="J12" s="11">
        <v>35605</v>
      </c>
      <c r="K12" s="11" t="s">
        <v>38</v>
      </c>
      <c r="L12" s="11" t="s">
        <v>71</v>
      </c>
      <c r="M12" s="15" t="s">
        <v>40</v>
      </c>
      <c r="N12" s="15">
        <v>85739</v>
      </c>
      <c r="O12" s="15">
        <v>32.552745000000002</v>
      </c>
      <c r="P12" s="15">
        <v>-110.850101</v>
      </c>
      <c r="Q12" s="16">
        <v>2905</v>
      </c>
      <c r="R12" s="16">
        <v>2021</v>
      </c>
      <c r="S12" s="16">
        <v>3</v>
      </c>
      <c r="T12" s="17">
        <v>3.5</v>
      </c>
      <c r="U12" s="11" t="s">
        <v>41</v>
      </c>
      <c r="V12" s="16">
        <v>1</v>
      </c>
      <c r="W12" s="11" t="s">
        <v>72</v>
      </c>
      <c r="X12" s="11" t="s">
        <v>73</v>
      </c>
      <c r="Y12" s="15" t="s">
        <v>44</v>
      </c>
      <c r="Z12" s="11"/>
    </row>
    <row r="13" spans="1:26" x14ac:dyDescent="0.25">
      <c r="A13" s="16">
        <v>22607518</v>
      </c>
      <c r="B13" s="11">
        <v>46101</v>
      </c>
      <c r="C13" s="11">
        <v>46135</v>
      </c>
      <c r="D13" s="11">
        <v>46116</v>
      </c>
      <c r="E13" s="12" t="s">
        <v>37</v>
      </c>
      <c r="F13" s="13">
        <v>975000</v>
      </c>
      <c r="G13" s="14">
        <v>975000</v>
      </c>
      <c r="H13" s="13">
        <v>962500</v>
      </c>
      <c r="I13" s="29">
        <f t="shared" si="0"/>
        <v>349.61859789320744</v>
      </c>
      <c r="J13" s="11">
        <v>66492</v>
      </c>
      <c r="K13" s="11" t="s">
        <v>48</v>
      </c>
      <c r="L13" s="11" t="s">
        <v>74</v>
      </c>
      <c r="M13" s="15" t="s">
        <v>40</v>
      </c>
      <c r="N13" s="15">
        <v>85739</v>
      </c>
      <c r="O13" s="15">
        <v>32.554386000000001</v>
      </c>
      <c r="P13" s="15">
        <v>-110.85633900000001</v>
      </c>
      <c r="Q13" s="16">
        <v>2753</v>
      </c>
      <c r="R13" s="16">
        <v>2022</v>
      </c>
      <c r="S13" s="16">
        <v>2</v>
      </c>
      <c r="T13" s="17">
        <v>2.5</v>
      </c>
      <c r="U13" s="11" t="s">
        <v>41</v>
      </c>
      <c r="V13" s="16">
        <v>1</v>
      </c>
      <c r="W13" s="11" t="s">
        <v>75</v>
      </c>
      <c r="X13" s="11" t="s">
        <v>76</v>
      </c>
      <c r="Y13" s="15" t="s">
        <v>44</v>
      </c>
      <c r="Z13" s="11"/>
    </row>
    <row r="14" spans="1:26" x14ac:dyDescent="0.25">
      <c r="A14" s="16">
        <v>22525609</v>
      </c>
      <c r="B14" s="11">
        <v>45931</v>
      </c>
      <c r="C14" s="11">
        <v>46066</v>
      </c>
      <c r="D14" s="11">
        <v>46020</v>
      </c>
      <c r="E14" s="12" t="s">
        <v>37</v>
      </c>
      <c r="F14" s="13">
        <v>48300</v>
      </c>
      <c r="G14" s="14">
        <v>386400</v>
      </c>
      <c r="H14" s="13">
        <v>367080</v>
      </c>
      <c r="I14" s="29">
        <f t="shared" si="0"/>
        <v>176.14203454894434</v>
      </c>
      <c r="J14" s="11">
        <v>65739</v>
      </c>
      <c r="K14" s="11" t="s">
        <v>48</v>
      </c>
      <c r="L14" s="11" t="s">
        <v>77</v>
      </c>
      <c r="M14" s="15" t="s">
        <v>45</v>
      </c>
      <c r="N14" s="15">
        <v>85739</v>
      </c>
      <c r="O14" s="15">
        <v>32.537641999999998</v>
      </c>
      <c r="P14" s="15">
        <v>-110.864147</v>
      </c>
      <c r="Q14" s="16">
        <v>2084</v>
      </c>
      <c r="R14" s="16">
        <v>1996</v>
      </c>
      <c r="S14" s="16">
        <v>2</v>
      </c>
      <c r="T14" s="17">
        <v>2</v>
      </c>
      <c r="U14" s="11" t="s">
        <v>41</v>
      </c>
      <c r="V14" s="16">
        <v>1</v>
      </c>
      <c r="W14" s="11" t="s">
        <v>78</v>
      </c>
      <c r="X14" s="11" t="s">
        <v>79</v>
      </c>
      <c r="Y14" s="15" t="s">
        <v>40</v>
      </c>
      <c r="Z14" s="11"/>
    </row>
    <row r="15" spans="1:26" x14ac:dyDescent="0.25">
      <c r="A15" s="16">
        <v>22523350</v>
      </c>
      <c r="B15" s="11">
        <v>45906</v>
      </c>
      <c r="C15" s="11">
        <v>46043</v>
      </c>
      <c r="D15" s="11">
        <v>46038</v>
      </c>
      <c r="E15" s="12" t="s">
        <v>37</v>
      </c>
      <c r="F15" s="13">
        <v>599000</v>
      </c>
      <c r="G15" s="14">
        <v>579000</v>
      </c>
      <c r="H15" s="13">
        <v>565000</v>
      </c>
      <c r="I15" s="29">
        <f t="shared" si="0"/>
        <v>279.28818586258035</v>
      </c>
      <c r="J15" s="11">
        <v>35908</v>
      </c>
      <c r="K15" s="11" t="s">
        <v>38</v>
      </c>
      <c r="L15" s="11" t="s">
        <v>80</v>
      </c>
      <c r="M15" s="15" t="s">
        <v>45</v>
      </c>
      <c r="N15" s="15">
        <v>85739</v>
      </c>
      <c r="O15" s="15">
        <v>32.549889</v>
      </c>
      <c r="P15" s="15">
        <v>-110.863945</v>
      </c>
      <c r="Q15" s="16">
        <v>2023</v>
      </c>
      <c r="R15" s="16">
        <v>1998</v>
      </c>
      <c r="S15" s="16">
        <v>3</v>
      </c>
      <c r="T15" s="17">
        <v>2.5</v>
      </c>
      <c r="U15" s="11" t="s">
        <v>41</v>
      </c>
      <c r="V15" s="16">
        <v>1</v>
      </c>
      <c r="W15" s="11" t="s">
        <v>81</v>
      </c>
      <c r="X15" s="11" t="s">
        <v>82</v>
      </c>
      <c r="Y15" s="15" t="s">
        <v>40</v>
      </c>
      <c r="Z15" s="11"/>
    </row>
    <row r="16" spans="1:26" x14ac:dyDescent="0.25">
      <c r="A16" s="16">
        <v>22604740</v>
      </c>
      <c r="B16" s="11">
        <v>46073</v>
      </c>
      <c r="C16" s="11">
        <v>46170</v>
      </c>
      <c r="D16" s="11">
        <v>46157</v>
      </c>
      <c r="E16" s="12" t="s">
        <v>37</v>
      </c>
      <c r="F16" s="13">
        <v>525000</v>
      </c>
      <c r="G16" s="14">
        <v>479000</v>
      </c>
      <c r="H16" s="13">
        <v>457525</v>
      </c>
      <c r="I16" s="29">
        <f t="shared" si="0"/>
        <v>241.82082452431288</v>
      </c>
      <c r="J16" s="11">
        <v>61793</v>
      </c>
      <c r="K16" s="11" t="s">
        <v>48</v>
      </c>
      <c r="L16" s="11" t="s">
        <v>83</v>
      </c>
      <c r="M16" s="15" t="s">
        <v>45</v>
      </c>
      <c r="N16" s="15">
        <v>85739</v>
      </c>
      <c r="O16" s="15">
        <v>32.511932999999999</v>
      </c>
      <c r="P16" s="15">
        <v>-110.907302</v>
      </c>
      <c r="Q16" s="16">
        <v>1892</v>
      </c>
      <c r="R16" s="16">
        <v>2006</v>
      </c>
      <c r="S16" s="16">
        <v>3</v>
      </c>
      <c r="T16" s="17">
        <v>3</v>
      </c>
      <c r="U16" s="11" t="s">
        <v>41</v>
      </c>
      <c r="V16" s="16">
        <v>1</v>
      </c>
      <c r="W16" s="11" t="s">
        <v>84</v>
      </c>
      <c r="X16" s="11" t="s">
        <v>85</v>
      </c>
      <c r="Y16" s="15" t="s">
        <v>40</v>
      </c>
      <c r="Z16" s="11"/>
    </row>
    <row r="17" spans="1:26" x14ac:dyDescent="0.25">
      <c r="A17" s="16">
        <v>22602504</v>
      </c>
      <c r="B17" s="11">
        <v>46048</v>
      </c>
      <c r="C17" s="11">
        <v>46111</v>
      </c>
      <c r="D17" s="11">
        <v>46095</v>
      </c>
      <c r="E17" s="12" t="s">
        <v>37</v>
      </c>
      <c r="F17" s="13">
        <v>699000</v>
      </c>
      <c r="G17" s="14">
        <v>699000</v>
      </c>
      <c r="H17" s="13">
        <v>685000</v>
      </c>
      <c r="I17" s="29">
        <f t="shared" si="0"/>
        <v>300.30688294607626</v>
      </c>
      <c r="J17" s="11">
        <v>39952</v>
      </c>
      <c r="K17" s="11" t="s">
        <v>38</v>
      </c>
      <c r="L17" s="11" t="s">
        <v>86</v>
      </c>
      <c r="M17" s="15" t="s">
        <v>45</v>
      </c>
      <c r="N17" s="15">
        <v>85739</v>
      </c>
      <c r="O17" s="15">
        <v>32.513387999999999</v>
      </c>
      <c r="P17" s="15">
        <v>-110.905924</v>
      </c>
      <c r="Q17" s="16">
        <v>2281</v>
      </c>
      <c r="R17" s="16">
        <v>2006</v>
      </c>
      <c r="S17" s="16">
        <v>3</v>
      </c>
      <c r="T17" s="17">
        <v>3</v>
      </c>
      <c r="U17" s="11" t="s">
        <v>41</v>
      </c>
      <c r="V17" s="16">
        <v>1</v>
      </c>
      <c r="W17" s="11" t="s">
        <v>87</v>
      </c>
      <c r="X17" s="11" t="s">
        <v>88</v>
      </c>
      <c r="Y17" s="15" t="s">
        <v>40</v>
      </c>
      <c r="Z17" s="11"/>
    </row>
    <row r="18" spans="1:26" x14ac:dyDescent="0.25">
      <c r="A18" s="16">
        <v>22532232</v>
      </c>
      <c r="B18" s="11">
        <v>46013</v>
      </c>
      <c r="C18" s="11">
        <v>46142</v>
      </c>
      <c r="D18" s="11">
        <v>46112</v>
      </c>
      <c r="E18" s="12" t="s">
        <v>37</v>
      </c>
      <c r="F18" s="13">
        <v>435000</v>
      </c>
      <c r="G18" s="14">
        <v>400000</v>
      </c>
      <c r="H18" s="13">
        <v>378000</v>
      </c>
      <c r="I18" s="29">
        <f t="shared" si="0"/>
        <v>250.82946250829463</v>
      </c>
      <c r="J18" s="11">
        <v>62865</v>
      </c>
      <c r="K18" s="11" t="s">
        <v>48</v>
      </c>
      <c r="L18" s="11" t="s">
        <v>89</v>
      </c>
      <c r="M18" s="15" t="s">
        <v>40</v>
      </c>
      <c r="N18" s="15">
        <v>85739</v>
      </c>
      <c r="O18" s="15">
        <v>32.513539999999999</v>
      </c>
      <c r="P18" s="15">
        <v>-110.89599</v>
      </c>
      <c r="Q18" s="16">
        <v>1507</v>
      </c>
      <c r="R18" s="16">
        <v>2009</v>
      </c>
      <c r="S18" s="16">
        <v>2</v>
      </c>
      <c r="T18" s="17">
        <v>2</v>
      </c>
      <c r="U18" s="11" t="s">
        <v>41</v>
      </c>
      <c r="V18" s="16">
        <v>1</v>
      </c>
      <c r="W18" s="11" t="s">
        <v>90</v>
      </c>
      <c r="X18" s="11" t="s">
        <v>91</v>
      </c>
      <c r="Y18" s="15" t="s">
        <v>40</v>
      </c>
      <c r="Z18" s="11"/>
    </row>
    <row r="19" spans="1:26" x14ac:dyDescent="0.25">
      <c r="A19" s="16">
        <v>22532587</v>
      </c>
      <c r="B19" s="11">
        <v>46022</v>
      </c>
      <c r="C19" s="11">
        <v>46092</v>
      </c>
      <c r="D19" s="11">
        <v>46086</v>
      </c>
      <c r="E19" s="12" t="s">
        <v>37</v>
      </c>
      <c r="F19" s="13">
        <v>472000</v>
      </c>
      <c r="G19" s="14">
        <v>472000</v>
      </c>
      <c r="H19" s="13">
        <v>462000</v>
      </c>
      <c r="I19" s="29">
        <f t="shared" si="0"/>
        <v>233.80566801619435</v>
      </c>
      <c r="J19" s="11">
        <v>61703</v>
      </c>
      <c r="K19" s="11" t="s">
        <v>48</v>
      </c>
      <c r="L19" s="11" t="s">
        <v>92</v>
      </c>
      <c r="M19" s="15" t="s">
        <v>45</v>
      </c>
      <c r="N19" s="15">
        <v>85739</v>
      </c>
      <c r="O19" s="15">
        <v>32.513635999999998</v>
      </c>
      <c r="P19" s="15">
        <v>-110.908422</v>
      </c>
      <c r="Q19" s="16">
        <v>1976</v>
      </c>
      <c r="R19" s="16">
        <v>2006</v>
      </c>
      <c r="S19" s="16">
        <v>3</v>
      </c>
      <c r="T19" s="17">
        <v>2</v>
      </c>
      <c r="U19" s="11" t="s">
        <v>41</v>
      </c>
      <c r="V19" s="16">
        <v>1</v>
      </c>
      <c r="W19" s="11" t="s">
        <v>93</v>
      </c>
      <c r="X19" s="11" t="s">
        <v>94</v>
      </c>
      <c r="Y19" s="15" t="s">
        <v>40</v>
      </c>
      <c r="Z19" s="11"/>
    </row>
    <row r="20" spans="1:26" x14ac:dyDescent="0.25">
      <c r="A20" s="16">
        <v>22528954</v>
      </c>
      <c r="B20" s="11">
        <v>45967</v>
      </c>
      <c r="C20" s="11">
        <v>46027</v>
      </c>
      <c r="D20" s="11">
        <v>46026</v>
      </c>
      <c r="E20" s="12" t="s">
        <v>37</v>
      </c>
      <c r="F20" s="13">
        <v>599900</v>
      </c>
      <c r="G20" s="14">
        <v>599900</v>
      </c>
      <c r="H20" s="13">
        <v>605000</v>
      </c>
      <c r="I20" s="29">
        <f t="shared" si="0"/>
        <v>245.13776337115073</v>
      </c>
      <c r="J20" s="11">
        <v>39913</v>
      </c>
      <c r="K20" s="11" t="s">
        <v>38</v>
      </c>
      <c r="L20" s="11" t="s">
        <v>95</v>
      </c>
      <c r="M20" s="15" t="s">
        <v>40</v>
      </c>
      <c r="N20" s="15">
        <v>85739</v>
      </c>
      <c r="O20" s="15">
        <v>32.513683</v>
      </c>
      <c r="P20" s="15">
        <v>-110.90096800000001</v>
      </c>
      <c r="Q20" s="16">
        <v>2468</v>
      </c>
      <c r="R20" s="16">
        <v>2007</v>
      </c>
      <c r="S20" s="16">
        <v>3</v>
      </c>
      <c r="T20" s="17">
        <v>3</v>
      </c>
      <c r="U20" s="11" t="s">
        <v>41</v>
      </c>
      <c r="V20" s="16">
        <v>1</v>
      </c>
      <c r="W20" s="11" t="s">
        <v>96</v>
      </c>
      <c r="X20" s="11" t="s">
        <v>97</v>
      </c>
      <c r="Y20" s="15" t="s">
        <v>40</v>
      </c>
      <c r="Z20" s="11"/>
    </row>
    <row r="21" spans="1:26" x14ac:dyDescent="0.25">
      <c r="A21" s="16">
        <v>22529898</v>
      </c>
      <c r="B21" s="11">
        <v>45979</v>
      </c>
      <c r="C21" s="11">
        <v>46045</v>
      </c>
      <c r="D21" s="11">
        <v>46029</v>
      </c>
      <c r="E21" s="12" t="s">
        <v>37</v>
      </c>
      <c r="F21" s="13">
        <v>395000</v>
      </c>
      <c r="G21" s="14">
        <v>395000</v>
      </c>
      <c r="H21" s="13">
        <v>380000</v>
      </c>
      <c r="I21" s="29">
        <f t="shared" si="0"/>
        <v>257.10419485791613</v>
      </c>
      <c r="J21" s="11">
        <v>39939</v>
      </c>
      <c r="K21" s="11" t="s">
        <v>38</v>
      </c>
      <c r="L21" s="11" t="s">
        <v>98</v>
      </c>
      <c r="M21" s="15" t="s">
        <v>40</v>
      </c>
      <c r="N21" s="15">
        <v>85739</v>
      </c>
      <c r="O21" s="15">
        <v>32.513719000000002</v>
      </c>
      <c r="P21" s="15">
        <v>-110.904152</v>
      </c>
      <c r="Q21" s="16">
        <v>1478</v>
      </c>
      <c r="R21" s="16">
        <v>2009</v>
      </c>
      <c r="S21" s="16">
        <v>2</v>
      </c>
      <c r="T21" s="17">
        <v>2</v>
      </c>
      <c r="U21" s="11" t="s">
        <v>41</v>
      </c>
      <c r="V21" s="16">
        <v>1</v>
      </c>
      <c r="W21" s="11" t="s">
        <v>99</v>
      </c>
      <c r="X21" s="11" t="s">
        <v>100</v>
      </c>
      <c r="Y21" s="15" t="s">
        <v>40</v>
      </c>
      <c r="Z21" s="11"/>
    </row>
    <row r="22" spans="1:26" x14ac:dyDescent="0.25">
      <c r="A22" s="16">
        <v>22600088</v>
      </c>
      <c r="B22" s="11">
        <v>46024</v>
      </c>
      <c r="C22" s="11">
        <v>46163</v>
      </c>
      <c r="D22" s="11">
        <v>46138</v>
      </c>
      <c r="E22" s="12" t="s">
        <v>37</v>
      </c>
      <c r="F22" s="13">
        <v>579000</v>
      </c>
      <c r="G22" s="14">
        <v>525000</v>
      </c>
      <c r="H22" s="13">
        <v>525000</v>
      </c>
      <c r="I22" s="29">
        <f t="shared" si="0"/>
        <v>274.58158995815899</v>
      </c>
      <c r="J22" s="11">
        <v>39936</v>
      </c>
      <c r="K22" s="11" t="s">
        <v>38</v>
      </c>
      <c r="L22" s="11" t="s">
        <v>98</v>
      </c>
      <c r="M22" s="15" t="s">
        <v>40</v>
      </c>
      <c r="N22" s="15">
        <v>85739</v>
      </c>
      <c r="O22" s="15">
        <v>32.513781999999999</v>
      </c>
      <c r="P22" s="15">
        <v>-110.90488000000001</v>
      </c>
      <c r="Q22" s="16">
        <v>1912</v>
      </c>
      <c r="R22" s="16">
        <v>2007</v>
      </c>
      <c r="S22" s="16">
        <v>3</v>
      </c>
      <c r="T22" s="17">
        <v>3</v>
      </c>
      <c r="U22" s="11" t="s">
        <v>41</v>
      </c>
      <c r="V22" s="16">
        <v>1</v>
      </c>
      <c r="W22" s="11" t="s">
        <v>101</v>
      </c>
      <c r="X22" s="11" t="s">
        <v>102</v>
      </c>
      <c r="Y22" s="15" t="s">
        <v>40</v>
      </c>
      <c r="Z22" s="11"/>
    </row>
    <row r="23" spans="1:26" x14ac:dyDescent="0.25">
      <c r="A23" s="16">
        <v>22607942</v>
      </c>
      <c r="B23" s="11">
        <v>46107</v>
      </c>
      <c r="C23" s="11">
        <v>46141</v>
      </c>
      <c r="D23" s="11">
        <v>46134</v>
      </c>
      <c r="E23" s="12" t="s">
        <v>37</v>
      </c>
      <c r="F23" s="13">
        <v>425000</v>
      </c>
      <c r="G23" s="14">
        <v>425000</v>
      </c>
      <c r="H23" s="13">
        <v>411000</v>
      </c>
      <c r="I23" s="29">
        <f t="shared" si="0"/>
        <v>179.00696864111498</v>
      </c>
      <c r="J23" s="11">
        <v>61802</v>
      </c>
      <c r="K23" s="11" t="s">
        <v>48</v>
      </c>
      <c r="L23" s="11" t="s">
        <v>92</v>
      </c>
      <c r="M23" s="15" t="s">
        <v>45</v>
      </c>
      <c r="N23" s="15">
        <v>85739</v>
      </c>
      <c r="O23" s="15">
        <v>32.514119999999998</v>
      </c>
      <c r="P23" s="15">
        <v>-110.907156</v>
      </c>
      <c r="Q23" s="16">
        <v>2296</v>
      </c>
      <c r="R23" s="16">
        <v>2006</v>
      </c>
      <c r="S23" s="16">
        <v>2</v>
      </c>
      <c r="T23" s="17">
        <v>2</v>
      </c>
      <c r="U23" s="11" t="s">
        <v>41</v>
      </c>
      <c r="V23" s="16">
        <v>1</v>
      </c>
      <c r="W23" s="11" t="s">
        <v>103</v>
      </c>
      <c r="X23" s="11" t="s">
        <v>104</v>
      </c>
      <c r="Y23" s="15" t="s">
        <v>40</v>
      </c>
      <c r="Z23" s="11"/>
    </row>
    <row r="24" spans="1:26" x14ac:dyDescent="0.25">
      <c r="A24" s="22">
        <v>22603943</v>
      </c>
      <c r="B24" s="18">
        <v>46064</v>
      </c>
      <c r="C24" s="18">
        <v>46115</v>
      </c>
      <c r="D24" s="18">
        <v>46106</v>
      </c>
      <c r="E24" s="19" t="s">
        <v>37</v>
      </c>
      <c r="F24" s="20">
        <v>529000</v>
      </c>
      <c r="G24" s="14">
        <v>529000</v>
      </c>
      <c r="H24" s="20">
        <v>529000</v>
      </c>
      <c r="I24" s="29">
        <f t="shared" si="0"/>
        <v>214.34359805510536</v>
      </c>
      <c r="J24" s="18">
        <v>39911</v>
      </c>
      <c r="K24" s="18" t="s">
        <v>38</v>
      </c>
      <c r="L24" s="18" t="s">
        <v>92</v>
      </c>
      <c r="M24" s="21" t="s">
        <v>45</v>
      </c>
      <c r="N24" s="21">
        <v>85739</v>
      </c>
      <c r="O24" s="21">
        <v>32.514128999999997</v>
      </c>
      <c r="P24" s="21">
        <v>-110.896951</v>
      </c>
      <c r="Q24" s="22">
        <v>2468</v>
      </c>
      <c r="R24" s="19">
        <v>2008</v>
      </c>
      <c r="S24" s="22">
        <v>3</v>
      </c>
      <c r="T24" s="23">
        <v>3.5</v>
      </c>
      <c r="U24" s="18" t="s">
        <v>41</v>
      </c>
      <c r="V24" s="22">
        <v>1</v>
      </c>
      <c r="W24" s="18" t="s">
        <v>105</v>
      </c>
      <c r="X24" s="18" t="s">
        <v>106</v>
      </c>
      <c r="Y24" s="21" t="s">
        <v>40</v>
      </c>
      <c r="Z24" s="18"/>
    </row>
    <row r="25" spans="1:26" x14ac:dyDescent="0.25">
      <c r="A25" s="16">
        <v>22603514</v>
      </c>
      <c r="B25" s="11">
        <v>46059</v>
      </c>
      <c r="C25" s="11">
        <v>46113</v>
      </c>
      <c r="D25" s="11">
        <v>46104</v>
      </c>
      <c r="E25" s="12" t="s">
        <v>37</v>
      </c>
      <c r="F25" s="13">
        <v>549000</v>
      </c>
      <c r="G25" s="14">
        <v>549000</v>
      </c>
      <c r="H25" s="13">
        <v>527225</v>
      </c>
      <c r="I25" s="29">
        <f t="shared" si="0"/>
        <v>269.26710929519919</v>
      </c>
      <c r="J25" s="11">
        <v>39789</v>
      </c>
      <c r="K25" s="11" t="s">
        <v>38</v>
      </c>
      <c r="L25" s="11" t="s">
        <v>107</v>
      </c>
      <c r="M25" s="15" t="s">
        <v>45</v>
      </c>
      <c r="N25" s="15">
        <v>85739</v>
      </c>
      <c r="O25" s="15">
        <v>32.514839000000002</v>
      </c>
      <c r="P25" s="15">
        <v>-110.908906</v>
      </c>
      <c r="Q25" s="16">
        <v>1958</v>
      </c>
      <c r="R25" s="16">
        <v>2006</v>
      </c>
      <c r="S25" s="16">
        <v>2</v>
      </c>
      <c r="T25" s="17">
        <v>2</v>
      </c>
      <c r="U25" s="11" t="s">
        <v>41</v>
      </c>
      <c r="V25" s="16">
        <v>1</v>
      </c>
      <c r="W25" s="11" t="s">
        <v>108</v>
      </c>
      <c r="X25" s="11" t="s">
        <v>109</v>
      </c>
      <c r="Y25" s="15" t="s">
        <v>40</v>
      </c>
      <c r="Z25" s="11"/>
    </row>
    <row r="26" spans="1:26" x14ac:dyDescent="0.25">
      <c r="A26" s="16">
        <v>22531597</v>
      </c>
      <c r="B26" s="11">
        <v>46003</v>
      </c>
      <c r="C26" s="11">
        <v>46113</v>
      </c>
      <c r="D26" s="11">
        <v>46084</v>
      </c>
      <c r="E26" s="12" t="s">
        <v>37</v>
      </c>
      <c r="F26" s="13">
        <v>529000</v>
      </c>
      <c r="G26" s="14">
        <v>499000</v>
      </c>
      <c r="H26" s="13">
        <v>489000</v>
      </c>
      <c r="I26" s="29">
        <f t="shared" si="0"/>
        <v>233.6359292881032</v>
      </c>
      <c r="J26" s="11">
        <v>62733</v>
      </c>
      <c r="K26" s="11" t="s">
        <v>48</v>
      </c>
      <c r="L26" s="11" t="s">
        <v>110</v>
      </c>
      <c r="M26" s="15" t="s">
        <v>40</v>
      </c>
      <c r="N26" s="15">
        <v>85739</v>
      </c>
      <c r="O26" s="15">
        <v>32.515172</v>
      </c>
      <c r="P26" s="15">
        <v>-110.89723499999999</v>
      </c>
      <c r="Q26" s="16">
        <v>2093</v>
      </c>
      <c r="R26" s="16">
        <v>2009</v>
      </c>
      <c r="S26" s="16">
        <v>2</v>
      </c>
      <c r="T26" s="17">
        <v>2.5</v>
      </c>
      <c r="U26" s="11" t="s">
        <v>41</v>
      </c>
      <c r="V26" s="16">
        <v>1</v>
      </c>
      <c r="W26" s="11" t="s">
        <v>111</v>
      </c>
      <c r="X26" s="11" t="s">
        <v>112</v>
      </c>
      <c r="Y26" s="15" t="s">
        <v>40</v>
      </c>
      <c r="Z26" s="11"/>
    </row>
    <row r="27" spans="1:26" x14ac:dyDescent="0.25">
      <c r="A27" s="16">
        <v>22607569</v>
      </c>
      <c r="B27" s="11">
        <v>46102</v>
      </c>
      <c r="C27" s="11">
        <v>46136</v>
      </c>
      <c r="D27" s="11">
        <v>46125</v>
      </c>
      <c r="E27" s="12" t="s">
        <v>37</v>
      </c>
      <c r="F27" s="13">
        <v>675000</v>
      </c>
      <c r="G27" s="14">
        <v>675000</v>
      </c>
      <c r="H27" s="13">
        <v>670000</v>
      </c>
      <c r="I27" s="29">
        <f t="shared" si="0"/>
        <v>307.62167125803489</v>
      </c>
      <c r="J27" s="11">
        <v>62857</v>
      </c>
      <c r="K27" s="11" t="s">
        <v>48</v>
      </c>
      <c r="L27" s="11" t="s">
        <v>110</v>
      </c>
      <c r="M27" s="15" t="s">
        <v>45</v>
      </c>
      <c r="N27" s="15">
        <v>85739</v>
      </c>
      <c r="O27" s="15">
        <v>32.515473</v>
      </c>
      <c r="P27" s="15">
        <v>-110.895929</v>
      </c>
      <c r="Q27" s="16">
        <v>2178</v>
      </c>
      <c r="R27" s="16">
        <v>2007</v>
      </c>
      <c r="S27" s="16">
        <v>3</v>
      </c>
      <c r="T27" s="17">
        <v>3.5</v>
      </c>
      <c r="U27" s="11" t="s">
        <v>41</v>
      </c>
      <c r="V27" s="16">
        <v>1</v>
      </c>
      <c r="W27" s="11" t="s">
        <v>113</v>
      </c>
      <c r="X27" s="11" t="s">
        <v>114</v>
      </c>
      <c r="Y27" s="15" t="s">
        <v>40</v>
      </c>
      <c r="Z27" s="11"/>
    </row>
    <row r="28" spans="1:26" x14ac:dyDescent="0.25">
      <c r="A28" s="16">
        <v>22601958</v>
      </c>
      <c r="B28" s="11">
        <v>46043</v>
      </c>
      <c r="C28" s="11">
        <v>46171</v>
      </c>
      <c r="D28" s="11">
        <v>46141</v>
      </c>
      <c r="E28" s="12" t="s">
        <v>37</v>
      </c>
      <c r="F28" s="13">
        <v>429000</v>
      </c>
      <c r="G28" s="14">
        <v>429000</v>
      </c>
      <c r="H28" s="13">
        <v>413852.5</v>
      </c>
      <c r="I28" s="29">
        <f t="shared" si="0"/>
        <v>280.00845737483087</v>
      </c>
      <c r="J28" s="11">
        <v>39728</v>
      </c>
      <c r="K28" s="11" t="s">
        <v>38</v>
      </c>
      <c r="L28" s="11" t="s">
        <v>98</v>
      </c>
      <c r="M28" s="15" t="s">
        <v>40</v>
      </c>
      <c r="N28" s="15">
        <v>85739</v>
      </c>
      <c r="O28" s="15">
        <v>32.515675999999999</v>
      </c>
      <c r="P28" s="15">
        <v>-110.904799</v>
      </c>
      <c r="Q28" s="16">
        <v>1478</v>
      </c>
      <c r="R28" s="16">
        <v>2008</v>
      </c>
      <c r="S28" s="16">
        <v>2</v>
      </c>
      <c r="T28" s="17">
        <v>2</v>
      </c>
      <c r="U28" s="11" t="s">
        <v>41</v>
      </c>
      <c r="V28" s="16">
        <v>1</v>
      </c>
      <c r="W28" s="11" t="s">
        <v>115</v>
      </c>
      <c r="X28" s="11" t="s">
        <v>116</v>
      </c>
      <c r="Y28" s="15" t="s">
        <v>40</v>
      </c>
      <c r="Z28" s="11"/>
    </row>
    <row r="29" spans="1:26" x14ac:dyDescent="0.25">
      <c r="A29" s="16">
        <v>22608617</v>
      </c>
      <c r="B29" s="11">
        <v>46107</v>
      </c>
      <c r="C29" s="11">
        <v>46168</v>
      </c>
      <c r="D29" s="11">
        <v>46164</v>
      </c>
      <c r="E29" s="12" t="s">
        <v>37</v>
      </c>
      <c r="F29" s="13">
        <v>575000</v>
      </c>
      <c r="G29" s="14">
        <v>575000</v>
      </c>
      <c r="H29" s="13">
        <v>575000</v>
      </c>
      <c r="I29" s="29">
        <f t="shared" si="0"/>
        <v>274.72527472527474</v>
      </c>
      <c r="J29" s="11">
        <v>39758</v>
      </c>
      <c r="K29" s="11" t="s">
        <v>38</v>
      </c>
      <c r="L29" s="11" t="s">
        <v>117</v>
      </c>
      <c r="M29" s="15" t="s">
        <v>45</v>
      </c>
      <c r="N29" s="15">
        <v>85739</v>
      </c>
      <c r="O29" s="15">
        <v>32.515723000000001</v>
      </c>
      <c r="P29" s="15">
        <v>-110.900899</v>
      </c>
      <c r="Q29" s="16">
        <v>2093</v>
      </c>
      <c r="R29" s="16">
        <v>2010</v>
      </c>
      <c r="S29" s="16">
        <v>3</v>
      </c>
      <c r="T29" s="17">
        <v>3.5</v>
      </c>
      <c r="U29" s="11" t="s">
        <v>41</v>
      </c>
      <c r="V29" s="16">
        <v>1</v>
      </c>
      <c r="W29" s="11" t="s">
        <v>118</v>
      </c>
      <c r="X29" s="11" t="s">
        <v>119</v>
      </c>
      <c r="Y29" s="15" t="s">
        <v>40</v>
      </c>
      <c r="Z29" s="11"/>
    </row>
    <row r="30" spans="1:26" x14ac:dyDescent="0.25">
      <c r="A30" s="16">
        <v>22532420</v>
      </c>
      <c r="B30" s="11">
        <v>46022</v>
      </c>
      <c r="C30" s="11">
        <v>46122</v>
      </c>
      <c r="D30" s="11">
        <v>46097</v>
      </c>
      <c r="E30" s="12" t="s">
        <v>37</v>
      </c>
      <c r="F30" s="13">
        <v>625000</v>
      </c>
      <c r="G30" s="14">
        <v>599900</v>
      </c>
      <c r="H30" s="13">
        <v>587500</v>
      </c>
      <c r="I30" s="29">
        <f t="shared" si="0"/>
        <v>266.31912964641884</v>
      </c>
      <c r="J30" s="11">
        <v>62802</v>
      </c>
      <c r="K30" s="11" t="s">
        <v>48</v>
      </c>
      <c r="L30" s="11" t="s">
        <v>110</v>
      </c>
      <c r="M30" s="15" t="s">
        <v>45</v>
      </c>
      <c r="N30" s="15">
        <v>85739</v>
      </c>
      <c r="O30" s="15">
        <v>32.515827000000002</v>
      </c>
      <c r="P30" s="15">
        <v>-110.89666800000001</v>
      </c>
      <c r="Q30" s="16">
        <v>2206</v>
      </c>
      <c r="R30" s="16">
        <v>2014</v>
      </c>
      <c r="S30" s="16">
        <v>2</v>
      </c>
      <c r="T30" s="17">
        <v>2.5</v>
      </c>
      <c r="U30" s="11" t="s">
        <v>41</v>
      </c>
      <c r="V30" s="16">
        <v>1</v>
      </c>
      <c r="W30" s="11" t="s">
        <v>120</v>
      </c>
      <c r="X30" s="11" t="s">
        <v>121</v>
      </c>
      <c r="Y30" s="15" t="s">
        <v>40</v>
      </c>
      <c r="Z30" s="11"/>
    </row>
    <row r="31" spans="1:26" x14ac:dyDescent="0.25">
      <c r="A31" s="16">
        <v>22602838</v>
      </c>
      <c r="B31" s="11">
        <v>46052</v>
      </c>
      <c r="C31" s="11">
        <v>46113</v>
      </c>
      <c r="D31" s="11">
        <v>46091</v>
      </c>
      <c r="E31" s="12" t="s">
        <v>37</v>
      </c>
      <c r="F31" s="13">
        <v>477000</v>
      </c>
      <c r="G31" s="14">
        <v>469000</v>
      </c>
      <c r="H31" s="13">
        <v>460000</v>
      </c>
      <c r="I31" s="29">
        <f t="shared" si="0"/>
        <v>252.88620120945575</v>
      </c>
      <c r="J31" s="11">
        <v>62912</v>
      </c>
      <c r="K31" s="11" t="s">
        <v>48</v>
      </c>
      <c r="L31" s="11" t="s">
        <v>110</v>
      </c>
      <c r="M31" s="15" t="s">
        <v>45</v>
      </c>
      <c r="N31" s="15">
        <v>85739</v>
      </c>
      <c r="O31" s="15">
        <v>32.516095</v>
      </c>
      <c r="P31" s="15">
        <v>-110.895574</v>
      </c>
      <c r="Q31" s="16">
        <v>1819</v>
      </c>
      <c r="R31" s="16">
        <v>2011</v>
      </c>
      <c r="S31" s="16">
        <v>2</v>
      </c>
      <c r="T31" s="17">
        <v>2.5</v>
      </c>
      <c r="U31" s="11" t="s">
        <v>41</v>
      </c>
      <c r="V31" s="16">
        <v>1</v>
      </c>
      <c r="W31" s="11" t="s">
        <v>122</v>
      </c>
      <c r="X31" s="11" t="s">
        <v>123</v>
      </c>
      <c r="Y31" s="15" t="s">
        <v>40</v>
      </c>
      <c r="Z31" s="11"/>
    </row>
    <row r="32" spans="1:26" x14ac:dyDescent="0.25">
      <c r="A32" s="22">
        <v>22603134</v>
      </c>
      <c r="B32" s="18">
        <v>46056</v>
      </c>
      <c r="C32" s="18">
        <v>46107</v>
      </c>
      <c r="D32" s="18">
        <v>46095</v>
      </c>
      <c r="E32" s="19" t="s">
        <v>37</v>
      </c>
      <c r="F32" s="20">
        <v>649000</v>
      </c>
      <c r="G32" s="14">
        <v>649000</v>
      </c>
      <c r="H32" s="20">
        <v>625500</v>
      </c>
      <c r="I32" s="29">
        <f t="shared" si="0"/>
        <v>233.91922213911744</v>
      </c>
      <c r="J32" s="18">
        <v>61817</v>
      </c>
      <c r="K32" s="18" t="s">
        <v>48</v>
      </c>
      <c r="L32" s="18" t="s">
        <v>124</v>
      </c>
      <c r="M32" s="21" t="s">
        <v>45</v>
      </c>
      <c r="N32" s="21">
        <v>85739</v>
      </c>
      <c r="O32" s="21">
        <v>32.516247</v>
      </c>
      <c r="P32" s="21">
        <v>-110.906999</v>
      </c>
      <c r="Q32" s="22">
        <v>2674</v>
      </c>
      <c r="R32" s="19">
        <v>2006</v>
      </c>
      <c r="S32" s="22">
        <v>3</v>
      </c>
      <c r="T32" s="23">
        <v>3</v>
      </c>
      <c r="U32" s="18" t="s">
        <v>41</v>
      </c>
      <c r="V32" s="22">
        <v>1</v>
      </c>
      <c r="W32" s="18" t="s">
        <v>125</v>
      </c>
      <c r="X32" s="18" t="s">
        <v>126</v>
      </c>
      <c r="Y32" s="21" t="s">
        <v>40</v>
      </c>
      <c r="Z32" s="18"/>
    </row>
    <row r="33" spans="1:26" x14ac:dyDescent="0.25">
      <c r="A33" s="16">
        <v>22608673</v>
      </c>
      <c r="B33" s="11">
        <v>46114</v>
      </c>
      <c r="C33" s="11">
        <v>46134</v>
      </c>
      <c r="D33" s="11">
        <v>46127</v>
      </c>
      <c r="E33" s="12" t="s">
        <v>37</v>
      </c>
      <c r="F33" s="13">
        <v>410000</v>
      </c>
      <c r="G33" s="14">
        <v>410000</v>
      </c>
      <c r="H33" s="13">
        <v>410000</v>
      </c>
      <c r="I33" s="29">
        <f t="shared" si="0"/>
        <v>218.5501066098081</v>
      </c>
      <c r="J33" s="11">
        <v>61749</v>
      </c>
      <c r="K33" s="11" t="s">
        <v>48</v>
      </c>
      <c r="L33" s="11" t="s">
        <v>124</v>
      </c>
      <c r="M33" s="15" t="s">
        <v>45</v>
      </c>
      <c r="N33" s="15">
        <v>85739</v>
      </c>
      <c r="O33" s="15">
        <v>32.516387999999999</v>
      </c>
      <c r="P33" s="15">
        <v>-110.90771100000001</v>
      </c>
      <c r="Q33" s="16">
        <v>1876</v>
      </c>
      <c r="R33" s="16">
        <v>2006</v>
      </c>
      <c r="S33" s="16">
        <v>3</v>
      </c>
      <c r="T33" s="17">
        <v>3</v>
      </c>
      <c r="U33" s="11" t="s">
        <v>41</v>
      </c>
      <c r="V33" s="16">
        <v>1</v>
      </c>
      <c r="W33" s="11" t="s">
        <v>127</v>
      </c>
      <c r="X33" s="11" t="s">
        <v>128</v>
      </c>
      <c r="Y33" s="15" t="s">
        <v>40</v>
      </c>
      <c r="Z33" s="11"/>
    </row>
    <row r="34" spans="1:26" x14ac:dyDescent="0.25">
      <c r="A34" s="16">
        <v>22529483</v>
      </c>
      <c r="B34" s="11">
        <v>45974</v>
      </c>
      <c r="C34" s="11">
        <v>46078</v>
      </c>
      <c r="D34" s="11">
        <v>46078</v>
      </c>
      <c r="E34" s="12" t="s">
        <v>37</v>
      </c>
      <c r="F34" s="13">
        <v>500000</v>
      </c>
      <c r="G34" s="14">
        <v>489900</v>
      </c>
      <c r="H34" s="13">
        <v>480000</v>
      </c>
      <c r="I34" s="29">
        <f t="shared" si="0"/>
        <v>289.50542822677926</v>
      </c>
      <c r="J34" s="11">
        <v>62870</v>
      </c>
      <c r="K34" s="11" t="s">
        <v>48</v>
      </c>
      <c r="L34" s="11" t="s">
        <v>129</v>
      </c>
      <c r="M34" s="15" t="s">
        <v>40</v>
      </c>
      <c r="N34" s="15">
        <v>85739</v>
      </c>
      <c r="O34" s="15">
        <v>32.516786000000003</v>
      </c>
      <c r="P34" s="15">
        <v>-110.89596</v>
      </c>
      <c r="Q34" s="16">
        <v>1658</v>
      </c>
      <c r="R34" s="16">
        <v>2019</v>
      </c>
      <c r="S34" s="16">
        <v>2</v>
      </c>
      <c r="T34" s="17">
        <v>2</v>
      </c>
      <c r="U34" s="11" t="s">
        <v>41</v>
      </c>
      <c r="V34" s="16">
        <v>1</v>
      </c>
      <c r="W34" s="11" t="s">
        <v>130</v>
      </c>
      <c r="X34" s="11" t="s">
        <v>131</v>
      </c>
      <c r="Y34" s="15" t="s">
        <v>40</v>
      </c>
      <c r="Z34" s="11"/>
    </row>
    <row r="35" spans="1:26" x14ac:dyDescent="0.25">
      <c r="A35" s="16">
        <v>22524567</v>
      </c>
      <c r="B35" s="11">
        <v>45922</v>
      </c>
      <c r="C35" s="11">
        <v>45999</v>
      </c>
      <c r="D35" s="11">
        <v>45939</v>
      </c>
      <c r="E35" s="12" t="s">
        <v>37</v>
      </c>
      <c r="F35" s="13">
        <v>559000</v>
      </c>
      <c r="G35" s="14">
        <v>559000</v>
      </c>
      <c r="H35" s="13">
        <v>550000</v>
      </c>
      <c r="I35" s="29">
        <f t="shared" si="0"/>
        <v>309.68468468468467</v>
      </c>
      <c r="J35" s="11">
        <v>39549</v>
      </c>
      <c r="K35" s="11" t="s">
        <v>38</v>
      </c>
      <c r="L35" s="11" t="s">
        <v>132</v>
      </c>
      <c r="M35" s="15" t="s">
        <v>45</v>
      </c>
      <c r="N35" s="15">
        <v>85739</v>
      </c>
      <c r="O35" s="15">
        <v>32.517124000000003</v>
      </c>
      <c r="P35" s="15">
        <v>-110.894749</v>
      </c>
      <c r="Q35" s="16">
        <v>1776</v>
      </c>
      <c r="R35" s="16">
        <v>2019</v>
      </c>
      <c r="S35" s="16">
        <v>2</v>
      </c>
      <c r="T35" s="17">
        <v>2</v>
      </c>
      <c r="U35" s="11" t="s">
        <v>41</v>
      </c>
      <c r="V35" s="16">
        <v>1</v>
      </c>
      <c r="W35" s="11" t="s">
        <v>133</v>
      </c>
      <c r="X35" s="11" t="s">
        <v>134</v>
      </c>
      <c r="Y35" s="15" t="s">
        <v>40</v>
      </c>
      <c r="Z35" s="11"/>
    </row>
    <row r="36" spans="1:26" x14ac:dyDescent="0.25">
      <c r="A36" s="16">
        <v>22600136</v>
      </c>
      <c r="B36" s="11">
        <v>46024</v>
      </c>
      <c r="C36" s="11">
        <v>46141</v>
      </c>
      <c r="D36" s="11">
        <v>46125</v>
      </c>
      <c r="E36" s="12" t="s">
        <v>37</v>
      </c>
      <c r="F36" s="13">
        <v>440000</v>
      </c>
      <c r="G36" s="14">
        <v>420000</v>
      </c>
      <c r="H36" s="13">
        <v>398805</v>
      </c>
      <c r="I36" s="29">
        <f t="shared" si="0"/>
        <v>167.77660917122424</v>
      </c>
      <c r="J36" s="11">
        <v>39544</v>
      </c>
      <c r="K36" s="11" t="s">
        <v>38</v>
      </c>
      <c r="L36" s="11" t="s">
        <v>107</v>
      </c>
      <c r="M36" s="15" t="s">
        <v>45</v>
      </c>
      <c r="N36" s="15">
        <v>85739</v>
      </c>
      <c r="O36" s="15">
        <v>32.517322999999998</v>
      </c>
      <c r="P36" s="15">
        <v>-110.908147</v>
      </c>
      <c r="Q36" s="16">
        <v>2377</v>
      </c>
      <c r="R36" s="16">
        <v>2006</v>
      </c>
      <c r="S36" s="16">
        <v>3</v>
      </c>
      <c r="T36" s="17">
        <v>2</v>
      </c>
      <c r="U36" s="11" t="s">
        <v>41</v>
      </c>
      <c r="V36" s="16">
        <v>1</v>
      </c>
      <c r="W36" s="11" t="s">
        <v>135</v>
      </c>
      <c r="X36" s="11" t="s">
        <v>136</v>
      </c>
      <c r="Y36" s="15" t="s">
        <v>40</v>
      </c>
      <c r="Z36" s="11"/>
    </row>
    <row r="37" spans="1:26" x14ac:dyDescent="0.25">
      <c r="A37" s="16">
        <v>22526718</v>
      </c>
      <c r="B37" s="11">
        <v>45945</v>
      </c>
      <c r="C37" s="11">
        <v>46038</v>
      </c>
      <c r="D37" s="11">
        <v>46021</v>
      </c>
      <c r="E37" s="12" t="s">
        <v>37</v>
      </c>
      <c r="F37" s="13">
        <v>469900</v>
      </c>
      <c r="G37" s="14">
        <v>459000</v>
      </c>
      <c r="H37" s="13">
        <v>450000</v>
      </c>
      <c r="I37" s="29">
        <f t="shared" si="0"/>
        <v>227.7327935222672</v>
      </c>
      <c r="J37" s="11">
        <v>61778</v>
      </c>
      <c r="K37" s="11" t="s">
        <v>48</v>
      </c>
      <c r="L37" s="11" t="s">
        <v>137</v>
      </c>
      <c r="M37" s="15" t="s">
        <v>45</v>
      </c>
      <c r="N37" s="15">
        <v>85739</v>
      </c>
      <c r="O37" s="15">
        <v>32.517538000000002</v>
      </c>
      <c r="P37" s="15">
        <v>-110.906953</v>
      </c>
      <c r="Q37" s="16">
        <v>1976</v>
      </c>
      <c r="R37" s="16">
        <v>2006</v>
      </c>
      <c r="S37" s="16">
        <v>3</v>
      </c>
      <c r="T37" s="17">
        <v>2</v>
      </c>
      <c r="U37" s="11" t="s">
        <v>41</v>
      </c>
      <c r="V37" s="16">
        <v>1</v>
      </c>
      <c r="W37" s="11" t="s">
        <v>138</v>
      </c>
      <c r="X37" s="11" t="s">
        <v>139</v>
      </c>
      <c r="Y37" s="15" t="s">
        <v>40</v>
      </c>
      <c r="Z37" s="11"/>
    </row>
    <row r="38" spans="1:26" x14ac:dyDescent="0.25">
      <c r="A38" s="16">
        <v>22523168</v>
      </c>
      <c r="B38" s="11">
        <v>45905</v>
      </c>
      <c r="C38" s="11">
        <v>46021</v>
      </c>
      <c r="D38" s="11">
        <v>45999</v>
      </c>
      <c r="E38" s="12" t="s">
        <v>37</v>
      </c>
      <c r="F38" s="13">
        <v>529000</v>
      </c>
      <c r="G38" s="14">
        <v>515000</v>
      </c>
      <c r="H38" s="13">
        <v>500000</v>
      </c>
      <c r="I38" s="29">
        <f t="shared" si="0"/>
        <v>281.53153153153153</v>
      </c>
      <c r="J38" s="11">
        <v>39536</v>
      </c>
      <c r="K38" s="11" t="s">
        <v>38</v>
      </c>
      <c r="L38" s="11" t="s">
        <v>140</v>
      </c>
      <c r="M38" s="15" t="s">
        <v>45</v>
      </c>
      <c r="N38" s="15">
        <v>85739</v>
      </c>
      <c r="O38" s="15">
        <v>32.517656000000002</v>
      </c>
      <c r="P38" s="15">
        <v>-110.89653</v>
      </c>
      <c r="Q38" s="16">
        <v>1776</v>
      </c>
      <c r="R38" s="16">
        <v>2020</v>
      </c>
      <c r="S38" s="16">
        <v>2</v>
      </c>
      <c r="T38" s="17">
        <v>2</v>
      </c>
      <c r="U38" s="11" t="s">
        <v>41</v>
      </c>
      <c r="V38" s="16">
        <v>1</v>
      </c>
      <c r="W38" s="11" t="s">
        <v>141</v>
      </c>
      <c r="X38" s="11" t="s">
        <v>142</v>
      </c>
      <c r="Y38" s="15" t="s">
        <v>40</v>
      </c>
      <c r="Z38" s="11"/>
    </row>
    <row r="39" spans="1:26" x14ac:dyDescent="0.25">
      <c r="A39" s="16">
        <v>22528629</v>
      </c>
      <c r="B39" s="11">
        <v>45964</v>
      </c>
      <c r="C39" s="11">
        <v>46070</v>
      </c>
      <c r="D39" s="11">
        <v>46067</v>
      </c>
      <c r="E39" s="12" t="s">
        <v>37</v>
      </c>
      <c r="F39" s="13">
        <v>500000</v>
      </c>
      <c r="G39" s="14">
        <v>475000</v>
      </c>
      <c r="H39" s="13">
        <v>475000</v>
      </c>
      <c r="I39" s="29">
        <f t="shared" si="0"/>
        <v>197.99916631929972</v>
      </c>
      <c r="J39" s="11">
        <v>62331</v>
      </c>
      <c r="K39" s="11" t="s">
        <v>48</v>
      </c>
      <c r="L39" s="11" t="s">
        <v>143</v>
      </c>
      <c r="M39" s="15" t="s">
        <v>45</v>
      </c>
      <c r="N39" s="15">
        <v>85739</v>
      </c>
      <c r="O39" s="15">
        <v>32.518078000000003</v>
      </c>
      <c r="P39" s="15">
        <v>-110.90148600000001</v>
      </c>
      <c r="Q39" s="16">
        <v>2399</v>
      </c>
      <c r="R39" s="16">
        <v>2004</v>
      </c>
      <c r="S39" s="16">
        <v>3</v>
      </c>
      <c r="T39" s="17">
        <v>2</v>
      </c>
      <c r="U39" s="11" t="s">
        <v>41</v>
      </c>
      <c r="V39" s="16">
        <v>1</v>
      </c>
      <c r="W39" s="11" t="s">
        <v>144</v>
      </c>
      <c r="X39" s="11" t="s">
        <v>145</v>
      </c>
      <c r="Y39" s="15" t="s">
        <v>40</v>
      </c>
      <c r="Z39" s="11"/>
    </row>
    <row r="40" spans="1:26" x14ac:dyDescent="0.25">
      <c r="A40" s="16">
        <v>22609803</v>
      </c>
      <c r="B40" s="11">
        <v>46127</v>
      </c>
      <c r="C40" s="11">
        <v>46169</v>
      </c>
      <c r="D40" s="11">
        <v>46153</v>
      </c>
      <c r="E40" s="12" t="s">
        <v>37</v>
      </c>
      <c r="F40" s="13">
        <v>700000</v>
      </c>
      <c r="G40" s="14">
        <v>700000</v>
      </c>
      <c r="H40" s="13">
        <v>700000</v>
      </c>
      <c r="I40" s="29">
        <f t="shared" si="0"/>
        <v>294.73684210526318</v>
      </c>
      <c r="J40" s="11">
        <v>39461</v>
      </c>
      <c r="K40" s="11" t="s">
        <v>38</v>
      </c>
      <c r="L40" s="11" t="s">
        <v>146</v>
      </c>
      <c r="M40" s="15" t="s">
        <v>40</v>
      </c>
      <c r="N40" s="15">
        <v>85739</v>
      </c>
      <c r="O40" s="15">
        <v>32.518115999999999</v>
      </c>
      <c r="P40" s="15">
        <v>-110.897305</v>
      </c>
      <c r="Q40" s="16">
        <v>2375</v>
      </c>
      <c r="R40" s="16">
        <v>2004</v>
      </c>
      <c r="S40" s="16">
        <v>3</v>
      </c>
      <c r="T40" s="17">
        <v>3</v>
      </c>
      <c r="U40" s="11" t="s">
        <v>41</v>
      </c>
      <c r="V40" s="16">
        <v>1</v>
      </c>
      <c r="W40" s="11" t="s">
        <v>147</v>
      </c>
      <c r="X40" s="11" t="s">
        <v>148</v>
      </c>
      <c r="Y40" s="15" t="s">
        <v>40</v>
      </c>
      <c r="Z40" s="11"/>
    </row>
    <row r="41" spans="1:26" x14ac:dyDescent="0.25">
      <c r="A41" s="16">
        <v>22532220</v>
      </c>
      <c r="B41" s="11">
        <v>46012</v>
      </c>
      <c r="C41" s="11">
        <v>46112</v>
      </c>
      <c r="D41" s="11">
        <v>46096</v>
      </c>
      <c r="E41" s="12" t="s">
        <v>37</v>
      </c>
      <c r="F41" s="13">
        <v>525000</v>
      </c>
      <c r="G41" s="14">
        <v>525000</v>
      </c>
      <c r="H41" s="13">
        <v>510000</v>
      </c>
      <c r="I41" s="29">
        <f t="shared" si="0"/>
        <v>287.16216216216219</v>
      </c>
      <c r="J41" s="11">
        <v>39466</v>
      </c>
      <c r="K41" s="11" t="s">
        <v>38</v>
      </c>
      <c r="L41" s="11" t="s">
        <v>140</v>
      </c>
      <c r="M41" s="15" t="s">
        <v>45</v>
      </c>
      <c r="N41" s="15">
        <v>85739</v>
      </c>
      <c r="O41" s="15">
        <v>32.518270999999999</v>
      </c>
      <c r="P41" s="15">
        <v>-110.895315</v>
      </c>
      <c r="Q41" s="16">
        <v>1776</v>
      </c>
      <c r="R41" s="16">
        <v>2020</v>
      </c>
      <c r="S41" s="16">
        <v>2</v>
      </c>
      <c r="T41" s="17">
        <v>2.5</v>
      </c>
      <c r="U41" s="11" t="s">
        <v>41</v>
      </c>
      <c r="V41" s="16">
        <v>1</v>
      </c>
      <c r="W41" s="11" t="s">
        <v>149</v>
      </c>
      <c r="X41" s="11" t="s">
        <v>150</v>
      </c>
      <c r="Y41" s="15" t="s">
        <v>40</v>
      </c>
      <c r="Z41" s="11"/>
    </row>
    <row r="42" spans="1:26" x14ac:dyDescent="0.25">
      <c r="A42" s="16">
        <v>22527271</v>
      </c>
      <c r="B42" s="11">
        <v>45950</v>
      </c>
      <c r="C42" s="11">
        <v>46128</v>
      </c>
      <c r="D42" s="11">
        <v>46103</v>
      </c>
      <c r="E42" s="12" t="s">
        <v>37</v>
      </c>
      <c r="F42" s="13">
        <v>499000</v>
      </c>
      <c r="G42" s="14">
        <v>499000</v>
      </c>
      <c r="H42" s="13">
        <v>473000</v>
      </c>
      <c r="I42" s="29">
        <f t="shared" si="0"/>
        <v>251.0615711252654</v>
      </c>
      <c r="J42" s="11">
        <v>39450</v>
      </c>
      <c r="K42" s="11" t="s">
        <v>38</v>
      </c>
      <c r="L42" s="11" t="s">
        <v>146</v>
      </c>
      <c r="M42" s="15" t="s">
        <v>45</v>
      </c>
      <c r="N42" s="15">
        <v>85739</v>
      </c>
      <c r="O42" s="15">
        <v>32.518292000000002</v>
      </c>
      <c r="P42" s="15">
        <v>-110.89792</v>
      </c>
      <c r="Q42" s="16">
        <v>1884</v>
      </c>
      <c r="R42" s="16">
        <v>2003</v>
      </c>
      <c r="S42" s="16">
        <v>2</v>
      </c>
      <c r="T42" s="17">
        <v>2</v>
      </c>
      <c r="U42" s="11" t="s">
        <v>41</v>
      </c>
      <c r="V42" s="16">
        <v>1</v>
      </c>
      <c r="W42" s="11" t="s">
        <v>151</v>
      </c>
      <c r="X42" s="11" t="s">
        <v>152</v>
      </c>
      <c r="Y42" s="15" t="s">
        <v>40</v>
      </c>
      <c r="Z42" s="11"/>
    </row>
    <row r="43" spans="1:26" x14ac:dyDescent="0.25">
      <c r="A43" s="16">
        <v>22529294</v>
      </c>
      <c r="B43" s="11">
        <v>45972</v>
      </c>
      <c r="C43" s="11">
        <v>46098</v>
      </c>
      <c r="D43" s="11">
        <v>46098</v>
      </c>
      <c r="E43" s="12" t="s">
        <v>37</v>
      </c>
      <c r="F43" s="13">
        <v>479000</v>
      </c>
      <c r="G43" s="14">
        <v>449000</v>
      </c>
      <c r="H43" s="13">
        <v>440000</v>
      </c>
      <c r="I43" s="29">
        <f t="shared" si="0"/>
        <v>225.40983606557376</v>
      </c>
      <c r="J43" s="11">
        <v>62464</v>
      </c>
      <c r="K43" s="11" t="s">
        <v>48</v>
      </c>
      <c r="L43" s="11" t="s">
        <v>143</v>
      </c>
      <c r="M43" s="15" t="s">
        <v>45</v>
      </c>
      <c r="N43" s="15">
        <v>85739</v>
      </c>
      <c r="O43" s="15">
        <v>32.518535</v>
      </c>
      <c r="P43" s="15">
        <v>-110.900113</v>
      </c>
      <c r="Q43" s="16">
        <v>1952</v>
      </c>
      <c r="R43" s="16">
        <v>2004</v>
      </c>
      <c r="S43" s="16">
        <v>2</v>
      </c>
      <c r="T43" s="17">
        <v>2</v>
      </c>
      <c r="U43" s="11" t="s">
        <v>41</v>
      </c>
      <c r="V43" s="16">
        <v>1</v>
      </c>
      <c r="W43" s="11" t="s">
        <v>153</v>
      </c>
      <c r="X43" s="11" t="s">
        <v>154</v>
      </c>
      <c r="Y43" s="15" t="s">
        <v>40</v>
      </c>
      <c r="Z43" s="11"/>
    </row>
    <row r="44" spans="1:26" x14ac:dyDescent="0.25">
      <c r="A44" s="16">
        <v>22603501</v>
      </c>
      <c r="B44" s="11">
        <v>46059</v>
      </c>
      <c r="C44" s="11">
        <v>46086</v>
      </c>
      <c r="D44" s="11">
        <v>46080</v>
      </c>
      <c r="E44" s="12" t="s">
        <v>37</v>
      </c>
      <c r="F44" s="13">
        <v>435000</v>
      </c>
      <c r="G44" s="14">
        <v>435000</v>
      </c>
      <c r="H44" s="13">
        <v>430000</v>
      </c>
      <c r="I44" s="29">
        <f t="shared" si="0"/>
        <v>228.23779193205945</v>
      </c>
      <c r="J44" s="11">
        <v>62552</v>
      </c>
      <c r="K44" s="11" t="s">
        <v>48</v>
      </c>
      <c r="L44" s="11" t="s">
        <v>143</v>
      </c>
      <c r="M44" s="15" t="s">
        <v>45</v>
      </c>
      <c r="N44" s="15">
        <v>85739</v>
      </c>
      <c r="O44" s="15">
        <v>32.518551000000002</v>
      </c>
      <c r="P44" s="15">
        <v>-110.899213</v>
      </c>
      <c r="Q44" s="16">
        <v>1884</v>
      </c>
      <c r="R44" s="16">
        <v>2003</v>
      </c>
      <c r="S44" s="16">
        <v>2</v>
      </c>
      <c r="T44" s="17">
        <v>2</v>
      </c>
      <c r="U44" s="11" t="s">
        <v>41</v>
      </c>
      <c r="V44" s="16">
        <v>1</v>
      </c>
      <c r="W44" s="11" t="s">
        <v>155</v>
      </c>
      <c r="X44" s="11" t="s">
        <v>156</v>
      </c>
      <c r="Y44" s="15" t="s">
        <v>40</v>
      </c>
      <c r="Z44" s="11"/>
    </row>
    <row r="45" spans="1:26" x14ac:dyDescent="0.25">
      <c r="A45" s="22">
        <v>22529738</v>
      </c>
      <c r="B45" s="18">
        <v>45976</v>
      </c>
      <c r="C45" s="18">
        <v>46148</v>
      </c>
      <c r="D45" s="18">
        <v>46127</v>
      </c>
      <c r="E45" s="19" t="s">
        <v>37</v>
      </c>
      <c r="F45" s="20">
        <v>599000</v>
      </c>
      <c r="G45" s="14">
        <v>499000</v>
      </c>
      <c r="H45" s="20">
        <v>499000</v>
      </c>
      <c r="I45" s="29">
        <f t="shared" si="0"/>
        <v>210.9936575052854</v>
      </c>
      <c r="J45" s="18">
        <v>62187</v>
      </c>
      <c r="K45" s="18" t="s">
        <v>48</v>
      </c>
      <c r="L45" s="18" t="s">
        <v>157</v>
      </c>
      <c r="M45" s="21" t="s">
        <v>40</v>
      </c>
      <c r="N45" s="21">
        <v>85739</v>
      </c>
      <c r="O45" s="21">
        <v>32.519072999999999</v>
      </c>
      <c r="P45" s="21">
        <v>-110.90311699999999</v>
      </c>
      <c r="Q45" s="22">
        <v>2365</v>
      </c>
      <c r="R45" s="19">
        <v>2002</v>
      </c>
      <c r="S45" s="22">
        <v>3</v>
      </c>
      <c r="T45" s="23">
        <v>2</v>
      </c>
      <c r="U45" s="18" t="s">
        <v>41</v>
      </c>
      <c r="V45" s="22">
        <v>1</v>
      </c>
      <c r="W45" s="18" t="s">
        <v>158</v>
      </c>
      <c r="X45" s="18" t="s">
        <v>159</v>
      </c>
      <c r="Y45" s="21" t="s">
        <v>40</v>
      </c>
      <c r="Z45" s="18"/>
    </row>
    <row r="46" spans="1:26" x14ac:dyDescent="0.25">
      <c r="A46" s="16">
        <v>22607571</v>
      </c>
      <c r="B46" s="11">
        <v>46102</v>
      </c>
      <c r="C46" s="11">
        <v>46143</v>
      </c>
      <c r="D46" s="11">
        <v>46138</v>
      </c>
      <c r="E46" s="12" t="s">
        <v>37</v>
      </c>
      <c r="F46" s="13">
        <v>549000</v>
      </c>
      <c r="G46" s="14">
        <v>529000</v>
      </c>
      <c r="H46" s="13">
        <v>529000</v>
      </c>
      <c r="I46" s="29">
        <f t="shared" si="0"/>
        <v>221.24634044332916</v>
      </c>
      <c r="J46" s="11">
        <v>62363</v>
      </c>
      <c r="K46" s="11" t="s">
        <v>48</v>
      </c>
      <c r="L46" s="11" t="s">
        <v>157</v>
      </c>
      <c r="M46" s="15" t="s">
        <v>45</v>
      </c>
      <c r="N46" s="15">
        <v>85739</v>
      </c>
      <c r="O46" s="15">
        <v>32.519128000000002</v>
      </c>
      <c r="P46" s="15">
        <v>-110.901163</v>
      </c>
      <c r="Q46" s="16">
        <v>2391</v>
      </c>
      <c r="R46" s="16">
        <v>2002</v>
      </c>
      <c r="S46" s="16">
        <v>3</v>
      </c>
      <c r="T46" s="17">
        <v>2</v>
      </c>
      <c r="U46" s="11" t="s">
        <v>41</v>
      </c>
      <c r="V46" s="16">
        <v>1</v>
      </c>
      <c r="W46" s="11" t="s">
        <v>160</v>
      </c>
      <c r="X46" s="11" t="s">
        <v>161</v>
      </c>
      <c r="Y46" s="15" t="s">
        <v>40</v>
      </c>
      <c r="Z46" s="11"/>
    </row>
    <row r="47" spans="1:26" x14ac:dyDescent="0.25">
      <c r="A47" s="16">
        <v>22530529</v>
      </c>
      <c r="B47" s="11">
        <v>45987</v>
      </c>
      <c r="C47" s="11">
        <v>46065</v>
      </c>
      <c r="D47" s="11">
        <v>46059</v>
      </c>
      <c r="E47" s="12" t="s">
        <v>37</v>
      </c>
      <c r="F47" s="13">
        <v>695000</v>
      </c>
      <c r="G47" s="14">
        <v>695000</v>
      </c>
      <c r="H47" s="13">
        <v>680000</v>
      </c>
      <c r="I47" s="29">
        <f t="shared" si="0"/>
        <v>313.21971441731921</v>
      </c>
      <c r="J47" s="11">
        <v>39251</v>
      </c>
      <c r="K47" s="11" t="s">
        <v>38</v>
      </c>
      <c r="L47" s="11" t="s">
        <v>162</v>
      </c>
      <c r="M47" s="15" t="s">
        <v>45</v>
      </c>
      <c r="N47" s="15">
        <v>85739</v>
      </c>
      <c r="O47" s="15">
        <v>32.519503</v>
      </c>
      <c r="P47" s="15">
        <v>-110.894745</v>
      </c>
      <c r="Q47" s="16">
        <v>2171</v>
      </c>
      <c r="R47" s="16">
        <v>2002</v>
      </c>
      <c r="S47" s="16">
        <v>3</v>
      </c>
      <c r="T47" s="17">
        <v>3</v>
      </c>
      <c r="U47" s="11" t="s">
        <v>41</v>
      </c>
      <c r="V47" s="16">
        <v>1</v>
      </c>
      <c r="W47" s="11" t="s">
        <v>163</v>
      </c>
      <c r="X47" s="11" t="s">
        <v>164</v>
      </c>
      <c r="Y47" s="15" t="s">
        <v>40</v>
      </c>
      <c r="Z47" s="11"/>
    </row>
    <row r="48" spans="1:26" x14ac:dyDescent="0.25">
      <c r="A48" s="16">
        <v>22600566</v>
      </c>
      <c r="B48" s="11">
        <v>46029</v>
      </c>
      <c r="C48" s="11">
        <v>46146</v>
      </c>
      <c r="D48" s="11">
        <v>46143</v>
      </c>
      <c r="E48" s="12" t="s">
        <v>37</v>
      </c>
      <c r="F48" s="13">
        <v>585000</v>
      </c>
      <c r="G48" s="14">
        <v>550000</v>
      </c>
      <c r="H48" s="13">
        <v>515000</v>
      </c>
      <c r="I48" s="29">
        <f t="shared" si="0"/>
        <v>193.02848575712144</v>
      </c>
      <c r="J48" s="11">
        <v>62562</v>
      </c>
      <c r="K48" s="11" t="s">
        <v>48</v>
      </c>
      <c r="L48" s="11" t="s">
        <v>157</v>
      </c>
      <c r="M48" s="15" t="s">
        <v>45</v>
      </c>
      <c r="N48" s="15">
        <v>85739</v>
      </c>
      <c r="O48" s="15">
        <v>32.519544000000003</v>
      </c>
      <c r="P48" s="15">
        <v>-110.899169</v>
      </c>
      <c r="Q48" s="16">
        <v>2668</v>
      </c>
      <c r="R48" s="16">
        <v>2004</v>
      </c>
      <c r="S48" s="16">
        <v>2</v>
      </c>
      <c r="T48" s="17">
        <v>3</v>
      </c>
      <c r="U48" s="11" t="s">
        <v>41</v>
      </c>
      <c r="V48" s="16">
        <v>1</v>
      </c>
      <c r="W48" s="11" t="s">
        <v>165</v>
      </c>
      <c r="X48" s="11" t="s">
        <v>166</v>
      </c>
      <c r="Y48" s="15" t="s">
        <v>40</v>
      </c>
      <c r="Z48" s="11"/>
    </row>
    <row r="49" spans="1:26" x14ac:dyDescent="0.25">
      <c r="A49" s="22">
        <v>22600882</v>
      </c>
      <c r="B49" s="18">
        <v>46031</v>
      </c>
      <c r="C49" s="18">
        <v>46132</v>
      </c>
      <c r="D49" s="18">
        <v>46083</v>
      </c>
      <c r="E49" s="19" t="s">
        <v>37</v>
      </c>
      <c r="F49" s="20">
        <v>745000</v>
      </c>
      <c r="G49" s="14">
        <v>745000</v>
      </c>
      <c r="H49" s="20">
        <v>725000</v>
      </c>
      <c r="I49" s="29">
        <f t="shared" si="0"/>
        <v>221.30647130647131</v>
      </c>
      <c r="J49" s="18">
        <v>39298</v>
      </c>
      <c r="K49" s="18" t="s">
        <v>38</v>
      </c>
      <c r="L49" s="18" t="s">
        <v>107</v>
      </c>
      <c r="M49" s="21" t="s">
        <v>45</v>
      </c>
      <c r="N49" s="21">
        <v>85739</v>
      </c>
      <c r="O49" s="21">
        <v>32.519646999999999</v>
      </c>
      <c r="P49" s="21">
        <v>-110.906142</v>
      </c>
      <c r="Q49" s="22">
        <v>3276</v>
      </c>
      <c r="R49" s="19">
        <v>2005</v>
      </c>
      <c r="S49" s="22">
        <v>4</v>
      </c>
      <c r="T49" s="23">
        <v>3.5</v>
      </c>
      <c r="U49" s="18" t="s">
        <v>41</v>
      </c>
      <c r="V49" s="22">
        <v>2</v>
      </c>
      <c r="W49" s="18" t="s">
        <v>167</v>
      </c>
      <c r="X49" s="18" t="s">
        <v>168</v>
      </c>
      <c r="Y49" s="21" t="s">
        <v>40</v>
      </c>
      <c r="Z49" s="18"/>
    </row>
    <row r="50" spans="1:26" x14ac:dyDescent="0.25">
      <c r="A50" s="16">
        <v>22529601</v>
      </c>
      <c r="B50" s="11">
        <v>45975</v>
      </c>
      <c r="C50" s="11">
        <v>46024</v>
      </c>
      <c r="D50" s="11">
        <v>46018</v>
      </c>
      <c r="E50" s="12" t="s">
        <v>37</v>
      </c>
      <c r="F50" s="13">
        <v>745000</v>
      </c>
      <c r="G50" s="14">
        <v>745000</v>
      </c>
      <c r="H50" s="13">
        <v>725000</v>
      </c>
      <c r="I50" s="29">
        <f t="shared" si="0"/>
        <v>267.72525849335301</v>
      </c>
      <c r="J50" s="11">
        <v>62863</v>
      </c>
      <c r="K50" s="11" t="s">
        <v>48</v>
      </c>
      <c r="L50" s="11" t="s">
        <v>169</v>
      </c>
      <c r="M50" s="15" t="s">
        <v>40</v>
      </c>
      <c r="N50" s="15">
        <v>85739</v>
      </c>
      <c r="O50" s="15">
        <v>32.520167000000001</v>
      </c>
      <c r="P50" s="15">
        <v>-110.895781</v>
      </c>
      <c r="Q50" s="16">
        <v>2708</v>
      </c>
      <c r="R50" s="16">
        <v>2005</v>
      </c>
      <c r="S50" s="16">
        <v>3</v>
      </c>
      <c r="T50" s="17">
        <v>3</v>
      </c>
      <c r="U50" s="11" t="s">
        <v>41</v>
      </c>
      <c r="V50" s="16">
        <v>1</v>
      </c>
      <c r="W50" s="11" t="s">
        <v>170</v>
      </c>
      <c r="X50" s="11" t="s">
        <v>171</v>
      </c>
      <c r="Y50" s="15" t="s">
        <v>40</v>
      </c>
      <c r="Z50" s="11"/>
    </row>
    <row r="51" spans="1:26" x14ac:dyDescent="0.25">
      <c r="A51" s="22">
        <v>22522926</v>
      </c>
      <c r="B51" s="18">
        <v>45904</v>
      </c>
      <c r="C51" s="18">
        <v>46038</v>
      </c>
      <c r="D51" s="18">
        <v>46030</v>
      </c>
      <c r="E51" s="19" t="s">
        <v>37</v>
      </c>
      <c r="F51" s="20">
        <v>450000</v>
      </c>
      <c r="G51" s="13">
        <v>430000</v>
      </c>
      <c r="H51" s="20">
        <v>425000</v>
      </c>
      <c r="I51" s="29">
        <f t="shared" si="0"/>
        <v>256.79758308157102</v>
      </c>
      <c r="J51" s="18">
        <v>63681</v>
      </c>
      <c r="K51" s="18" t="s">
        <v>48</v>
      </c>
      <c r="L51" s="18" t="s">
        <v>172</v>
      </c>
      <c r="M51" s="21" t="s">
        <v>45</v>
      </c>
      <c r="N51" s="21">
        <v>85739</v>
      </c>
      <c r="O51" s="21">
        <v>32.520721999999999</v>
      </c>
      <c r="P51" s="21">
        <v>-110.88645</v>
      </c>
      <c r="Q51" s="22">
        <v>1655</v>
      </c>
      <c r="R51" s="19">
        <v>2003</v>
      </c>
      <c r="S51" s="22">
        <v>2</v>
      </c>
      <c r="T51" s="23">
        <v>2</v>
      </c>
      <c r="U51" s="18" t="s">
        <v>41</v>
      </c>
      <c r="V51" s="22">
        <v>1</v>
      </c>
      <c r="W51" s="18" t="s">
        <v>173</v>
      </c>
      <c r="X51" s="18" t="s">
        <v>174</v>
      </c>
      <c r="Y51" s="21" t="s">
        <v>40</v>
      </c>
      <c r="Z51" s="18"/>
    </row>
    <row r="52" spans="1:26" x14ac:dyDescent="0.25">
      <c r="A52" s="22">
        <v>22532040</v>
      </c>
      <c r="B52" s="18">
        <v>46009</v>
      </c>
      <c r="C52" s="18">
        <v>46038</v>
      </c>
      <c r="D52" s="18">
        <v>46030</v>
      </c>
      <c r="E52" s="19" t="s">
        <v>37</v>
      </c>
      <c r="F52" s="20">
        <v>349900</v>
      </c>
      <c r="G52" s="13">
        <v>349900</v>
      </c>
      <c r="H52" s="20">
        <v>349900</v>
      </c>
      <c r="I52" s="29">
        <f t="shared" si="0"/>
        <v>204.73961380924518</v>
      </c>
      <c r="J52" s="18">
        <v>63741</v>
      </c>
      <c r="K52" s="18" t="s">
        <v>48</v>
      </c>
      <c r="L52" s="18" t="s">
        <v>172</v>
      </c>
      <c r="M52" s="21" t="s">
        <v>45</v>
      </c>
      <c r="N52" s="21">
        <v>85739</v>
      </c>
      <c r="O52" s="21">
        <v>32.520735999999999</v>
      </c>
      <c r="P52" s="21">
        <v>-110.885882</v>
      </c>
      <c r="Q52" s="22">
        <v>1709</v>
      </c>
      <c r="R52" s="19">
        <v>2003</v>
      </c>
      <c r="S52" s="22">
        <v>2</v>
      </c>
      <c r="T52" s="23">
        <v>2</v>
      </c>
      <c r="U52" s="18" t="s">
        <v>41</v>
      </c>
      <c r="V52" s="22">
        <v>1</v>
      </c>
      <c r="W52" s="18" t="s">
        <v>175</v>
      </c>
      <c r="X52" s="18" t="s">
        <v>176</v>
      </c>
      <c r="Y52" s="21" t="s">
        <v>40</v>
      </c>
      <c r="Z52" s="18"/>
    </row>
    <row r="53" spans="1:26" x14ac:dyDescent="0.25">
      <c r="A53" s="22">
        <v>22600452</v>
      </c>
      <c r="B53" s="18">
        <v>46028</v>
      </c>
      <c r="C53" s="18">
        <v>46091</v>
      </c>
      <c r="D53" s="18">
        <v>46069</v>
      </c>
      <c r="E53" s="19" t="s">
        <v>37</v>
      </c>
      <c r="F53" s="20">
        <v>377000</v>
      </c>
      <c r="G53" s="13">
        <v>377000</v>
      </c>
      <c r="H53" s="20">
        <v>362500</v>
      </c>
      <c r="I53" s="29">
        <f t="shared" si="0"/>
        <v>219.03323262839879</v>
      </c>
      <c r="J53" s="18">
        <v>63531</v>
      </c>
      <c r="K53" s="18" t="s">
        <v>48</v>
      </c>
      <c r="L53" s="18" t="s">
        <v>169</v>
      </c>
      <c r="M53" s="21" t="s">
        <v>45</v>
      </c>
      <c r="N53" s="21">
        <v>85739</v>
      </c>
      <c r="O53" s="21">
        <v>32.520761</v>
      </c>
      <c r="P53" s="21">
        <v>-110.88921499999999</v>
      </c>
      <c r="Q53" s="22">
        <v>1655</v>
      </c>
      <c r="R53" s="19">
        <v>2003</v>
      </c>
      <c r="S53" s="22">
        <v>2</v>
      </c>
      <c r="T53" s="23">
        <v>2</v>
      </c>
      <c r="U53" s="18" t="s">
        <v>41</v>
      </c>
      <c r="V53" s="22">
        <v>1</v>
      </c>
      <c r="W53" s="18" t="s">
        <v>177</v>
      </c>
      <c r="X53" s="18" t="s">
        <v>178</v>
      </c>
      <c r="Y53" s="21" t="s">
        <v>40</v>
      </c>
      <c r="Z53" s="18"/>
    </row>
    <row r="54" spans="1:26" x14ac:dyDescent="0.25">
      <c r="A54" s="16">
        <v>22602437</v>
      </c>
      <c r="B54" s="11">
        <v>46048</v>
      </c>
      <c r="C54" s="11">
        <v>46122</v>
      </c>
      <c r="D54" s="11">
        <v>46113</v>
      </c>
      <c r="E54" s="12" t="s">
        <v>37</v>
      </c>
      <c r="F54" s="13">
        <v>649000</v>
      </c>
      <c r="G54" s="13">
        <v>615000</v>
      </c>
      <c r="H54" s="13">
        <v>610000</v>
      </c>
      <c r="I54" s="29">
        <f t="shared" si="0"/>
        <v>270.99067081297198</v>
      </c>
      <c r="J54" s="11">
        <v>63047</v>
      </c>
      <c r="K54" s="11" t="s">
        <v>48</v>
      </c>
      <c r="L54" s="11" t="s">
        <v>169</v>
      </c>
      <c r="M54" s="15" t="s">
        <v>45</v>
      </c>
      <c r="N54" s="15">
        <v>85739</v>
      </c>
      <c r="O54" s="15">
        <v>32.520763000000002</v>
      </c>
      <c r="P54" s="15">
        <v>-110.893657</v>
      </c>
      <c r="Q54" s="16">
        <v>2251</v>
      </c>
      <c r="R54" s="16">
        <v>2002</v>
      </c>
      <c r="S54" s="16">
        <v>2</v>
      </c>
      <c r="T54" s="17">
        <v>2</v>
      </c>
      <c r="U54" s="11" t="s">
        <v>41</v>
      </c>
      <c r="V54" s="16">
        <v>1</v>
      </c>
      <c r="W54" s="11" t="s">
        <v>179</v>
      </c>
      <c r="X54" s="11" t="s">
        <v>180</v>
      </c>
      <c r="Y54" s="15" t="s">
        <v>40</v>
      </c>
      <c r="Z54" s="11"/>
    </row>
    <row r="55" spans="1:26" x14ac:dyDescent="0.25">
      <c r="A55" s="16">
        <v>22608332</v>
      </c>
      <c r="B55" s="11">
        <v>46112</v>
      </c>
      <c r="C55" s="11">
        <v>46171</v>
      </c>
      <c r="D55" s="11">
        <v>46157</v>
      </c>
      <c r="E55" s="12" t="s">
        <v>37</v>
      </c>
      <c r="F55" s="13">
        <v>559000</v>
      </c>
      <c r="G55" s="13">
        <v>559000</v>
      </c>
      <c r="H55" s="13">
        <v>549000</v>
      </c>
      <c r="I55" s="29">
        <f t="shared" si="0"/>
        <v>238.17787418655098</v>
      </c>
      <c r="J55" s="11">
        <v>63443</v>
      </c>
      <c r="K55" s="11" t="s">
        <v>48</v>
      </c>
      <c r="L55" s="11" t="s">
        <v>169</v>
      </c>
      <c r="M55" s="15" t="s">
        <v>45</v>
      </c>
      <c r="N55" s="15">
        <v>85739</v>
      </c>
      <c r="O55" s="15">
        <v>32.520769999999999</v>
      </c>
      <c r="P55" s="15">
        <v>-110.889695</v>
      </c>
      <c r="Q55" s="16">
        <v>2305</v>
      </c>
      <c r="R55" s="16">
        <v>2003</v>
      </c>
      <c r="S55" s="16">
        <v>2</v>
      </c>
      <c r="T55" s="17">
        <v>2</v>
      </c>
      <c r="U55" s="11" t="s">
        <v>41</v>
      </c>
      <c r="V55" s="16">
        <v>1</v>
      </c>
      <c r="W55" s="11" t="s">
        <v>181</v>
      </c>
      <c r="X55" s="11" t="s">
        <v>182</v>
      </c>
      <c r="Y55" s="15" t="s">
        <v>40</v>
      </c>
      <c r="Z55" s="11"/>
    </row>
    <row r="56" spans="1:26" x14ac:dyDescent="0.25">
      <c r="A56" s="16">
        <v>22529384</v>
      </c>
      <c r="B56" s="11">
        <v>45973</v>
      </c>
      <c r="C56" s="11">
        <v>46107</v>
      </c>
      <c r="D56" s="11">
        <v>46099</v>
      </c>
      <c r="E56" s="12" t="s">
        <v>37</v>
      </c>
      <c r="F56" s="13">
        <v>400000</v>
      </c>
      <c r="G56" s="13">
        <v>380000</v>
      </c>
      <c r="H56" s="13">
        <v>355000</v>
      </c>
      <c r="I56" s="29">
        <f t="shared" si="0"/>
        <v>207.7238150965477</v>
      </c>
      <c r="J56" s="11">
        <v>63594</v>
      </c>
      <c r="K56" s="11" t="s">
        <v>48</v>
      </c>
      <c r="L56" s="11" t="s">
        <v>169</v>
      </c>
      <c r="M56" s="15" t="s">
        <v>45</v>
      </c>
      <c r="N56" s="15">
        <v>85739</v>
      </c>
      <c r="O56" s="15">
        <v>32.521203</v>
      </c>
      <c r="P56" s="15">
        <v>-110.888862</v>
      </c>
      <c r="Q56" s="16">
        <v>1709</v>
      </c>
      <c r="R56" s="16">
        <v>2001</v>
      </c>
      <c r="S56" s="16">
        <v>3</v>
      </c>
      <c r="T56" s="17">
        <v>2</v>
      </c>
      <c r="U56" s="11" t="s">
        <v>41</v>
      </c>
      <c r="V56" s="16">
        <v>1</v>
      </c>
      <c r="W56" s="11" t="s">
        <v>183</v>
      </c>
      <c r="X56" s="11" t="s">
        <v>184</v>
      </c>
      <c r="Y56" s="15" t="s">
        <v>40</v>
      </c>
      <c r="Z56" s="11"/>
    </row>
    <row r="57" spans="1:26" x14ac:dyDescent="0.25">
      <c r="A57" s="16">
        <v>22530286</v>
      </c>
      <c r="B57" s="11">
        <v>45983</v>
      </c>
      <c r="C57" s="11">
        <v>46084</v>
      </c>
      <c r="D57" s="11">
        <v>46076</v>
      </c>
      <c r="E57" s="12" t="s">
        <v>37</v>
      </c>
      <c r="F57" s="13">
        <v>349000</v>
      </c>
      <c r="G57" s="13">
        <v>348000</v>
      </c>
      <c r="H57" s="13">
        <v>343000</v>
      </c>
      <c r="I57" s="29">
        <f t="shared" si="0"/>
        <v>200.70216500877706</v>
      </c>
      <c r="J57" s="11">
        <v>63692</v>
      </c>
      <c r="K57" s="11" t="s">
        <v>48</v>
      </c>
      <c r="L57" s="11" t="s">
        <v>172</v>
      </c>
      <c r="M57" s="15" t="s">
        <v>45</v>
      </c>
      <c r="N57" s="15">
        <v>85739</v>
      </c>
      <c r="O57" s="15">
        <v>32.521208000000001</v>
      </c>
      <c r="P57" s="15">
        <v>-110.886302</v>
      </c>
      <c r="Q57" s="16">
        <v>1709</v>
      </c>
      <c r="R57" s="16">
        <v>2004</v>
      </c>
      <c r="S57" s="16">
        <v>2</v>
      </c>
      <c r="T57" s="17">
        <v>2</v>
      </c>
      <c r="U57" s="11" t="s">
        <v>41</v>
      </c>
      <c r="V57" s="16">
        <v>1</v>
      </c>
      <c r="W57" s="11" t="s">
        <v>185</v>
      </c>
      <c r="X57" s="11" t="s">
        <v>186</v>
      </c>
      <c r="Y57" s="15" t="s">
        <v>40</v>
      </c>
      <c r="Z57" s="11"/>
    </row>
    <row r="58" spans="1:26" x14ac:dyDescent="0.25">
      <c r="A58" s="16">
        <v>22531261</v>
      </c>
      <c r="B58" s="11">
        <v>45999</v>
      </c>
      <c r="C58" s="11">
        <v>46037</v>
      </c>
      <c r="D58" s="11">
        <v>46020</v>
      </c>
      <c r="E58" s="12" t="s">
        <v>37</v>
      </c>
      <c r="F58" s="13">
        <v>425000</v>
      </c>
      <c r="G58" s="13">
        <v>425000</v>
      </c>
      <c r="H58" s="13">
        <v>425000</v>
      </c>
      <c r="I58" s="29">
        <f t="shared" si="0"/>
        <v>283.1445702864757</v>
      </c>
      <c r="J58" s="11">
        <v>63352</v>
      </c>
      <c r="K58" s="11" t="s">
        <v>48</v>
      </c>
      <c r="L58" s="11" t="s">
        <v>169</v>
      </c>
      <c r="M58" s="15" t="s">
        <v>40</v>
      </c>
      <c r="N58" s="15">
        <v>85739</v>
      </c>
      <c r="O58" s="15">
        <v>32.521217</v>
      </c>
      <c r="P58" s="15">
        <v>-110.890548</v>
      </c>
      <c r="Q58" s="16">
        <v>1501</v>
      </c>
      <c r="R58" s="16">
        <v>2003</v>
      </c>
      <c r="S58" s="16">
        <v>2</v>
      </c>
      <c r="T58" s="17">
        <v>2</v>
      </c>
      <c r="U58" s="11" t="s">
        <v>41</v>
      </c>
      <c r="V58" s="16">
        <v>1</v>
      </c>
      <c r="W58" s="11" t="s">
        <v>187</v>
      </c>
      <c r="X58" s="11" t="s">
        <v>188</v>
      </c>
      <c r="Y58" s="15" t="s">
        <v>40</v>
      </c>
      <c r="Z58" s="11"/>
    </row>
    <row r="59" spans="1:26" x14ac:dyDescent="0.25">
      <c r="A59" s="22">
        <v>22523060</v>
      </c>
      <c r="B59" s="18">
        <v>45904</v>
      </c>
      <c r="C59" s="18">
        <v>46050</v>
      </c>
      <c r="D59" s="18">
        <v>46042</v>
      </c>
      <c r="E59" s="19" t="s">
        <v>37</v>
      </c>
      <c r="F59" s="20">
        <v>379000</v>
      </c>
      <c r="G59" s="13">
        <v>349000</v>
      </c>
      <c r="H59" s="20">
        <v>345000</v>
      </c>
      <c r="I59" s="29">
        <f t="shared" si="0"/>
        <v>201.87244002340549</v>
      </c>
      <c r="J59" s="18">
        <v>63711</v>
      </c>
      <c r="K59" s="18" t="s">
        <v>48</v>
      </c>
      <c r="L59" s="18" t="s">
        <v>189</v>
      </c>
      <c r="M59" s="21" t="s">
        <v>45</v>
      </c>
      <c r="N59" s="21">
        <v>85739</v>
      </c>
      <c r="O59" s="21">
        <v>32.521523000000002</v>
      </c>
      <c r="P59" s="21">
        <v>-110.886088</v>
      </c>
      <c r="Q59" s="22">
        <v>1709</v>
      </c>
      <c r="R59" s="19">
        <v>2003</v>
      </c>
      <c r="S59" s="22">
        <v>2</v>
      </c>
      <c r="T59" s="23">
        <v>2</v>
      </c>
      <c r="U59" s="18" t="s">
        <v>41</v>
      </c>
      <c r="V59" s="22">
        <v>1</v>
      </c>
      <c r="W59" s="18" t="s">
        <v>190</v>
      </c>
      <c r="X59" s="18" t="s">
        <v>191</v>
      </c>
      <c r="Y59" s="21" t="s">
        <v>40</v>
      </c>
      <c r="Z59" s="18"/>
    </row>
    <row r="60" spans="1:26" x14ac:dyDescent="0.25">
      <c r="A60" s="16">
        <v>22531189</v>
      </c>
      <c r="B60" s="11">
        <v>45996</v>
      </c>
      <c r="C60" s="11">
        <v>46064</v>
      </c>
      <c r="D60" s="11">
        <v>46020</v>
      </c>
      <c r="E60" s="12" t="s">
        <v>37</v>
      </c>
      <c r="F60" s="13">
        <v>499900</v>
      </c>
      <c r="G60" s="13">
        <v>499900</v>
      </c>
      <c r="H60" s="13">
        <v>493000</v>
      </c>
      <c r="I60" s="29">
        <f t="shared" si="0"/>
        <v>277.27784026996625</v>
      </c>
      <c r="J60" s="11">
        <v>39057</v>
      </c>
      <c r="K60" s="11" t="s">
        <v>38</v>
      </c>
      <c r="L60" s="11" t="s">
        <v>192</v>
      </c>
      <c r="M60" s="15" t="s">
        <v>45</v>
      </c>
      <c r="N60" s="15">
        <v>85739</v>
      </c>
      <c r="O60" s="15">
        <v>32.521897000000003</v>
      </c>
      <c r="P60" s="15">
        <v>-110.897267</v>
      </c>
      <c r="Q60" s="16">
        <v>1778</v>
      </c>
      <c r="R60" s="16">
        <v>2003</v>
      </c>
      <c r="S60" s="16">
        <v>2</v>
      </c>
      <c r="T60" s="17">
        <v>2</v>
      </c>
      <c r="U60" s="11" t="s">
        <v>41</v>
      </c>
      <c r="V60" s="16">
        <v>1</v>
      </c>
      <c r="W60" s="11" t="s">
        <v>193</v>
      </c>
      <c r="X60" s="11" t="s">
        <v>194</v>
      </c>
      <c r="Y60" s="15" t="s">
        <v>40</v>
      </c>
      <c r="Z60" s="11"/>
    </row>
    <row r="61" spans="1:26" x14ac:dyDescent="0.25">
      <c r="A61" s="22">
        <v>22603821</v>
      </c>
      <c r="B61" s="18">
        <v>46063</v>
      </c>
      <c r="C61" s="18">
        <v>46112</v>
      </c>
      <c r="D61" s="18">
        <v>46112</v>
      </c>
      <c r="E61" s="19" t="s">
        <v>37</v>
      </c>
      <c r="F61" s="20">
        <v>355000</v>
      </c>
      <c r="G61" s="13">
        <v>355000</v>
      </c>
      <c r="H61" s="20">
        <v>355000</v>
      </c>
      <c r="I61" s="29">
        <f t="shared" si="0"/>
        <v>233.86034255599472</v>
      </c>
      <c r="J61" s="18">
        <v>39050</v>
      </c>
      <c r="K61" s="18" t="s">
        <v>38</v>
      </c>
      <c r="L61" s="18" t="s">
        <v>195</v>
      </c>
      <c r="M61" s="21" t="s">
        <v>45</v>
      </c>
      <c r="N61" s="21">
        <v>85739</v>
      </c>
      <c r="O61" s="21">
        <v>32.521963</v>
      </c>
      <c r="P61" s="21">
        <v>-110.88784</v>
      </c>
      <c r="Q61" s="22">
        <v>1518</v>
      </c>
      <c r="R61" s="19">
        <v>2000</v>
      </c>
      <c r="S61" s="22">
        <v>2</v>
      </c>
      <c r="T61" s="23">
        <v>2</v>
      </c>
      <c r="U61" s="18" t="s">
        <v>41</v>
      </c>
      <c r="V61" s="22">
        <v>1</v>
      </c>
      <c r="W61" s="18" t="s">
        <v>196</v>
      </c>
      <c r="X61" s="18" t="s">
        <v>197</v>
      </c>
      <c r="Y61" s="21" t="s">
        <v>40</v>
      </c>
      <c r="Z61" s="18"/>
    </row>
    <row r="62" spans="1:26" x14ac:dyDescent="0.25">
      <c r="A62" s="22">
        <v>22523702</v>
      </c>
      <c r="B62" s="18">
        <v>45906</v>
      </c>
      <c r="C62" s="18">
        <v>46038</v>
      </c>
      <c r="D62" s="18">
        <v>46031</v>
      </c>
      <c r="E62" s="19" t="s">
        <v>37</v>
      </c>
      <c r="F62" s="20">
        <v>575000</v>
      </c>
      <c r="G62" s="13">
        <v>525000</v>
      </c>
      <c r="H62" s="20">
        <v>500000</v>
      </c>
      <c r="I62" s="29">
        <f t="shared" si="0"/>
        <v>180.57060310581437</v>
      </c>
      <c r="J62" s="18">
        <v>38996</v>
      </c>
      <c r="K62" s="18" t="s">
        <v>38</v>
      </c>
      <c r="L62" s="18" t="s">
        <v>198</v>
      </c>
      <c r="M62" s="21" t="s">
        <v>40</v>
      </c>
      <c r="N62" s="21">
        <v>85739</v>
      </c>
      <c r="O62" s="21">
        <v>32.522274000000003</v>
      </c>
      <c r="P62" s="21">
        <v>-110.89987600000001</v>
      </c>
      <c r="Q62" s="22">
        <v>2769</v>
      </c>
      <c r="R62" s="19">
        <v>2002</v>
      </c>
      <c r="S62" s="22">
        <v>3</v>
      </c>
      <c r="T62" s="23">
        <v>2.5</v>
      </c>
      <c r="U62" s="18" t="s">
        <v>41</v>
      </c>
      <c r="V62" s="22">
        <v>1</v>
      </c>
      <c r="W62" s="18" t="s">
        <v>199</v>
      </c>
      <c r="X62" s="18" t="s">
        <v>200</v>
      </c>
      <c r="Y62" s="21" t="s">
        <v>40</v>
      </c>
      <c r="Z62" s="18"/>
    </row>
    <row r="63" spans="1:26" x14ac:dyDescent="0.25">
      <c r="A63" s="16">
        <v>22528276</v>
      </c>
      <c r="B63" s="11">
        <v>45960</v>
      </c>
      <c r="C63" s="11">
        <v>45999</v>
      </c>
      <c r="D63" s="11">
        <v>45997</v>
      </c>
      <c r="E63" s="12" t="s">
        <v>37</v>
      </c>
      <c r="F63" s="13">
        <v>379000</v>
      </c>
      <c r="G63" s="13">
        <v>379000</v>
      </c>
      <c r="H63" s="13">
        <v>368000</v>
      </c>
      <c r="I63" s="29">
        <f t="shared" si="0"/>
        <v>254.14364640883977</v>
      </c>
      <c r="J63" s="11">
        <v>38973</v>
      </c>
      <c r="K63" s="11" t="s">
        <v>38</v>
      </c>
      <c r="L63" s="11" t="s">
        <v>201</v>
      </c>
      <c r="M63" s="15" t="s">
        <v>45</v>
      </c>
      <c r="N63" s="15">
        <v>85739</v>
      </c>
      <c r="O63" s="15">
        <v>32.522362999999999</v>
      </c>
      <c r="P63" s="15">
        <v>-110.885201</v>
      </c>
      <c r="Q63" s="16">
        <v>1448</v>
      </c>
      <c r="R63" s="16">
        <v>1999</v>
      </c>
      <c r="S63" s="16">
        <v>2</v>
      </c>
      <c r="T63" s="17">
        <v>2</v>
      </c>
      <c r="U63" s="11" t="s">
        <v>41</v>
      </c>
      <c r="V63" s="16">
        <v>1</v>
      </c>
      <c r="W63" s="11" t="s">
        <v>202</v>
      </c>
      <c r="X63" s="11" t="s">
        <v>203</v>
      </c>
      <c r="Y63" s="15" t="s">
        <v>40</v>
      </c>
      <c r="Z63" s="11"/>
    </row>
    <row r="64" spans="1:26" x14ac:dyDescent="0.25">
      <c r="A64" s="16">
        <v>22532141</v>
      </c>
      <c r="B64" s="11">
        <v>46010</v>
      </c>
      <c r="C64" s="11">
        <v>46099</v>
      </c>
      <c r="D64" s="11">
        <v>46091</v>
      </c>
      <c r="E64" s="12" t="s">
        <v>37</v>
      </c>
      <c r="F64" s="13">
        <v>579000</v>
      </c>
      <c r="G64" s="13">
        <v>579000</v>
      </c>
      <c r="H64" s="13">
        <v>579000</v>
      </c>
      <c r="I64" s="29">
        <f t="shared" si="0"/>
        <v>183.75119009838147</v>
      </c>
      <c r="J64" s="11">
        <v>38972</v>
      </c>
      <c r="K64" s="11" t="s">
        <v>38</v>
      </c>
      <c r="L64" s="11" t="s">
        <v>198</v>
      </c>
      <c r="M64" s="15" t="s">
        <v>45</v>
      </c>
      <c r="N64" s="15">
        <v>85739</v>
      </c>
      <c r="O64" s="15">
        <v>32.522488000000003</v>
      </c>
      <c r="P64" s="15">
        <v>-110.899883</v>
      </c>
      <c r="Q64" s="16">
        <v>3151</v>
      </c>
      <c r="R64" s="16">
        <v>2002</v>
      </c>
      <c r="S64" s="16">
        <v>3</v>
      </c>
      <c r="T64" s="17">
        <v>2.5</v>
      </c>
      <c r="U64" s="11" t="s">
        <v>41</v>
      </c>
      <c r="V64" s="16">
        <v>2</v>
      </c>
      <c r="W64" s="11" t="s">
        <v>204</v>
      </c>
      <c r="X64" s="11" t="s">
        <v>205</v>
      </c>
      <c r="Y64" s="15" t="s">
        <v>40</v>
      </c>
      <c r="Z64" s="11"/>
    </row>
    <row r="65" spans="1:26" x14ac:dyDescent="0.25">
      <c r="A65" s="16">
        <v>22531819</v>
      </c>
      <c r="B65" s="11">
        <v>46006</v>
      </c>
      <c r="C65" s="11">
        <v>46090</v>
      </c>
      <c r="D65" s="11">
        <v>46090</v>
      </c>
      <c r="E65" s="12" t="s">
        <v>37</v>
      </c>
      <c r="F65" s="13">
        <v>339000</v>
      </c>
      <c r="G65" s="13">
        <v>339000</v>
      </c>
      <c r="H65" s="13">
        <v>328000</v>
      </c>
      <c r="I65" s="29">
        <f t="shared" si="0"/>
        <v>209.18367346938774</v>
      </c>
      <c r="J65" s="11">
        <v>38981</v>
      </c>
      <c r="K65" s="11" t="s">
        <v>38</v>
      </c>
      <c r="L65" s="11" t="s">
        <v>206</v>
      </c>
      <c r="M65" s="15" t="s">
        <v>45</v>
      </c>
      <c r="N65" s="15">
        <v>85739</v>
      </c>
      <c r="O65" s="15">
        <v>32.522697000000001</v>
      </c>
      <c r="P65" s="15">
        <v>-110.88766200000001</v>
      </c>
      <c r="Q65" s="16">
        <v>1568</v>
      </c>
      <c r="R65" s="16">
        <v>2000</v>
      </c>
      <c r="S65" s="16">
        <v>2</v>
      </c>
      <c r="T65" s="17">
        <v>2</v>
      </c>
      <c r="U65" s="11" t="s">
        <v>41</v>
      </c>
      <c r="V65" s="16">
        <v>1</v>
      </c>
      <c r="W65" s="11" t="s">
        <v>207</v>
      </c>
      <c r="X65" s="11" t="s">
        <v>208</v>
      </c>
      <c r="Y65" s="15" t="s">
        <v>40</v>
      </c>
      <c r="Z65" s="11"/>
    </row>
    <row r="66" spans="1:26" x14ac:dyDescent="0.25">
      <c r="A66" s="16">
        <v>22516973</v>
      </c>
      <c r="B66" s="11">
        <v>45831</v>
      </c>
      <c r="C66" s="11">
        <v>46045</v>
      </c>
      <c r="D66" s="11">
        <v>46022</v>
      </c>
      <c r="E66" s="12" t="s">
        <v>37</v>
      </c>
      <c r="F66" s="13">
        <v>565000</v>
      </c>
      <c r="G66" s="13">
        <v>425000</v>
      </c>
      <c r="H66" s="13">
        <v>425000</v>
      </c>
      <c r="I66" s="29">
        <f t="shared" ref="I66:I129" si="1">H66/Q66</f>
        <v>182.48175182481751</v>
      </c>
      <c r="J66" s="11">
        <v>62743</v>
      </c>
      <c r="K66" s="11" t="s">
        <v>48</v>
      </c>
      <c r="L66" s="11" t="s">
        <v>209</v>
      </c>
      <c r="M66" s="15" t="s">
        <v>45</v>
      </c>
      <c r="N66" s="15">
        <v>85739</v>
      </c>
      <c r="O66" s="15">
        <v>32.522821</v>
      </c>
      <c r="P66" s="15">
        <v>-110.897319</v>
      </c>
      <c r="Q66" s="16">
        <v>2329</v>
      </c>
      <c r="R66" s="16">
        <v>2002</v>
      </c>
      <c r="S66" s="16">
        <v>2</v>
      </c>
      <c r="T66" s="17">
        <v>2</v>
      </c>
      <c r="U66" s="11" t="s">
        <v>41</v>
      </c>
      <c r="V66" s="16">
        <v>1</v>
      </c>
      <c r="W66" s="11" t="s">
        <v>210</v>
      </c>
      <c r="X66" s="11" t="s">
        <v>211</v>
      </c>
      <c r="Y66" s="15" t="s">
        <v>40</v>
      </c>
      <c r="Z66" s="11"/>
    </row>
    <row r="67" spans="1:26" x14ac:dyDescent="0.25">
      <c r="A67" s="16">
        <v>22526933</v>
      </c>
      <c r="B67" s="11">
        <v>45943</v>
      </c>
      <c r="C67" s="11">
        <v>46111</v>
      </c>
      <c r="D67" s="11">
        <v>46104</v>
      </c>
      <c r="E67" s="12" t="s">
        <v>37</v>
      </c>
      <c r="F67" s="13">
        <v>439000</v>
      </c>
      <c r="G67" s="13">
        <v>424000</v>
      </c>
      <c r="H67" s="13">
        <v>420000</v>
      </c>
      <c r="I67" s="29">
        <f t="shared" si="1"/>
        <v>230.01095290251916</v>
      </c>
      <c r="J67" s="11">
        <v>38858</v>
      </c>
      <c r="K67" s="11" t="s">
        <v>38</v>
      </c>
      <c r="L67" s="11" t="s">
        <v>212</v>
      </c>
      <c r="M67" s="15" t="s">
        <v>40</v>
      </c>
      <c r="N67" s="15">
        <v>85739</v>
      </c>
      <c r="O67" s="15">
        <v>32.523553</v>
      </c>
      <c r="P67" s="15">
        <v>-110.89301500000001</v>
      </c>
      <c r="Q67" s="16">
        <v>1826</v>
      </c>
      <c r="R67" s="16">
        <v>1999</v>
      </c>
      <c r="S67" s="16">
        <v>2</v>
      </c>
      <c r="T67" s="17">
        <v>2</v>
      </c>
      <c r="U67" s="11" t="s">
        <v>41</v>
      </c>
      <c r="V67" s="16">
        <v>1</v>
      </c>
      <c r="W67" s="11" t="s">
        <v>213</v>
      </c>
      <c r="X67" s="11" t="s">
        <v>214</v>
      </c>
      <c r="Y67" s="15" t="s">
        <v>40</v>
      </c>
      <c r="Z67" s="11"/>
    </row>
    <row r="68" spans="1:26" x14ac:dyDescent="0.25">
      <c r="A68" s="16">
        <v>22603472</v>
      </c>
      <c r="B68" s="11">
        <v>46059</v>
      </c>
      <c r="C68" s="11">
        <v>46139</v>
      </c>
      <c r="D68" s="11">
        <v>46125</v>
      </c>
      <c r="E68" s="12" t="s">
        <v>37</v>
      </c>
      <c r="F68" s="13">
        <v>499000</v>
      </c>
      <c r="G68" s="13">
        <v>489000</v>
      </c>
      <c r="H68" s="13">
        <v>494000</v>
      </c>
      <c r="I68" s="29">
        <f t="shared" si="1"/>
        <v>246.50698602794412</v>
      </c>
      <c r="J68" s="11">
        <v>38845</v>
      </c>
      <c r="K68" s="11" t="s">
        <v>38</v>
      </c>
      <c r="L68" s="11" t="s">
        <v>215</v>
      </c>
      <c r="M68" s="15" t="s">
        <v>45</v>
      </c>
      <c r="N68" s="15">
        <v>85739</v>
      </c>
      <c r="O68" s="15">
        <v>32.523600000000002</v>
      </c>
      <c r="P68" s="15">
        <v>-110.893422</v>
      </c>
      <c r="Q68" s="16">
        <v>2004</v>
      </c>
      <c r="R68" s="16">
        <v>1999</v>
      </c>
      <c r="S68" s="16">
        <v>2</v>
      </c>
      <c r="T68" s="17">
        <v>2</v>
      </c>
      <c r="U68" s="11" t="s">
        <v>41</v>
      </c>
      <c r="V68" s="16">
        <v>1</v>
      </c>
      <c r="W68" s="11" t="s">
        <v>216</v>
      </c>
      <c r="X68" s="11" t="s">
        <v>217</v>
      </c>
      <c r="Y68" s="15" t="s">
        <v>40</v>
      </c>
      <c r="Z68" s="11"/>
    </row>
    <row r="69" spans="1:26" x14ac:dyDescent="0.25">
      <c r="A69" s="16">
        <v>22523095</v>
      </c>
      <c r="B69" s="11">
        <v>45904</v>
      </c>
      <c r="C69" s="11">
        <v>46064</v>
      </c>
      <c r="D69" s="11">
        <v>46055</v>
      </c>
      <c r="E69" s="12" t="s">
        <v>37</v>
      </c>
      <c r="F69" s="13">
        <v>439500</v>
      </c>
      <c r="G69" s="13">
        <v>429500</v>
      </c>
      <c r="H69" s="13">
        <v>401000</v>
      </c>
      <c r="I69" s="29">
        <f t="shared" si="1"/>
        <v>203.55329949238578</v>
      </c>
      <c r="J69" s="11">
        <v>62654</v>
      </c>
      <c r="K69" s="11" t="s">
        <v>48</v>
      </c>
      <c r="L69" s="11" t="s">
        <v>218</v>
      </c>
      <c r="M69" s="15" t="s">
        <v>40</v>
      </c>
      <c r="N69" s="15">
        <v>85739</v>
      </c>
      <c r="O69" s="15">
        <v>32.524036000000002</v>
      </c>
      <c r="P69" s="15">
        <v>-110.8982</v>
      </c>
      <c r="Q69" s="16">
        <v>1970</v>
      </c>
      <c r="R69" s="16">
        <v>2000</v>
      </c>
      <c r="S69" s="16">
        <v>2</v>
      </c>
      <c r="T69" s="17">
        <v>2</v>
      </c>
      <c r="U69" s="11" t="s">
        <v>41</v>
      </c>
      <c r="V69" s="16">
        <v>1</v>
      </c>
      <c r="W69" s="11" t="s">
        <v>219</v>
      </c>
      <c r="X69" s="11" t="s">
        <v>220</v>
      </c>
      <c r="Y69" s="15" t="s">
        <v>40</v>
      </c>
      <c r="Z69" s="11"/>
    </row>
    <row r="70" spans="1:26" x14ac:dyDescent="0.25">
      <c r="A70" s="16">
        <v>22530881</v>
      </c>
      <c r="B70" s="11">
        <v>45994</v>
      </c>
      <c r="C70" s="11">
        <v>46111</v>
      </c>
      <c r="D70" s="11">
        <v>46073</v>
      </c>
      <c r="E70" s="12" t="s">
        <v>37</v>
      </c>
      <c r="F70" s="13">
        <v>649000</v>
      </c>
      <c r="G70" s="13">
        <v>649000</v>
      </c>
      <c r="H70" s="13">
        <v>615000</v>
      </c>
      <c r="I70" s="29">
        <f t="shared" si="1"/>
        <v>253.60824742268042</v>
      </c>
      <c r="J70" s="11">
        <v>62165</v>
      </c>
      <c r="K70" s="11" t="s">
        <v>48</v>
      </c>
      <c r="L70" s="11" t="s">
        <v>221</v>
      </c>
      <c r="M70" s="15" t="s">
        <v>40</v>
      </c>
      <c r="N70" s="15">
        <v>85739</v>
      </c>
      <c r="O70" s="15">
        <v>32.524197999999998</v>
      </c>
      <c r="P70" s="15">
        <v>-110.903233</v>
      </c>
      <c r="Q70" s="16">
        <v>2425</v>
      </c>
      <c r="R70" s="16">
        <v>2002</v>
      </c>
      <c r="S70" s="16">
        <v>3</v>
      </c>
      <c r="T70" s="17">
        <v>2</v>
      </c>
      <c r="U70" s="11" t="s">
        <v>41</v>
      </c>
      <c r="V70" s="16">
        <v>1</v>
      </c>
      <c r="W70" s="11" t="s">
        <v>222</v>
      </c>
      <c r="X70" s="11" t="s">
        <v>223</v>
      </c>
      <c r="Y70" s="15" t="s">
        <v>40</v>
      </c>
      <c r="Z70" s="11"/>
    </row>
    <row r="71" spans="1:26" x14ac:dyDescent="0.25">
      <c r="A71" s="16">
        <v>22523810</v>
      </c>
      <c r="B71" s="11">
        <v>45912</v>
      </c>
      <c r="C71" s="11">
        <v>46113</v>
      </c>
      <c r="D71" s="11">
        <v>46106</v>
      </c>
      <c r="E71" s="12" t="s">
        <v>37</v>
      </c>
      <c r="F71" s="13">
        <v>649000</v>
      </c>
      <c r="G71" s="13">
        <v>599000</v>
      </c>
      <c r="H71" s="13">
        <v>550000</v>
      </c>
      <c r="I71" s="29">
        <f t="shared" si="1"/>
        <v>137.53438359589899</v>
      </c>
      <c r="J71" s="11">
        <v>62105</v>
      </c>
      <c r="K71" s="11" t="s">
        <v>48</v>
      </c>
      <c r="L71" s="11" t="s">
        <v>221</v>
      </c>
      <c r="M71" s="15" t="s">
        <v>40</v>
      </c>
      <c r="N71" s="15">
        <v>85739</v>
      </c>
      <c r="O71" s="15">
        <v>32.524214000000001</v>
      </c>
      <c r="P71" s="15">
        <v>-110.90389500000001</v>
      </c>
      <c r="Q71" s="16">
        <v>3999</v>
      </c>
      <c r="R71" s="16">
        <v>2003</v>
      </c>
      <c r="S71" s="16">
        <v>3</v>
      </c>
      <c r="T71" s="17">
        <v>2.5</v>
      </c>
      <c r="U71" s="11" t="s">
        <v>41</v>
      </c>
      <c r="V71" s="16">
        <v>2</v>
      </c>
      <c r="W71" s="11" t="s">
        <v>224</v>
      </c>
      <c r="X71" s="11" t="s">
        <v>225</v>
      </c>
      <c r="Y71" s="15" t="s">
        <v>40</v>
      </c>
      <c r="Z71" s="11"/>
    </row>
    <row r="72" spans="1:26" x14ac:dyDescent="0.25">
      <c r="A72" s="22">
        <v>22608330</v>
      </c>
      <c r="B72" s="18">
        <v>46112</v>
      </c>
      <c r="C72" s="18">
        <v>46168</v>
      </c>
      <c r="D72" s="18">
        <v>46157</v>
      </c>
      <c r="E72" s="19" t="s">
        <v>37</v>
      </c>
      <c r="F72" s="20">
        <v>429000</v>
      </c>
      <c r="G72" s="13">
        <v>429000</v>
      </c>
      <c r="H72" s="20">
        <v>425000</v>
      </c>
      <c r="I72" s="29">
        <f t="shared" si="1"/>
        <v>216.39511201629327</v>
      </c>
      <c r="J72" s="18">
        <v>62060</v>
      </c>
      <c r="K72" s="18" t="s">
        <v>48</v>
      </c>
      <c r="L72" s="18" t="s">
        <v>221</v>
      </c>
      <c r="M72" s="21" t="s">
        <v>45</v>
      </c>
      <c r="N72" s="21">
        <v>85739</v>
      </c>
      <c r="O72" s="21">
        <v>32.524624000000003</v>
      </c>
      <c r="P72" s="21">
        <v>-110.90440599999999</v>
      </c>
      <c r="Q72" s="22">
        <v>1964</v>
      </c>
      <c r="R72" s="19">
        <v>2002</v>
      </c>
      <c r="S72" s="22">
        <v>2</v>
      </c>
      <c r="T72" s="23">
        <v>2</v>
      </c>
      <c r="U72" s="18" t="s">
        <v>41</v>
      </c>
      <c r="V72" s="22">
        <v>1</v>
      </c>
      <c r="W72" s="18" t="s">
        <v>226</v>
      </c>
      <c r="X72" s="18" t="s">
        <v>227</v>
      </c>
      <c r="Y72" s="21" t="s">
        <v>40</v>
      </c>
      <c r="Z72" s="18"/>
    </row>
    <row r="73" spans="1:26" x14ac:dyDescent="0.25">
      <c r="A73" s="16">
        <v>22522197</v>
      </c>
      <c r="B73" s="11">
        <v>45893</v>
      </c>
      <c r="C73" s="11">
        <v>46093</v>
      </c>
      <c r="D73" s="11">
        <v>46060</v>
      </c>
      <c r="E73" s="12" t="s">
        <v>37</v>
      </c>
      <c r="F73" s="13">
        <v>365000</v>
      </c>
      <c r="G73" s="13">
        <v>355000</v>
      </c>
      <c r="H73" s="13">
        <v>347000</v>
      </c>
      <c r="I73" s="29">
        <f t="shared" si="1"/>
        <v>185.95927116827437</v>
      </c>
      <c r="J73" s="11">
        <v>38728</v>
      </c>
      <c r="K73" s="11" t="s">
        <v>38</v>
      </c>
      <c r="L73" s="11" t="s">
        <v>228</v>
      </c>
      <c r="M73" s="15" t="s">
        <v>40</v>
      </c>
      <c r="N73" s="15">
        <v>85739</v>
      </c>
      <c r="O73" s="15">
        <v>32.524934999999999</v>
      </c>
      <c r="P73" s="15">
        <v>-110.88902899999999</v>
      </c>
      <c r="Q73" s="16">
        <v>1866</v>
      </c>
      <c r="R73" s="16">
        <v>1998</v>
      </c>
      <c r="S73" s="16">
        <v>2</v>
      </c>
      <c r="T73" s="17">
        <v>2</v>
      </c>
      <c r="U73" s="11" t="s">
        <v>41</v>
      </c>
      <c r="V73" s="16">
        <v>1</v>
      </c>
      <c r="W73" s="11" t="s">
        <v>229</v>
      </c>
      <c r="X73" s="11" t="s">
        <v>230</v>
      </c>
      <c r="Y73" s="15" t="s">
        <v>40</v>
      </c>
      <c r="Z73" s="11"/>
    </row>
    <row r="74" spans="1:26" x14ac:dyDescent="0.25">
      <c r="A74" s="16">
        <v>22502359</v>
      </c>
      <c r="B74" s="11">
        <v>45681</v>
      </c>
      <c r="C74" s="11">
        <v>46006</v>
      </c>
      <c r="D74" s="11">
        <v>46002</v>
      </c>
      <c r="E74" s="12" t="s">
        <v>37</v>
      </c>
      <c r="F74" s="13">
        <v>899000</v>
      </c>
      <c r="G74" s="13">
        <v>799000</v>
      </c>
      <c r="H74" s="13">
        <v>700000</v>
      </c>
      <c r="I74" s="29">
        <f t="shared" si="1"/>
        <v>220.12578616352201</v>
      </c>
      <c r="J74" s="11">
        <v>63111</v>
      </c>
      <c r="K74" s="11" t="s">
        <v>48</v>
      </c>
      <c r="L74" s="11" t="s">
        <v>231</v>
      </c>
      <c r="M74" s="15" t="s">
        <v>45</v>
      </c>
      <c r="N74" s="15">
        <v>85739</v>
      </c>
      <c r="O74" s="15">
        <v>32.52561</v>
      </c>
      <c r="P74" s="15">
        <v>-110.893019</v>
      </c>
      <c r="Q74" s="16">
        <v>3180</v>
      </c>
      <c r="R74" s="16">
        <v>1999</v>
      </c>
      <c r="S74" s="16">
        <v>4</v>
      </c>
      <c r="T74" s="17">
        <v>3.5</v>
      </c>
      <c r="U74" s="11" t="s">
        <v>41</v>
      </c>
      <c r="V74" s="16">
        <v>2</v>
      </c>
      <c r="W74" s="11" t="s">
        <v>232</v>
      </c>
      <c r="X74" s="11" t="s">
        <v>233</v>
      </c>
      <c r="Y74" s="15" t="s">
        <v>40</v>
      </c>
      <c r="Z74" s="11"/>
    </row>
    <row r="75" spans="1:26" x14ac:dyDescent="0.25">
      <c r="A75" s="16">
        <v>22601001</v>
      </c>
      <c r="B75" s="11">
        <v>46034</v>
      </c>
      <c r="C75" s="11">
        <v>46150</v>
      </c>
      <c r="D75" s="11">
        <v>46150</v>
      </c>
      <c r="E75" s="12" t="s">
        <v>37</v>
      </c>
      <c r="F75" s="13">
        <v>399950</v>
      </c>
      <c r="G75" s="13">
        <v>374500</v>
      </c>
      <c r="H75" s="13">
        <v>359000</v>
      </c>
      <c r="I75" s="29">
        <f t="shared" si="1"/>
        <v>155.34400692340978</v>
      </c>
      <c r="J75" s="11">
        <v>63722</v>
      </c>
      <c r="K75" s="11" t="s">
        <v>48</v>
      </c>
      <c r="L75" s="11" t="s">
        <v>234</v>
      </c>
      <c r="M75" s="15" t="s">
        <v>45</v>
      </c>
      <c r="N75" s="15">
        <v>85739</v>
      </c>
      <c r="O75" s="15">
        <v>32.525804999999998</v>
      </c>
      <c r="P75" s="15">
        <v>-110.885751</v>
      </c>
      <c r="Q75" s="16">
        <v>2311</v>
      </c>
      <c r="R75" s="16">
        <v>2000</v>
      </c>
      <c r="S75" s="16">
        <v>2</v>
      </c>
      <c r="T75" s="17">
        <v>2</v>
      </c>
      <c r="U75" s="11" t="s">
        <v>41</v>
      </c>
      <c r="V75" s="16">
        <v>1</v>
      </c>
      <c r="W75" s="11" t="s">
        <v>235</v>
      </c>
      <c r="X75" s="11" t="s">
        <v>236</v>
      </c>
      <c r="Y75" s="15" t="s">
        <v>40</v>
      </c>
      <c r="Z75" s="11"/>
    </row>
    <row r="76" spans="1:26" x14ac:dyDescent="0.25">
      <c r="A76" s="16">
        <v>22603487</v>
      </c>
      <c r="B76" s="11">
        <v>46059</v>
      </c>
      <c r="C76" s="11">
        <v>46126</v>
      </c>
      <c r="D76" s="11">
        <v>46111</v>
      </c>
      <c r="E76" s="12" t="s">
        <v>37</v>
      </c>
      <c r="F76" s="13">
        <v>650000</v>
      </c>
      <c r="G76" s="13">
        <v>625000</v>
      </c>
      <c r="H76" s="13">
        <v>625000</v>
      </c>
      <c r="I76" s="29">
        <f t="shared" si="1"/>
        <v>228.77013177159591</v>
      </c>
      <c r="J76" s="11">
        <v>64671</v>
      </c>
      <c r="K76" s="11" t="s">
        <v>48</v>
      </c>
      <c r="L76" s="11" t="s">
        <v>237</v>
      </c>
      <c r="M76" s="15" t="s">
        <v>45</v>
      </c>
      <c r="N76" s="15">
        <v>85739</v>
      </c>
      <c r="O76" s="15">
        <v>32.526389000000002</v>
      </c>
      <c r="P76" s="15">
        <v>-110.876564</v>
      </c>
      <c r="Q76" s="16">
        <v>2732</v>
      </c>
      <c r="R76" s="16">
        <v>1991</v>
      </c>
      <c r="S76" s="16">
        <v>2</v>
      </c>
      <c r="T76" s="17">
        <v>2.5</v>
      </c>
      <c r="U76" s="11" t="s">
        <v>41</v>
      </c>
      <c r="V76" s="16">
        <v>1</v>
      </c>
      <c r="W76" s="11" t="s">
        <v>238</v>
      </c>
      <c r="X76" s="11" t="s">
        <v>239</v>
      </c>
      <c r="Y76" s="15" t="s">
        <v>40</v>
      </c>
      <c r="Z76" s="11"/>
    </row>
    <row r="77" spans="1:26" x14ac:dyDescent="0.25">
      <c r="A77" s="16">
        <v>22527857</v>
      </c>
      <c r="B77" s="11">
        <v>45957</v>
      </c>
      <c r="C77" s="11">
        <v>46079</v>
      </c>
      <c r="D77" s="11">
        <v>46073</v>
      </c>
      <c r="E77" s="12" t="s">
        <v>37</v>
      </c>
      <c r="F77" s="13">
        <v>699000</v>
      </c>
      <c r="G77" s="13">
        <v>625000</v>
      </c>
      <c r="H77" s="13">
        <v>613000</v>
      </c>
      <c r="I77" s="29">
        <f t="shared" si="1"/>
        <v>187.63391490664219</v>
      </c>
      <c r="J77" s="11">
        <v>62239</v>
      </c>
      <c r="K77" s="11" t="s">
        <v>48</v>
      </c>
      <c r="L77" s="11" t="s">
        <v>240</v>
      </c>
      <c r="M77" s="15" t="s">
        <v>40</v>
      </c>
      <c r="N77" s="15">
        <v>85739</v>
      </c>
      <c r="O77" s="15">
        <v>32.526522</v>
      </c>
      <c r="P77" s="15">
        <v>-110.90241399999999</v>
      </c>
      <c r="Q77" s="16">
        <v>3267</v>
      </c>
      <c r="R77" s="16">
        <v>2001</v>
      </c>
      <c r="S77" s="16">
        <v>3</v>
      </c>
      <c r="T77" s="17">
        <v>2.5</v>
      </c>
      <c r="U77" s="11" t="s">
        <v>41</v>
      </c>
      <c r="V77" s="16">
        <v>2</v>
      </c>
      <c r="W77" s="11" t="s">
        <v>241</v>
      </c>
      <c r="X77" s="11" t="s">
        <v>242</v>
      </c>
      <c r="Y77" s="15" t="s">
        <v>40</v>
      </c>
      <c r="Z77" s="11"/>
    </row>
    <row r="78" spans="1:26" x14ac:dyDescent="0.25">
      <c r="A78" s="16">
        <v>22602704</v>
      </c>
      <c r="B78" s="11">
        <v>46050</v>
      </c>
      <c r="C78" s="11">
        <v>46127</v>
      </c>
      <c r="D78" s="11">
        <v>46127</v>
      </c>
      <c r="E78" s="12" t="s">
        <v>37</v>
      </c>
      <c r="F78" s="13">
        <v>489000</v>
      </c>
      <c r="G78" s="13">
        <v>465000</v>
      </c>
      <c r="H78" s="13">
        <v>457000</v>
      </c>
      <c r="I78" s="29">
        <f t="shared" si="1"/>
        <v>198.86858137510879</v>
      </c>
      <c r="J78" s="11">
        <v>38511</v>
      </c>
      <c r="K78" s="11" t="s">
        <v>38</v>
      </c>
      <c r="L78" s="11" t="s">
        <v>162</v>
      </c>
      <c r="M78" s="15" t="s">
        <v>45</v>
      </c>
      <c r="N78" s="15">
        <v>85739</v>
      </c>
      <c r="O78" s="15">
        <v>32.526687000000003</v>
      </c>
      <c r="P78" s="15">
        <v>-110.894041</v>
      </c>
      <c r="Q78" s="16">
        <v>2298</v>
      </c>
      <c r="R78" s="16">
        <v>1999</v>
      </c>
      <c r="S78" s="16">
        <v>2</v>
      </c>
      <c r="T78" s="17">
        <v>2</v>
      </c>
      <c r="U78" s="11" t="s">
        <v>41</v>
      </c>
      <c r="V78" s="16">
        <v>1</v>
      </c>
      <c r="W78" s="11" t="s">
        <v>243</v>
      </c>
      <c r="X78" s="11" t="s">
        <v>244</v>
      </c>
      <c r="Y78" s="15" t="s">
        <v>40</v>
      </c>
      <c r="Z78" s="11"/>
    </row>
    <row r="79" spans="1:26" x14ac:dyDescent="0.25">
      <c r="A79" s="22">
        <v>22522630</v>
      </c>
      <c r="B79" s="18">
        <v>45898</v>
      </c>
      <c r="C79" s="18">
        <v>46036</v>
      </c>
      <c r="D79" s="18">
        <v>46034</v>
      </c>
      <c r="E79" s="19" t="s">
        <v>37</v>
      </c>
      <c r="F79" s="20">
        <v>785000</v>
      </c>
      <c r="G79" s="13">
        <v>719000</v>
      </c>
      <c r="H79" s="20">
        <v>680000</v>
      </c>
      <c r="I79" s="29">
        <f t="shared" si="1"/>
        <v>246.37681159420291</v>
      </c>
      <c r="J79" s="18">
        <v>65185</v>
      </c>
      <c r="K79" s="18" t="s">
        <v>48</v>
      </c>
      <c r="L79" s="18" t="s">
        <v>245</v>
      </c>
      <c r="M79" s="21" t="s">
        <v>45</v>
      </c>
      <c r="N79" s="21">
        <v>85739</v>
      </c>
      <c r="O79" s="21">
        <v>32.526817000000001</v>
      </c>
      <c r="P79" s="21">
        <v>-110.870422</v>
      </c>
      <c r="Q79" s="22">
        <v>2760</v>
      </c>
      <c r="R79" s="19">
        <v>1991</v>
      </c>
      <c r="S79" s="22">
        <v>2</v>
      </c>
      <c r="T79" s="23">
        <v>2.5</v>
      </c>
      <c r="U79" s="18" t="s">
        <v>41</v>
      </c>
      <c r="V79" s="22">
        <v>1</v>
      </c>
      <c r="W79" s="18" t="s">
        <v>246</v>
      </c>
      <c r="X79" s="18" t="s">
        <v>247</v>
      </c>
      <c r="Y79" s="21" t="s">
        <v>40</v>
      </c>
      <c r="Z79" s="18"/>
    </row>
    <row r="80" spans="1:26" x14ac:dyDescent="0.25">
      <c r="A80" s="22">
        <v>22523534</v>
      </c>
      <c r="B80" s="18">
        <v>45909</v>
      </c>
      <c r="C80" s="18">
        <v>46111</v>
      </c>
      <c r="D80" s="18">
        <v>46104</v>
      </c>
      <c r="E80" s="19" t="s">
        <v>37</v>
      </c>
      <c r="F80" s="20">
        <v>575000</v>
      </c>
      <c r="G80" s="13">
        <v>469000</v>
      </c>
      <c r="H80" s="20">
        <v>469000</v>
      </c>
      <c r="I80" s="29">
        <f t="shared" si="1"/>
        <v>201.28755364806867</v>
      </c>
      <c r="J80" s="18">
        <v>38518</v>
      </c>
      <c r="K80" s="18" t="s">
        <v>38</v>
      </c>
      <c r="L80" s="18" t="s">
        <v>98</v>
      </c>
      <c r="M80" s="21" t="s">
        <v>40</v>
      </c>
      <c r="N80" s="21">
        <v>85739</v>
      </c>
      <c r="O80" s="21">
        <v>32.526819000000003</v>
      </c>
      <c r="P80" s="21">
        <v>-110.904706</v>
      </c>
      <c r="Q80" s="22">
        <v>2330</v>
      </c>
      <c r="R80" s="19">
        <v>2002</v>
      </c>
      <c r="S80" s="22">
        <v>2</v>
      </c>
      <c r="T80" s="23">
        <v>2</v>
      </c>
      <c r="U80" s="18" t="s">
        <v>41</v>
      </c>
      <c r="V80" s="22">
        <v>1</v>
      </c>
      <c r="W80" s="18" t="s">
        <v>248</v>
      </c>
      <c r="X80" s="18" t="s">
        <v>249</v>
      </c>
      <c r="Y80" s="21" t="s">
        <v>40</v>
      </c>
      <c r="Z80" s="18"/>
    </row>
    <row r="81" spans="1:26" x14ac:dyDescent="0.25">
      <c r="A81" s="16">
        <v>22527379</v>
      </c>
      <c r="B81" s="11">
        <v>45951</v>
      </c>
      <c r="C81" s="11">
        <v>46121</v>
      </c>
      <c r="D81" s="11">
        <v>46113</v>
      </c>
      <c r="E81" s="12" t="s">
        <v>37</v>
      </c>
      <c r="F81" s="13">
        <v>469000</v>
      </c>
      <c r="G81" s="13">
        <v>459000</v>
      </c>
      <c r="H81" s="13">
        <v>449000</v>
      </c>
      <c r="I81" s="29">
        <f t="shared" si="1"/>
        <v>243.22860238353195</v>
      </c>
      <c r="J81" s="11">
        <v>62230</v>
      </c>
      <c r="K81" s="11" t="s">
        <v>48</v>
      </c>
      <c r="L81" s="11" t="s">
        <v>240</v>
      </c>
      <c r="M81" s="15" t="s">
        <v>45</v>
      </c>
      <c r="N81" s="15">
        <v>85739</v>
      </c>
      <c r="O81" s="15">
        <v>32.526960000000003</v>
      </c>
      <c r="P81" s="15">
        <v>-110.902716</v>
      </c>
      <c r="Q81" s="16">
        <v>1846</v>
      </c>
      <c r="R81" s="16">
        <v>2002</v>
      </c>
      <c r="S81" s="16">
        <v>2</v>
      </c>
      <c r="T81" s="17">
        <v>2</v>
      </c>
      <c r="U81" s="11" t="s">
        <v>41</v>
      </c>
      <c r="V81" s="16">
        <v>1</v>
      </c>
      <c r="W81" s="11" t="s">
        <v>250</v>
      </c>
      <c r="X81" s="11" t="s">
        <v>251</v>
      </c>
      <c r="Y81" s="15" t="s">
        <v>40</v>
      </c>
      <c r="Z81" s="11"/>
    </row>
    <row r="82" spans="1:26" x14ac:dyDescent="0.25">
      <c r="A82" s="16">
        <v>22609603</v>
      </c>
      <c r="B82" s="11">
        <v>46122</v>
      </c>
      <c r="C82" s="11">
        <v>46169</v>
      </c>
      <c r="D82" s="11">
        <v>46162</v>
      </c>
      <c r="E82" s="12" t="s">
        <v>37</v>
      </c>
      <c r="F82" s="13">
        <v>439000</v>
      </c>
      <c r="G82" s="13">
        <v>439000</v>
      </c>
      <c r="H82" s="13">
        <v>416031</v>
      </c>
      <c r="I82" s="29">
        <f t="shared" si="1"/>
        <v>222.12012813667911</v>
      </c>
      <c r="J82" s="11">
        <v>65730</v>
      </c>
      <c r="K82" s="11" t="s">
        <v>48</v>
      </c>
      <c r="L82" s="11" t="s">
        <v>252</v>
      </c>
      <c r="M82" s="15" t="s">
        <v>45</v>
      </c>
      <c r="N82" s="15">
        <v>85739</v>
      </c>
      <c r="O82" s="15">
        <v>32.527051</v>
      </c>
      <c r="P82" s="15">
        <v>-110.86481999999999</v>
      </c>
      <c r="Q82" s="16">
        <v>1873</v>
      </c>
      <c r="R82" s="16">
        <v>1995</v>
      </c>
      <c r="S82" s="16">
        <v>2</v>
      </c>
      <c r="T82" s="17">
        <v>2</v>
      </c>
      <c r="U82" s="11" t="s">
        <v>41</v>
      </c>
      <c r="V82" s="16">
        <v>1</v>
      </c>
      <c r="W82" s="11" t="s">
        <v>253</v>
      </c>
      <c r="X82" s="11" t="s">
        <v>254</v>
      </c>
      <c r="Y82" s="15" t="s">
        <v>40</v>
      </c>
      <c r="Z82" s="11"/>
    </row>
    <row r="83" spans="1:26" x14ac:dyDescent="0.25">
      <c r="A83" s="22">
        <v>22528841</v>
      </c>
      <c r="B83" s="18">
        <v>45967</v>
      </c>
      <c r="C83" s="18">
        <v>46104</v>
      </c>
      <c r="D83" s="18">
        <v>46083</v>
      </c>
      <c r="E83" s="19" t="s">
        <v>37</v>
      </c>
      <c r="F83" s="20">
        <v>619000</v>
      </c>
      <c r="G83" s="13">
        <v>525000</v>
      </c>
      <c r="H83" s="20">
        <v>525000</v>
      </c>
      <c r="I83" s="29">
        <f t="shared" si="1"/>
        <v>152.57192676547515</v>
      </c>
      <c r="J83" s="18">
        <v>63429</v>
      </c>
      <c r="K83" s="18" t="s">
        <v>48</v>
      </c>
      <c r="L83" s="18" t="s">
        <v>255</v>
      </c>
      <c r="M83" s="21" t="s">
        <v>45</v>
      </c>
      <c r="N83" s="21">
        <v>85739</v>
      </c>
      <c r="O83" s="21">
        <v>32.527062999999998</v>
      </c>
      <c r="P83" s="21">
        <v>-110.88945200000001</v>
      </c>
      <c r="Q83" s="22">
        <v>3441</v>
      </c>
      <c r="R83" s="19">
        <v>1999</v>
      </c>
      <c r="S83" s="22">
        <v>5</v>
      </c>
      <c r="T83" s="23">
        <v>2.5</v>
      </c>
      <c r="U83" s="18" t="s">
        <v>41</v>
      </c>
      <c r="V83" s="22">
        <v>2</v>
      </c>
      <c r="W83" s="18" t="s">
        <v>256</v>
      </c>
      <c r="X83" s="18" t="s">
        <v>257</v>
      </c>
      <c r="Y83" s="21" t="s">
        <v>40</v>
      </c>
      <c r="Z83" s="18"/>
    </row>
    <row r="84" spans="1:26" x14ac:dyDescent="0.25">
      <c r="A84" s="22">
        <v>22526365</v>
      </c>
      <c r="B84" s="18">
        <v>45940</v>
      </c>
      <c r="C84" s="18">
        <v>46070</v>
      </c>
      <c r="D84" s="18">
        <v>46064</v>
      </c>
      <c r="E84" s="19" t="s">
        <v>37</v>
      </c>
      <c r="F84" s="20">
        <v>474900</v>
      </c>
      <c r="G84" s="13">
        <v>439500</v>
      </c>
      <c r="H84" s="20">
        <v>410000</v>
      </c>
      <c r="I84" s="29">
        <f t="shared" si="1"/>
        <v>222.10184182015169</v>
      </c>
      <c r="J84" s="18">
        <v>38482</v>
      </c>
      <c r="K84" s="18" t="s">
        <v>38</v>
      </c>
      <c r="L84" s="18" t="s">
        <v>98</v>
      </c>
      <c r="M84" s="21" t="s">
        <v>40</v>
      </c>
      <c r="N84" s="21">
        <v>85739</v>
      </c>
      <c r="O84" s="21">
        <v>32.527073000000001</v>
      </c>
      <c r="P84" s="21">
        <v>-110.904364</v>
      </c>
      <c r="Q84" s="22">
        <v>1846</v>
      </c>
      <c r="R84" s="19">
        <v>2003</v>
      </c>
      <c r="S84" s="22">
        <v>2</v>
      </c>
      <c r="T84" s="23">
        <v>2</v>
      </c>
      <c r="U84" s="18" t="s">
        <v>41</v>
      </c>
      <c r="V84" s="22">
        <v>1</v>
      </c>
      <c r="W84" s="18" t="s">
        <v>258</v>
      </c>
      <c r="X84" s="18" t="s">
        <v>259</v>
      </c>
      <c r="Y84" s="21" t="s">
        <v>40</v>
      </c>
      <c r="Z84" s="18"/>
    </row>
    <row r="85" spans="1:26" x14ac:dyDescent="0.25">
      <c r="A85" s="22">
        <v>22531688</v>
      </c>
      <c r="B85" s="18">
        <v>46003</v>
      </c>
      <c r="C85" s="18">
        <v>46112</v>
      </c>
      <c r="D85" s="18">
        <v>46108</v>
      </c>
      <c r="E85" s="19" t="s">
        <v>37</v>
      </c>
      <c r="F85" s="20">
        <v>649000</v>
      </c>
      <c r="G85" s="13">
        <v>400000</v>
      </c>
      <c r="H85" s="20">
        <v>525000</v>
      </c>
      <c r="I85" s="29">
        <f t="shared" si="1"/>
        <v>161.98704103671707</v>
      </c>
      <c r="J85" s="18">
        <v>65060</v>
      </c>
      <c r="K85" s="18" t="s">
        <v>48</v>
      </c>
      <c r="L85" s="18" t="s">
        <v>245</v>
      </c>
      <c r="M85" s="21" t="s">
        <v>40</v>
      </c>
      <c r="N85" s="21">
        <v>85739</v>
      </c>
      <c r="O85" s="21">
        <v>32.527175</v>
      </c>
      <c r="P85" s="21">
        <v>-110.871747</v>
      </c>
      <c r="Q85" s="22">
        <v>3241</v>
      </c>
      <c r="R85" s="19">
        <v>1992</v>
      </c>
      <c r="S85" s="22">
        <v>3</v>
      </c>
      <c r="T85" s="23">
        <v>2.5</v>
      </c>
      <c r="U85" s="18" t="s">
        <v>41</v>
      </c>
      <c r="V85" s="22">
        <v>2</v>
      </c>
      <c r="W85" s="18" t="s">
        <v>260</v>
      </c>
      <c r="X85" s="18" t="s">
        <v>261</v>
      </c>
      <c r="Y85" s="21" t="s">
        <v>40</v>
      </c>
      <c r="Z85" s="18"/>
    </row>
    <row r="86" spans="1:26" x14ac:dyDescent="0.25">
      <c r="A86" s="16">
        <v>22524692</v>
      </c>
      <c r="B86" s="11">
        <v>45922</v>
      </c>
      <c r="C86" s="11">
        <v>46021</v>
      </c>
      <c r="D86" s="11">
        <v>46004</v>
      </c>
      <c r="E86" s="12" t="s">
        <v>37</v>
      </c>
      <c r="F86" s="13">
        <v>415000</v>
      </c>
      <c r="G86" s="13">
        <v>398000</v>
      </c>
      <c r="H86" s="13">
        <v>395000</v>
      </c>
      <c r="I86" s="29">
        <f t="shared" si="1"/>
        <v>216.55701754385964</v>
      </c>
      <c r="J86" s="11">
        <v>62284</v>
      </c>
      <c r="K86" s="11" t="s">
        <v>48</v>
      </c>
      <c r="L86" s="11" t="s">
        <v>240</v>
      </c>
      <c r="M86" s="15" t="s">
        <v>45</v>
      </c>
      <c r="N86" s="15">
        <v>85739</v>
      </c>
      <c r="O86" s="15">
        <v>32.527203</v>
      </c>
      <c r="P86" s="15">
        <v>-110.90205400000001</v>
      </c>
      <c r="Q86" s="16">
        <v>1824</v>
      </c>
      <c r="R86" s="16">
        <v>2001</v>
      </c>
      <c r="S86" s="16">
        <v>2</v>
      </c>
      <c r="T86" s="17">
        <v>2</v>
      </c>
      <c r="U86" s="11" t="s">
        <v>41</v>
      </c>
      <c r="V86" s="16">
        <v>1</v>
      </c>
      <c r="W86" s="11" t="s">
        <v>262</v>
      </c>
      <c r="X86" s="11" t="s">
        <v>263</v>
      </c>
      <c r="Y86" s="15" t="s">
        <v>40</v>
      </c>
      <c r="Z86" s="11"/>
    </row>
    <row r="87" spans="1:26" x14ac:dyDescent="0.25">
      <c r="A87" s="16">
        <v>22600085</v>
      </c>
      <c r="B87" s="11">
        <v>46024</v>
      </c>
      <c r="C87" s="11">
        <v>46115</v>
      </c>
      <c r="D87" s="11">
        <v>46104</v>
      </c>
      <c r="E87" s="12" t="s">
        <v>37</v>
      </c>
      <c r="F87" s="13">
        <v>459000</v>
      </c>
      <c r="G87" s="13">
        <v>445000</v>
      </c>
      <c r="H87" s="13">
        <v>430000</v>
      </c>
      <c r="I87" s="29">
        <f t="shared" si="1"/>
        <v>234.58810692853245</v>
      </c>
      <c r="J87" s="11">
        <v>38429</v>
      </c>
      <c r="K87" s="11" t="s">
        <v>38</v>
      </c>
      <c r="L87" s="11" t="s">
        <v>264</v>
      </c>
      <c r="M87" s="15" t="s">
        <v>45</v>
      </c>
      <c r="N87" s="15">
        <v>85739</v>
      </c>
      <c r="O87" s="15">
        <v>32.52722</v>
      </c>
      <c r="P87" s="15">
        <v>-110.877433</v>
      </c>
      <c r="Q87" s="16">
        <v>1833</v>
      </c>
      <c r="R87" s="16">
        <v>1991</v>
      </c>
      <c r="S87" s="16">
        <v>2</v>
      </c>
      <c r="T87" s="17">
        <v>2</v>
      </c>
      <c r="U87" s="11" t="s">
        <v>41</v>
      </c>
      <c r="V87" s="16">
        <v>1</v>
      </c>
      <c r="W87" s="11" t="s">
        <v>265</v>
      </c>
      <c r="X87" s="11" t="s">
        <v>266</v>
      </c>
      <c r="Y87" s="15" t="s">
        <v>40</v>
      </c>
      <c r="Z87" s="11"/>
    </row>
    <row r="88" spans="1:26" x14ac:dyDescent="0.25">
      <c r="A88" s="22">
        <v>22528969</v>
      </c>
      <c r="B88" s="18">
        <v>45968</v>
      </c>
      <c r="C88" s="18">
        <v>46066</v>
      </c>
      <c r="D88" s="18">
        <v>46062</v>
      </c>
      <c r="E88" s="19" t="s">
        <v>37</v>
      </c>
      <c r="F88" s="20">
        <v>425000</v>
      </c>
      <c r="G88" s="13">
        <v>399000</v>
      </c>
      <c r="H88" s="20">
        <v>384500</v>
      </c>
      <c r="I88" s="29">
        <f t="shared" si="1"/>
        <v>154.10821643286573</v>
      </c>
      <c r="J88" s="18">
        <v>65765</v>
      </c>
      <c r="K88" s="18" t="s">
        <v>48</v>
      </c>
      <c r="L88" s="18" t="s">
        <v>267</v>
      </c>
      <c r="M88" s="21" t="s">
        <v>40</v>
      </c>
      <c r="N88" s="21">
        <v>85739</v>
      </c>
      <c r="O88" s="21">
        <v>32.527669000000003</v>
      </c>
      <c r="P88" s="21">
        <v>-110.864958</v>
      </c>
      <c r="Q88" s="22">
        <v>2495</v>
      </c>
      <c r="R88" s="19">
        <v>1991</v>
      </c>
      <c r="S88" s="22">
        <v>2</v>
      </c>
      <c r="T88" s="23">
        <v>2.5</v>
      </c>
      <c r="U88" s="18" t="s">
        <v>41</v>
      </c>
      <c r="V88" s="22">
        <v>1</v>
      </c>
      <c r="W88" s="18" t="s">
        <v>268</v>
      </c>
      <c r="X88" s="18" t="s">
        <v>269</v>
      </c>
      <c r="Y88" s="21" t="s">
        <v>40</v>
      </c>
      <c r="Z88" s="18"/>
    </row>
    <row r="89" spans="1:26" x14ac:dyDescent="0.25">
      <c r="A89" s="16">
        <v>22502754</v>
      </c>
      <c r="B89" s="11">
        <v>45685</v>
      </c>
      <c r="C89" s="11">
        <v>46134</v>
      </c>
      <c r="D89" s="11">
        <v>46133</v>
      </c>
      <c r="E89" s="12" t="s">
        <v>37</v>
      </c>
      <c r="F89" s="13">
        <v>539000</v>
      </c>
      <c r="G89" s="13">
        <v>435000</v>
      </c>
      <c r="H89" s="13">
        <v>420000</v>
      </c>
      <c r="I89" s="29">
        <f t="shared" si="1"/>
        <v>172.98187808896211</v>
      </c>
      <c r="J89" s="11">
        <v>62218</v>
      </c>
      <c r="K89" s="11" t="s">
        <v>48</v>
      </c>
      <c r="L89" s="11" t="s">
        <v>98</v>
      </c>
      <c r="M89" s="15" t="s">
        <v>40</v>
      </c>
      <c r="N89" s="15">
        <v>85739</v>
      </c>
      <c r="O89" s="15">
        <v>32.52787</v>
      </c>
      <c r="P89" s="15">
        <v>-110.902658</v>
      </c>
      <c r="Q89" s="16">
        <v>2428</v>
      </c>
      <c r="R89" s="16">
        <v>2000</v>
      </c>
      <c r="S89" s="16">
        <v>3</v>
      </c>
      <c r="T89" s="17">
        <v>2</v>
      </c>
      <c r="U89" s="11" t="s">
        <v>41</v>
      </c>
      <c r="V89" s="16">
        <v>1</v>
      </c>
      <c r="W89" s="11" t="s">
        <v>270</v>
      </c>
      <c r="X89" s="11" t="s">
        <v>271</v>
      </c>
      <c r="Y89" s="15" t="s">
        <v>40</v>
      </c>
      <c r="Z89" s="11"/>
    </row>
    <row r="90" spans="1:26" x14ac:dyDescent="0.25">
      <c r="A90" s="16">
        <v>22516439</v>
      </c>
      <c r="B90" s="11">
        <v>45825</v>
      </c>
      <c r="C90" s="11">
        <v>46008</v>
      </c>
      <c r="D90" s="11">
        <v>46007</v>
      </c>
      <c r="E90" s="12" t="s">
        <v>37</v>
      </c>
      <c r="F90" s="13">
        <v>349000</v>
      </c>
      <c r="G90" s="13">
        <v>349000</v>
      </c>
      <c r="H90" s="13">
        <v>344000</v>
      </c>
      <c r="I90" s="29">
        <f t="shared" si="1"/>
        <v>252.19941348973606</v>
      </c>
      <c r="J90" s="11">
        <v>64304</v>
      </c>
      <c r="K90" s="11" t="s">
        <v>48</v>
      </c>
      <c r="L90" s="11" t="s">
        <v>272</v>
      </c>
      <c r="M90" s="15" t="s">
        <v>40</v>
      </c>
      <c r="N90" s="15">
        <v>85739</v>
      </c>
      <c r="O90" s="15">
        <v>32.527873</v>
      </c>
      <c r="P90" s="15">
        <v>-110.88063699999999</v>
      </c>
      <c r="Q90" s="16">
        <v>1364</v>
      </c>
      <c r="R90" s="16">
        <v>1991</v>
      </c>
      <c r="S90" s="16">
        <v>2</v>
      </c>
      <c r="T90" s="17">
        <v>2</v>
      </c>
      <c r="U90" s="11" t="s">
        <v>41</v>
      </c>
      <c r="V90" s="16">
        <v>1</v>
      </c>
      <c r="W90" s="11" t="s">
        <v>273</v>
      </c>
      <c r="X90" s="11" t="s">
        <v>274</v>
      </c>
      <c r="Y90" s="15" t="s">
        <v>40</v>
      </c>
      <c r="Z90" s="11"/>
    </row>
    <row r="91" spans="1:26" x14ac:dyDescent="0.25">
      <c r="A91" s="16">
        <v>22601756</v>
      </c>
      <c r="B91" s="11">
        <v>46038</v>
      </c>
      <c r="C91" s="11">
        <v>46155</v>
      </c>
      <c r="D91" s="11">
        <v>46154</v>
      </c>
      <c r="E91" s="12" t="s">
        <v>37</v>
      </c>
      <c r="F91" s="13">
        <v>569000</v>
      </c>
      <c r="G91" s="13">
        <v>559000</v>
      </c>
      <c r="H91" s="13">
        <v>543000</v>
      </c>
      <c r="I91" s="29">
        <f t="shared" si="1"/>
        <v>294.78827361563521</v>
      </c>
      <c r="J91" s="11">
        <v>38322</v>
      </c>
      <c r="K91" s="11" t="s">
        <v>38</v>
      </c>
      <c r="L91" s="11" t="s">
        <v>275</v>
      </c>
      <c r="M91" s="15" t="s">
        <v>40</v>
      </c>
      <c r="N91" s="15">
        <v>85739</v>
      </c>
      <c r="O91" s="15">
        <v>32.527949</v>
      </c>
      <c r="P91" s="15">
        <v>-110.865978</v>
      </c>
      <c r="Q91" s="16">
        <v>1842</v>
      </c>
      <c r="R91" s="16">
        <v>1992</v>
      </c>
      <c r="S91" s="16">
        <v>2</v>
      </c>
      <c r="T91" s="17">
        <v>2</v>
      </c>
      <c r="U91" s="11" t="s">
        <v>41</v>
      </c>
      <c r="V91" s="16">
        <v>1</v>
      </c>
      <c r="W91" s="11" t="s">
        <v>276</v>
      </c>
      <c r="X91" s="11" t="s">
        <v>277</v>
      </c>
      <c r="Y91" s="15" t="s">
        <v>40</v>
      </c>
      <c r="Z91" s="11"/>
    </row>
    <row r="92" spans="1:26" x14ac:dyDescent="0.25">
      <c r="A92" s="16">
        <v>22600691</v>
      </c>
      <c r="B92" s="11">
        <v>46030</v>
      </c>
      <c r="C92" s="11">
        <v>46175</v>
      </c>
      <c r="D92" s="11">
        <v>46168</v>
      </c>
      <c r="E92" s="12" t="s">
        <v>37</v>
      </c>
      <c r="F92" s="13">
        <v>549000</v>
      </c>
      <c r="G92" s="13">
        <v>529000</v>
      </c>
      <c r="H92" s="13">
        <v>519000</v>
      </c>
      <c r="I92" s="29">
        <f t="shared" si="1"/>
        <v>179.39854821984099</v>
      </c>
      <c r="J92" s="11">
        <v>62276</v>
      </c>
      <c r="K92" s="11" t="s">
        <v>48</v>
      </c>
      <c r="L92" s="11" t="s">
        <v>98</v>
      </c>
      <c r="M92" s="15" t="s">
        <v>45</v>
      </c>
      <c r="N92" s="15">
        <v>85739</v>
      </c>
      <c r="O92" s="15">
        <v>32.528078999999998</v>
      </c>
      <c r="P92" s="15">
        <v>-110.902027</v>
      </c>
      <c r="Q92" s="16">
        <v>2893</v>
      </c>
      <c r="R92" s="16">
        <v>2000</v>
      </c>
      <c r="S92" s="16">
        <v>3</v>
      </c>
      <c r="T92" s="17">
        <v>2.5</v>
      </c>
      <c r="U92" s="11" t="s">
        <v>41</v>
      </c>
      <c r="V92" s="16">
        <v>1</v>
      </c>
      <c r="W92" s="11" t="s">
        <v>278</v>
      </c>
      <c r="X92" s="11" t="s">
        <v>279</v>
      </c>
      <c r="Y92" s="15" t="s">
        <v>40</v>
      </c>
      <c r="Z92" s="11"/>
    </row>
    <row r="93" spans="1:26" x14ac:dyDescent="0.25">
      <c r="A93" s="16">
        <v>22528696</v>
      </c>
      <c r="B93" s="11">
        <v>45965</v>
      </c>
      <c r="C93" s="11">
        <v>46028</v>
      </c>
      <c r="D93" s="11">
        <v>45999</v>
      </c>
      <c r="E93" s="12" t="s">
        <v>37</v>
      </c>
      <c r="F93" s="13">
        <v>415000</v>
      </c>
      <c r="G93" s="13">
        <v>415000</v>
      </c>
      <c r="H93" s="13">
        <v>400000</v>
      </c>
      <c r="I93" s="29">
        <f t="shared" si="1"/>
        <v>186.21973929236498</v>
      </c>
      <c r="J93" s="11">
        <v>64384</v>
      </c>
      <c r="K93" s="11" t="s">
        <v>48</v>
      </c>
      <c r="L93" s="11" t="s">
        <v>272</v>
      </c>
      <c r="M93" s="15" t="s">
        <v>45</v>
      </c>
      <c r="N93" s="15">
        <v>85739</v>
      </c>
      <c r="O93" s="15">
        <v>32.528247</v>
      </c>
      <c r="P93" s="15">
        <v>-110.87969099999999</v>
      </c>
      <c r="Q93" s="16">
        <v>2148</v>
      </c>
      <c r="R93" s="16">
        <v>1992</v>
      </c>
      <c r="S93" s="16">
        <v>2</v>
      </c>
      <c r="T93" s="17">
        <v>2.5</v>
      </c>
      <c r="U93" s="11" t="s">
        <v>41</v>
      </c>
      <c r="V93" s="16">
        <v>1</v>
      </c>
      <c r="W93" s="11" t="s">
        <v>280</v>
      </c>
      <c r="X93" s="11" t="s">
        <v>281</v>
      </c>
      <c r="Y93" s="15" t="s">
        <v>40</v>
      </c>
      <c r="Z93" s="11"/>
    </row>
    <row r="94" spans="1:26" x14ac:dyDescent="0.25">
      <c r="A94" s="16">
        <v>22601632</v>
      </c>
      <c r="B94" s="11">
        <v>46038</v>
      </c>
      <c r="C94" s="11">
        <v>46105</v>
      </c>
      <c r="D94" s="11">
        <v>46105</v>
      </c>
      <c r="E94" s="12" t="s">
        <v>37</v>
      </c>
      <c r="F94" s="13">
        <v>425000</v>
      </c>
      <c r="G94" s="13">
        <v>425000</v>
      </c>
      <c r="H94" s="13">
        <v>410000</v>
      </c>
      <c r="I94" s="29">
        <f t="shared" si="1"/>
        <v>219.01709401709402</v>
      </c>
      <c r="J94" s="11">
        <v>38174</v>
      </c>
      <c r="K94" s="11" t="s">
        <v>38</v>
      </c>
      <c r="L94" s="11" t="s">
        <v>282</v>
      </c>
      <c r="M94" s="15" t="s">
        <v>45</v>
      </c>
      <c r="N94" s="15">
        <v>85739</v>
      </c>
      <c r="O94" s="15">
        <v>32.528818999999999</v>
      </c>
      <c r="P94" s="15">
        <v>-110.863687</v>
      </c>
      <c r="Q94" s="16">
        <v>1872</v>
      </c>
      <c r="R94" s="16">
        <v>1991</v>
      </c>
      <c r="S94" s="16">
        <v>2</v>
      </c>
      <c r="T94" s="17">
        <v>2</v>
      </c>
      <c r="U94" s="11" t="s">
        <v>41</v>
      </c>
      <c r="V94" s="16">
        <v>1</v>
      </c>
      <c r="W94" s="11" t="s">
        <v>283</v>
      </c>
      <c r="X94" s="11" t="s">
        <v>284</v>
      </c>
      <c r="Y94" s="15" t="s">
        <v>40</v>
      </c>
      <c r="Z94" s="11"/>
    </row>
    <row r="95" spans="1:26" x14ac:dyDescent="0.25">
      <c r="A95" s="16">
        <v>22604262</v>
      </c>
      <c r="B95" s="11">
        <v>46067</v>
      </c>
      <c r="C95" s="11">
        <v>46112</v>
      </c>
      <c r="D95" s="11">
        <v>46111</v>
      </c>
      <c r="E95" s="12" t="s">
        <v>37</v>
      </c>
      <c r="F95" s="13">
        <v>510000</v>
      </c>
      <c r="G95" s="13">
        <v>510000</v>
      </c>
      <c r="H95" s="13">
        <v>485000</v>
      </c>
      <c r="I95" s="29">
        <f t="shared" si="1"/>
        <v>203.95290159798151</v>
      </c>
      <c r="J95" s="11">
        <v>38192</v>
      </c>
      <c r="K95" s="11" t="s">
        <v>38</v>
      </c>
      <c r="L95" s="11" t="s">
        <v>285</v>
      </c>
      <c r="M95" s="15" t="s">
        <v>40</v>
      </c>
      <c r="N95" s="15">
        <v>85739</v>
      </c>
      <c r="O95" s="15">
        <v>32.529066</v>
      </c>
      <c r="P95" s="15">
        <v>-110.859967</v>
      </c>
      <c r="Q95" s="16">
        <v>2378</v>
      </c>
      <c r="R95" s="16">
        <v>2003</v>
      </c>
      <c r="S95" s="16">
        <v>3</v>
      </c>
      <c r="T95" s="17">
        <v>2</v>
      </c>
      <c r="U95" s="11" t="s">
        <v>41</v>
      </c>
      <c r="V95" s="16">
        <v>1</v>
      </c>
      <c r="W95" s="11" t="s">
        <v>286</v>
      </c>
      <c r="X95" s="11" t="s">
        <v>287</v>
      </c>
      <c r="Y95" s="15" t="s">
        <v>40</v>
      </c>
      <c r="Z95" s="11"/>
    </row>
    <row r="96" spans="1:26" x14ac:dyDescent="0.25">
      <c r="A96" s="16">
        <v>22526016</v>
      </c>
      <c r="B96" s="11">
        <v>45936</v>
      </c>
      <c r="C96" s="11">
        <v>46049</v>
      </c>
      <c r="D96" s="11">
        <v>46037</v>
      </c>
      <c r="E96" s="12" t="s">
        <v>37</v>
      </c>
      <c r="F96" s="13">
        <v>1075000</v>
      </c>
      <c r="G96" s="13">
        <v>1075000</v>
      </c>
      <c r="H96" s="13">
        <v>1025000</v>
      </c>
      <c r="I96" s="29">
        <f t="shared" si="1"/>
        <v>286.31284916201116</v>
      </c>
      <c r="J96" s="11">
        <v>38200</v>
      </c>
      <c r="K96" s="11" t="s">
        <v>38</v>
      </c>
      <c r="L96" s="11" t="s">
        <v>288</v>
      </c>
      <c r="M96" s="15" t="s">
        <v>45</v>
      </c>
      <c r="N96" s="15">
        <v>85739</v>
      </c>
      <c r="O96" s="15">
        <v>32.529159</v>
      </c>
      <c r="P96" s="15">
        <v>-110.874574</v>
      </c>
      <c r="Q96" s="16">
        <v>3580</v>
      </c>
      <c r="R96" s="16">
        <v>1996</v>
      </c>
      <c r="S96" s="16">
        <v>3</v>
      </c>
      <c r="T96" s="17">
        <v>3</v>
      </c>
      <c r="U96" s="11" t="s">
        <v>41</v>
      </c>
      <c r="V96" s="16">
        <v>1</v>
      </c>
      <c r="W96" s="11" t="s">
        <v>289</v>
      </c>
      <c r="X96" s="11" t="s">
        <v>290</v>
      </c>
      <c r="Y96" s="15" t="s">
        <v>40</v>
      </c>
      <c r="Z96" s="11"/>
    </row>
    <row r="97" spans="1:26" x14ac:dyDescent="0.25">
      <c r="A97" s="16">
        <v>22602479</v>
      </c>
      <c r="B97" s="11">
        <v>46048</v>
      </c>
      <c r="C97" s="11">
        <v>46073</v>
      </c>
      <c r="D97" s="11">
        <v>46066</v>
      </c>
      <c r="E97" s="12" t="s">
        <v>37</v>
      </c>
      <c r="F97" s="13">
        <v>320000</v>
      </c>
      <c r="G97" s="13">
        <v>320000</v>
      </c>
      <c r="H97" s="13">
        <v>312000</v>
      </c>
      <c r="I97" s="29">
        <f t="shared" si="1"/>
        <v>232.31571109456442</v>
      </c>
      <c r="J97" s="11">
        <v>38136</v>
      </c>
      <c r="K97" s="11" t="s">
        <v>38</v>
      </c>
      <c r="L97" s="11" t="s">
        <v>282</v>
      </c>
      <c r="M97" s="15" t="s">
        <v>45</v>
      </c>
      <c r="N97" s="15">
        <v>85739</v>
      </c>
      <c r="O97" s="15">
        <v>32.529294</v>
      </c>
      <c r="P97" s="15">
        <v>-110.863405</v>
      </c>
      <c r="Q97" s="16">
        <v>1343</v>
      </c>
      <c r="R97" s="16">
        <v>1994</v>
      </c>
      <c r="S97" s="16">
        <v>2</v>
      </c>
      <c r="T97" s="17">
        <v>2</v>
      </c>
      <c r="U97" s="11" t="s">
        <v>41</v>
      </c>
      <c r="V97" s="16">
        <v>1</v>
      </c>
      <c r="W97" s="11" t="s">
        <v>291</v>
      </c>
      <c r="X97" s="11" t="s">
        <v>292</v>
      </c>
      <c r="Y97" s="15" t="s">
        <v>40</v>
      </c>
      <c r="Z97" s="11"/>
    </row>
    <row r="98" spans="1:26" x14ac:dyDescent="0.25">
      <c r="A98" s="16">
        <v>22426739</v>
      </c>
      <c r="B98" s="11">
        <v>45594</v>
      </c>
      <c r="C98" s="11">
        <v>46126</v>
      </c>
      <c r="D98" s="11">
        <v>46125</v>
      </c>
      <c r="E98" s="12" t="s">
        <v>37</v>
      </c>
      <c r="F98" s="13">
        <v>484950</v>
      </c>
      <c r="G98" s="13">
        <v>409950</v>
      </c>
      <c r="H98" s="13">
        <v>400000</v>
      </c>
      <c r="I98" s="29">
        <f t="shared" si="1"/>
        <v>204.29009193054137</v>
      </c>
      <c r="J98" s="11">
        <v>38194</v>
      </c>
      <c r="K98" s="11" t="s">
        <v>38</v>
      </c>
      <c r="L98" s="11" t="s">
        <v>293</v>
      </c>
      <c r="M98" s="15" t="s">
        <v>45</v>
      </c>
      <c r="N98" s="15">
        <v>85739</v>
      </c>
      <c r="O98" s="15">
        <v>32.529440000000001</v>
      </c>
      <c r="P98" s="15">
        <v>-110.878315</v>
      </c>
      <c r="Q98" s="16">
        <v>1958</v>
      </c>
      <c r="R98" s="16">
        <v>1989</v>
      </c>
      <c r="S98" s="16">
        <v>2</v>
      </c>
      <c r="T98" s="17">
        <v>2</v>
      </c>
      <c r="U98" s="11" t="s">
        <v>41</v>
      </c>
      <c r="V98" s="16">
        <v>1</v>
      </c>
      <c r="W98" s="11" t="s">
        <v>294</v>
      </c>
      <c r="X98" s="11" t="s">
        <v>295</v>
      </c>
      <c r="Y98" s="15" t="s">
        <v>40</v>
      </c>
      <c r="Z98" s="11"/>
    </row>
    <row r="99" spans="1:26" x14ac:dyDescent="0.25">
      <c r="A99" s="16">
        <v>22524903</v>
      </c>
      <c r="B99" s="11">
        <v>45925</v>
      </c>
      <c r="C99" s="11">
        <v>46034</v>
      </c>
      <c r="D99" s="11">
        <v>45995</v>
      </c>
      <c r="E99" s="12" t="s">
        <v>37</v>
      </c>
      <c r="F99" s="13">
        <v>539000</v>
      </c>
      <c r="G99" s="13">
        <v>529000</v>
      </c>
      <c r="H99" s="13">
        <v>517000</v>
      </c>
      <c r="I99" s="29">
        <f t="shared" si="1"/>
        <v>245.48907882241215</v>
      </c>
      <c r="J99" s="11">
        <v>38162</v>
      </c>
      <c r="K99" s="11" t="s">
        <v>38</v>
      </c>
      <c r="L99" s="11" t="s">
        <v>228</v>
      </c>
      <c r="M99" s="15" t="s">
        <v>40</v>
      </c>
      <c r="N99" s="15">
        <v>85739</v>
      </c>
      <c r="O99" s="15">
        <v>32.529648000000002</v>
      </c>
      <c r="P99" s="15">
        <v>-110.88962100000001</v>
      </c>
      <c r="Q99" s="16">
        <v>2106</v>
      </c>
      <c r="R99" s="16">
        <v>1998</v>
      </c>
      <c r="S99" s="16">
        <v>2</v>
      </c>
      <c r="T99" s="17">
        <v>2.5</v>
      </c>
      <c r="U99" s="11" t="s">
        <v>41</v>
      </c>
      <c r="V99" s="16">
        <v>1</v>
      </c>
      <c r="W99" s="11" t="s">
        <v>296</v>
      </c>
      <c r="X99" s="11" t="s">
        <v>297</v>
      </c>
      <c r="Y99" s="15" t="s">
        <v>40</v>
      </c>
      <c r="Z99" s="11"/>
    </row>
    <row r="100" spans="1:26" x14ac:dyDescent="0.25">
      <c r="A100" s="16">
        <v>22603247</v>
      </c>
      <c r="B100" s="11">
        <v>46057</v>
      </c>
      <c r="C100" s="11">
        <v>46127</v>
      </c>
      <c r="D100" s="11">
        <v>46097</v>
      </c>
      <c r="E100" s="12" t="s">
        <v>37</v>
      </c>
      <c r="F100" s="13">
        <v>571000</v>
      </c>
      <c r="G100" s="13">
        <v>571000</v>
      </c>
      <c r="H100" s="13">
        <v>517000</v>
      </c>
      <c r="I100" s="29">
        <f t="shared" si="1"/>
        <v>282.2052401746725</v>
      </c>
      <c r="J100" s="11">
        <v>38025</v>
      </c>
      <c r="K100" s="11" t="s">
        <v>38</v>
      </c>
      <c r="L100" s="11" t="s">
        <v>298</v>
      </c>
      <c r="M100" s="15" t="s">
        <v>45</v>
      </c>
      <c r="N100" s="15">
        <v>85739</v>
      </c>
      <c r="O100" s="15">
        <v>32.529828999999999</v>
      </c>
      <c r="P100" s="15">
        <v>-110.868167</v>
      </c>
      <c r="Q100" s="16">
        <v>1832</v>
      </c>
      <c r="R100" s="16">
        <v>1990</v>
      </c>
      <c r="S100" s="16">
        <v>3</v>
      </c>
      <c r="T100" s="17">
        <v>3.5</v>
      </c>
      <c r="U100" s="11" t="s">
        <v>41</v>
      </c>
      <c r="V100" s="16">
        <v>1</v>
      </c>
      <c r="W100" s="11" t="s">
        <v>299</v>
      </c>
      <c r="X100" s="11" t="s">
        <v>300</v>
      </c>
      <c r="Y100" s="15" t="s">
        <v>40</v>
      </c>
      <c r="Z100" s="11"/>
    </row>
    <row r="101" spans="1:26" x14ac:dyDescent="0.25">
      <c r="A101" s="16">
        <v>22532322</v>
      </c>
      <c r="B101" s="11">
        <v>46014</v>
      </c>
      <c r="C101" s="11">
        <v>46052</v>
      </c>
      <c r="D101" s="11">
        <v>46049</v>
      </c>
      <c r="E101" s="12" t="s">
        <v>37</v>
      </c>
      <c r="F101" s="13">
        <v>750000</v>
      </c>
      <c r="G101" s="13">
        <v>750000</v>
      </c>
      <c r="H101" s="13">
        <v>700000</v>
      </c>
      <c r="I101" s="29">
        <f t="shared" si="1"/>
        <v>221.72949002217294</v>
      </c>
      <c r="J101" s="11">
        <v>62749</v>
      </c>
      <c r="K101" s="11" t="s">
        <v>48</v>
      </c>
      <c r="L101" s="11" t="s">
        <v>301</v>
      </c>
      <c r="M101" s="15" t="s">
        <v>45</v>
      </c>
      <c r="N101" s="15">
        <v>85739</v>
      </c>
      <c r="O101" s="15">
        <v>32.529879000000001</v>
      </c>
      <c r="P101" s="15">
        <v>-110.89697200000001</v>
      </c>
      <c r="Q101" s="16">
        <v>3157</v>
      </c>
      <c r="R101" s="16">
        <v>2003</v>
      </c>
      <c r="S101" s="16">
        <v>4</v>
      </c>
      <c r="T101" s="17">
        <v>3</v>
      </c>
      <c r="U101" s="11" t="s">
        <v>41</v>
      </c>
      <c r="V101" s="16">
        <v>2</v>
      </c>
      <c r="W101" s="11" t="s">
        <v>302</v>
      </c>
      <c r="X101" s="11" t="s">
        <v>303</v>
      </c>
      <c r="Y101" s="15" t="s">
        <v>40</v>
      </c>
      <c r="Z101" s="11"/>
    </row>
    <row r="102" spans="1:26" x14ac:dyDescent="0.25">
      <c r="A102" s="16">
        <v>22605802</v>
      </c>
      <c r="B102" s="11">
        <v>46084</v>
      </c>
      <c r="C102" s="11">
        <v>46143</v>
      </c>
      <c r="D102" s="11">
        <v>46137</v>
      </c>
      <c r="E102" s="12" t="s">
        <v>37</v>
      </c>
      <c r="F102" s="13">
        <v>749000</v>
      </c>
      <c r="G102" s="13">
        <v>749000</v>
      </c>
      <c r="H102" s="13">
        <v>717500</v>
      </c>
      <c r="I102" s="29">
        <f t="shared" si="1"/>
        <v>219.68769136558481</v>
      </c>
      <c r="J102" s="11">
        <v>62837</v>
      </c>
      <c r="K102" s="11" t="s">
        <v>48</v>
      </c>
      <c r="L102" s="11" t="s">
        <v>301</v>
      </c>
      <c r="M102" s="15" t="s">
        <v>45</v>
      </c>
      <c r="N102" s="15">
        <v>85739</v>
      </c>
      <c r="O102" s="15">
        <v>32.530006</v>
      </c>
      <c r="P102" s="15">
        <v>-110.896114</v>
      </c>
      <c r="Q102" s="16">
        <v>3266</v>
      </c>
      <c r="R102" s="16">
        <v>2006</v>
      </c>
      <c r="S102" s="16">
        <v>3</v>
      </c>
      <c r="T102" s="17">
        <v>2.5</v>
      </c>
      <c r="U102" s="11" t="s">
        <v>41</v>
      </c>
      <c r="V102" s="16">
        <v>2</v>
      </c>
      <c r="W102" s="11" t="s">
        <v>304</v>
      </c>
      <c r="X102" s="11" t="s">
        <v>305</v>
      </c>
      <c r="Y102" s="15" t="s">
        <v>40</v>
      </c>
      <c r="Z102" s="11"/>
    </row>
    <row r="103" spans="1:26" x14ac:dyDescent="0.25">
      <c r="A103" s="16">
        <v>22600744</v>
      </c>
      <c r="B103" s="11">
        <v>46031</v>
      </c>
      <c r="C103" s="11">
        <v>46083</v>
      </c>
      <c r="D103" s="11">
        <v>46083</v>
      </c>
      <c r="E103" s="12" t="s">
        <v>37</v>
      </c>
      <c r="F103" s="13">
        <v>475000</v>
      </c>
      <c r="G103" s="13">
        <v>475000</v>
      </c>
      <c r="H103" s="13">
        <v>475000</v>
      </c>
      <c r="I103" s="29">
        <f t="shared" si="1"/>
        <v>318.5781354795439</v>
      </c>
      <c r="J103" s="11">
        <v>38100</v>
      </c>
      <c r="K103" s="11" t="s">
        <v>38</v>
      </c>
      <c r="L103" s="11" t="s">
        <v>306</v>
      </c>
      <c r="M103" s="15" t="s">
        <v>40</v>
      </c>
      <c r="N103" s="15">
        <v>85739</v>
      </c>
      <c r="O103" s="15">
        <v>32.530031000000001</v>
      </c>
      <c r="P103" s="15">
        <v>-110.87172200000001</v>
      </c>
      <c r="Q103" s="16">
        <v>1491</v>
      </c>
      <c r="R103" s="16">
        <v>1992</v>
      </c>
      <c r="S103" s="16">
        <v>3</v>
      </c>
      <c r="T103" s="17">
        <v>3</v>
      </c>
      <c r="U103" s="11" t="s">
        <v>41</v>
      </c>
      <c r="V103" s="16">
        <v>1</v>
      </c>
      <c r="W103" s="11" t="s">
        <v>307</v>
      </c>
      <c r="X103" s="11" t="s">
        <v>308</v>
      </c>
      <c r="Y103" s="15" t="s">
        <v>40</v>
      </c>
      <c r="Z103" s="11"/>
    </row>
    <row r="104" spans="1:26" x14ac:dyDescent="0.25">
      <c r="A104" s="16">
        <v>22607557</v>
      </c>
      <c r="B104" s="11">
        <v>46101</v>
      </c>
      <c r="C104" s="11">
        <v>46150</v>
      </c>
      <c r="D104" s="11">
        <v>46116</v>
      </c>
      <c r="E104" s="12" t="s">
        <v>37</v>
      </c>
      <c r="F104" s="13">
        <v>499900</v>
      </c>
      <c r="G104" s="13">
        <v>499900</v>
      </c>
      <c r="H104" s="13">
        <v>450000</v>
      </c>
      <c r="I104" s="29">
        <f t="shared" si="1"/>
        <v>185.95041322314049</v>
      </c>
      <c r="J104" s="11">
        <v>38085</v>
      </c>
      <c r="K104" s="11" t="s">
        <v>38</v>
      </c>
      <c r="L104" s="11" t="s">
        <v>288</v>
      </c>
      <c r="M104" s="15" t="s">
        <v>40</v>
      </c>
      <c r="N104" s="15">
        <v>85739</v>
      </c>
      <c r="O104" s="15">
        <v>32.530242000000001</v>
      </c>
      <c r="P104" s="15">
        <v>-110.873462</v>
      </c>
      <c r="Q104" s="16">
        <v>2420</v>
      </c>
      <c r="R104" s="16">
        <v>1998</v>
      </c>
      <c r="S104" s="16">
        <v>2</v>
      </c>
      <c r="T104" s="17">
        <v>2</v>
      </c>
      <c r="U104" s="11" t="s">
        <v>41</v>
      </c>
      <c r="V104" s="16">
        <v>1</v>
      </c>
      <c r="W104" s="11" t="s">
        <v>309</v>
      </c>
      <c r="X104" s="11" t="s">
        <v>310</v>
      </c>
      <c r="Y104" s="15" t="s">
        <v>40</v>
      </c>
      <c r="Z104" s="11"/>
    </row>
    <row r="105" spans="1:26" x14ac:dyDescent="0.25">
      <c r="A105" s="16">
        <v>22529486</v>
      </c>
      <c r="B105" s="11">
        <v>45974</v>
      </c>
      <c r="C105" s="11">
        <v>46080</v>
      </c>
      <c r="D105" s="11">
        <v>46042</v>
      </c>
      <c r="E105" s="12" t="s">
        <v>37</v>
      </c>
      <c r="F105" s="13">
        <v>405000</v>
      </c>
      <c r="G105" s="13">
        <v>405000</v>
      </c>
      <c r="H105" s="13">
        <v>390000</v>
      </c>
      <c r="I105" s="29">
        <f t="shared" si="1"/>
        <v>215.46961325966851</v>
      </c>
      <c r="J105" s="11">
        <v>37970</v>
      </c>
      <c r="K105" s="11" t="s">
        <v>38</v>
      </c>
      <c r="L105" s="11" t="s">
        <v>311</v>
      </c>
      <c r="M105" s="15" t="s">
        <v>45</v>
      </c>
      <c r="N105" s="15">
        <v>85739</v>
      </c>
      <c r="O105" s="15">
        <v>32.530270999999999</v>
      </c>
      <c r="P105" s="15">
        <v>-110.867558</v>
      </c>
      <c r="Q105" s="16">
        <v>1810</v>
      </c>
      <c r="R105" s="16">
        <v>1992</v>
      </c>
      <c r="S105" s="16">
        <v>2</v>
      </c>
      <c r="T105" s="17">
        <v>2</v>
      </c>
      <c r="U105" s="11" t="s">
        <v>41</v>
      </c>
      <c r="V105" s="16">
        <v>1</v>
      </c>
      <c r="W105" s="11" t="s">
        <v>312</v>
      </c>
      <c r="X105" s="11" t="s">
        <v>313</v>
      </c>
      <c r="Y105" s="15" t="s">
        <v>40</v>
      </c>
      <c r="Z105" s="11"/>
    </row>
    <row r="106" spans="1:26" x14ac:dyDescent="0.25">
      <c r="A106" s="16">
        <v>22530769</v>
      </c>
      <c r="B106" s="11">
        <v>45992</v>
      </c>
      <c r="C106" s="11">
        <v>46127</v>
      </c>
      <c r="D106" s="11">
        <v>46127</v>
      </c>
      <c r="E106" s="12" t="s">
        <v>37</v>
      </c>
      <c r="F106" s="13">
        <v>475000</v>
      </c>
      <c r="G106" s="13">
        <v>425000</v>
      </c>
      <c r="H106" s="13">
        <v>425000</v>
      </c>
      <c r="I106" s="29">
        <f t="shared" si="1"/>
        <v>233.00438596491227</v>
      </c>
      <c r="J106" s="11">
        <v>62394</v>
      </c>
      <c r="K106" s="11" t="s">
        <v>48</v>
      </c>
      <c r="L106" s="11" t="s">
        <v>314</v>
      </c>
      <c r="M106" s="15" t="s">
        <v>45</v>
      </c>
      <c r="N106" s="15">
        <v>85739</v>
      </c>
      <c r="O106" s="15">
        <v>32.530323000000003</v>
      </c>
      <c r="P106" s="15">
        <v>-110.900527</v>
      </c>
      <c r="Q106" s="16">
        <v>1824</v>
      </c>
      <c r="R106" s="16">
        <v>1999</v>
      </c>
      <c r="S106" s="16">
        <v>2</v>
      </c>
      <c r="T106" s="17">
        <v>2</v>
      </c>
      <c r="U106" s="11" t="s">
        <v>41</v>
      </c>
      <c r="V106" s="16">
        <v>1</v>
      </c>
      <c r="W106" s="11" t="s">
        <v>315</v>
      </c>
      <c r="X106" s="11" t="s">
        <v>316</v>
      </c>
      <c r="Y106" s="15" t="s">
        <v>40</v>
      </c>
      <c r="Z106" s="11"/>
    </row>
    <row r="107" spans="1:26" x14ac:dyDescent="0.25">
      <c r="A107" s="16">
        <v>22530667</v>
      </c>
      <c r="B107" s="11">
        <v>45987</v>
      </c>
      <c r="C107" s="11">
        <v>46009</v>
      </c>
      <c r="D107" s="11">
        <v>46002</v>
      </c>
      <c r="E107" s="12" t="s">
        <v>37</v>
      </c>
      <c r="F107" s="13">
        <v>429000</v>
      </c>
      <c r="G107" s="13">
        <v>429000</v>
      </c>
      <c r="H107" s="13">
        <v>429000</v>
      </c>
      <c r="I107" s="29">
        <f t="shared" si="1"/>
        <v>212.06129510627781</v>
      </c>
      <c r="J107" s="11">
        <v>37975</v>
      </c>
      <c r="K107" s="11" t="s">
        <v>38</v>
      </c>
      <c r="L107" s="11" t="s">
        <v>298</v>
      </c>
      <c r="M107" s="15" t="s">
        <v>45</v>
      </c>
      <c r="N107" s="15">
        <v>85739</v>
      </c>
      <c r="O107" s="15">
        <v>32.530357000000002</v>
      </c>
      <c r="P107" s="15">
        <v>-110.868094</v>
      </c>
      <c r="Q107" s="16">
        <v>2023</v>
      </c>
      <c r="R107" s="16">
        <v>1991</v>
      </c>
      <c r="S107" s="16">
        <v>2</v>
      </c>
      <c r="T107" s="17">
        <v>2</v>
      </c>
      <c r="U107" s="11" t="s">
        <v>41</v>
      </c>
      <c r="V107" s="16">
        <v>1</v>
      </c>
      <c r="W107" s="11" t="s">
        <v>317</v>
      </c>
      <c r="X107" s="11" t="s">
        <v>318</v>
      </c>
      <c r="Y107" s="15" t="s">
        <v>40</v>
      </c>
      <c r="Z107" s="11"/>
    </row>
    <row r="108" spans="1:26" x14ac:dyDescent="0.25">
      <c r="A108" s="16">
        <v>22528829</v>
      </c>
      <c r="B108" s="11">
        <v>45967</v>
      </c>
      <c r="C108" s="11">
        <v>46084</v>
      </c>
      <c r="D108" s="11">
        <v>46072</v>
      </c>
      <c r="E108" s="12" t="s">
        <v>37</v>
      </c>
      <c r="F108" s="13">
        <v>599000</v>
      </c>
      <c r="G108" s="13">
        <v>579000</v>
      </c>
      <c r="H108" s="13">
        <v>579000</v>
      </c>
      <c r="I108" s="29">
        <f t="shared" si="1"/>
        <v>262.58503401360542</v>
      </c>
      <c r="J108" s="11">
        <v>38034</v>
      </c>
      <c r="K108" s="11" t="s">
        <v>38</v>
      </c>
      <c r="L108" s="11" t="s">
        <v>275</v>
      </c>
      <c r="M108" s="15" t="s">
        <v>40</v>
      </c>
      <c r="N108" s="15">
        <v>85739</v>
      </c>
      <c r="O108" s="15">
        <v>32.530752</v>
      </c>
      <c r="P108" s="15">
        <v>-110.86361599999999</v>
      </c>
      <c r="Q108" s="16">
        <v>2205</v>
      </c>
      <c r="R108" s="16">
        <v>1992</v>
      </c>
      <c r="S108" s="16">
        <v>4</v>
      </c>
      <c r="T108" s="17">
        <v>3.5</v>
      </c>
      <c r="U108" s="11" t="s">
        <v>41</v>
      </c>
      <c r="V108" s="16">
        <v>1</v>
      </c>
      <c r="W108" s="11" t="s">
        <v>319</v>
      </c>
      <c r="X108" s="11" t="s">
        <v>320</v>
      </c>
      <c r="Y108" s="15" t="s">
        <v>40</v>
      </c>
      <c r="Z108" s="11"/>
    </row>
    <row r="109" spans="1:26" x14ac:dyDescent="0.25">
      <c r="A109" s="16">
        <v>22602591</v>
      </c>
      <c r="B109" s="11">
        <v>46049</v>
      </c>
      <c r="C109" s="11">
        <v>46115</v>
      </c>
      <c r="D109" s="11">
        <v>46092</v>
      </c>
      <c r="E109" s="12" t="s">
        <v>37</v>
      </c>
      <c r="F109" s="13">
        <v>375000</v>
      </c>
      <c r="G109" s="13">
        <v>375000</v>
      </c>
      <c r="H109" s="13">
        <v>330000</v>
      </c>
      <c r="I109" s="29">
        <f t="shared" si="1"/>
        <v>121.50220913107511</v>
      </c>
      <c r="J109" s="11">
        <v>38018</v>
      </c>
      <c r="K109" s="11" t="s">
        <v>38</v>
      </c>
      <c r="L109" s="11" t="s">
        <v>228</v>
      </c>
      <c r="M109" s="15" t="s">
        <v>40</v>
      </c>
      <c r="N109" s="15">
        <v>85739</v>
      </c>
      <c r="O109" s="15">
        <v>32.530759000000003</v>
      </c>
      <c r="P109" s="15">
        <v>-110.89009</v>
      </c>
      <c r="Q109" s="16">
        <v>2716</v>
      </c>
      <c r="R109" s="16">
        <v>1998</v>
      </c>
      <c r="S109" s="16">
        <v>2</v>
      </c>
      <c r="T109" s="17">
        <v>2</v>
      </c>
      <c r="U109" s="11" t="s">
        <v>41</v>
      </c>
      <c r="V109" s="16">
        <v>1</v>
      </c>
      <c r="W109" s="11" t="s">
        <v>321</v>
      </c>
      <c r="X109" s="11" t="s">
        <v>322</v>
      </c>
      <c r="Y109" s="15" t="s">
        <v>40</v>
      </c>
      <c r="Z109" s="11"/>
    </row>
    <row r="110" spans="1:26" x14ac:dyDescent="0.25">
      <c r="A110" s="16">
        <v>22600851</v>
      </c>
      <c r="B110" s="11">
        <v>46031</v>
      </c>
      <c r="C110" s="11">
        <v>46093</v>
      </c>
      <c r="D110" s="11">
        <v>46091</v>
      </c>
      <c r="E110" s="12" t="s">
        <v>37</v>
      </c>
      <c r="F110" s="13">
        <v>346000</v>
      </c>
      <c r="G110" s="13">
        <v>346000</v>
      </c>
      <c r="H110" s="13">
        <v>345000</v>
      </c>
      <c r="I110" s="29">
        <f t="shared" si="1"/>
        <v>215.625</v>
      </c>
      <c r="J110" s="11">
        <v>37970</v>
      </c>
      <c r="K110" s="11" t="s">
        <v>38</v>
      </c>
      <c r="L110" s="11" t="s">
        <v>323</v>
      </c>
      <c r="M110" s="15" t="s">
        <v>45</v>
      </c>
      <c r="N110" s="15">
        <v>85739</v>
      </c>
      <c r="O110" s="15">
        <v>32.530813999999999</v>
      </c>
      <c r="P110" s="15">
        <v>-110.86942999999999</v>
      </c>
      <c r="Q110" s="16">
        <v>1600</v>
      </c>
      <c r="R110" s="16">
        <v>1992</v>
      </c>
      <c r="S110" s="16">
        <v>2</v>
      </c>
      <c r="T110" s="17">
        <v>2</v>
      </c>
      <c r="U110" s="11" t="s">
        <v>41</v>
      </c>
      <c r="V110" s="16">
        <v>1</v>
      </c>
      <c r="W110" s="11" t="s">
        <v>324</v>
      </c>
      <c r="X110" s="11" t="s">
        <v>325</v>
      </c>
      <c r="Y110" s="15" t="s">
        <v>40</v>
      </c>
      <c r="Z110" s="11"/>
    </row>
    <row r="111" spans="1:26" x14ac:dyDescent="0.25">
      <c r="A111" s="22">
        <v>22600138</v>
      </c>
      <c r="B111" s="18">
        <v>46024</v>
      </c>
      <c r="C111" s="18">
        <v>46048</v>
      </c>
      <c r="D111" s="18">
        <v>46043</v>
      </c>
      <c r="E111" s="19" t="s">
        <v>37</v>
      </c>
      <c r="F111" s="20">
        <v>435000</v>
      </c>
      <c r="G111" s="13">
        <v>435000</v>
      </c>
      <c r="H111" s="20">
        <v>422982</v>
      </c>
      <c r="I111" s="29">
        <f t="shared" si="1"/>
        <v>252.22540250447227</v>
      </c>
      <c r="J111" s="18">
        <v>65410</v>
      </c>
      <c r="K111" s="18" t="s">
        <v>48</v>
      </c>
      <c r="L111" s="18" t="s">
        <v>306</v>
      </c>
      <c r="M111" s="21" t="s">
        <v>40</v>
      </c>
      <c r="N111" s="21">
        <v>85739</v>
      </c>
      <c r="O111" s="21">
        <v>32.530878999999999</v>
      </c>
      <c r="P111" s="21">
        <v>-110.867347</v>
      </c>
      <c r="Q111" s="22">
        <v>1677</v>
      </c>
      <c r="R111" s="19">
        <v>1991</v>
      </c>
      <c r="S111" s="22">
        <v>2</v>
      </c>
      <c r="T111" s="23">
        <v>2</v>
      </c>
      <c r="U111" s="18" t="s">
        <v>41</v>
      </c>
      <c r="V111" s="22">
        <v>1</v>
      </c>
      <c r="W111" s="18" t="s">
        <v>326</v>
      </c>
      <c r="X111" s="18" t="s">
        <v>327</v>
      </c>
      <c r="Y111" s="21" t="s">
        <v>40</v>
      </c>
      <c r="Z111" s="18"/>
    </row>
    <row r="112" spans="1:26" x14ac:dyDescent="0.25">
      <c r="A112" s="16">
        <v>22528860</v>
      </c>
      <c r="B112" s="11">
        <v>45967</v>
      </c>
      <c r="C112" s="11">
        <v>46077</v>
      </c>
      <c r="D112" s="11">
        <v>46059</v>
      </c>
      <c r="E112" s="12" t="s">
        <v>37</v>
      </c>
      <c r="F112" s="13">
        <v>589000</v>
      </c>
      <c r="G112" s="13">
        <v>575000</v>
      </c>
      <c r="H112" s="13">
        <v>550000</v>
      </c>
      <c r="I112" s="29">
        <f t="shared" si="1"/>
        <v>230.89840470193116</v>
      </c>
      <c r="J112" s="11">
        <v>37988</v>
      </c>
      <c r="K112" s="11" t="s">
        <v>38</v>
      </c>
      <c r="L112" s="11" t="s">
        <v>285</v>
      </c>
      <c r="M112" s="15" t="s">
        <v>45</v>
      </c>
      <c r="N112" s="15">
        <v>85739</v>
      </c>
      <c r="O112" s="15">
        <v>32.530996999999999</v>
      </c>
      <c r="P112" s="15">
        <v>-110.859151</v>
      </c>
      <c r="Q112" s="16">
        <v>2382</v>
      </c>
      <c r="R112" s="16">
        <v>2004</v>
      </c>
      <c r="S112" s="16">
        <v>3</v>
      </c>
      <c r="T112" s="17">
        <v>3</v>
      </c>
      <c r="U112" s="11" t="s">
        <v>41</v>
      </c>
      <c r="V112" s="16">
        <v>1</v>
      </c>
      <c r="W112" s="11" t="s">
        <v>328</v>
      </c>
      <c r="X112" s="11" t="s">
        <v>329</v>
      </c>
      <c r="Y112" s="15" t="s">
        <v>40</v>
      </c>
      <c r="Z112" s="11"/>
    </row>
    <row r="113" spans="1:26" x14ac:dyDescent="0.25">
      <c r="A113" s="16">
        <v>22603795</v>
      </c>
      <c r="B113" s="11">
        <v>46063</v>
      </c>
      <c r="C113" s="11">
        <v>46141</v>
      </c>
      <c r="D113" s="11">
        <v>46126</v>
      </c>
      <c r="E113" s="12" t="s">
        <v>37</v>
      </c>
      <c r="F113" s="13">
        <v>415000</v>
      </c>
      <c r="G113" s="13">
        <v>399000</v>
      </c>
      <c r="H113" s="13">
        <v>399000</v>
      </c>
      <c r="I113" s="29">
        <f t="shared" si="1"/>
        <v>212.46006389776358</v>
      </c>
      <c r="J113" s="11">
        <v>38049</v>
      </c>
      <c r="K113" s="11" t="s">
        <v>38</v>
      </c>
      <c r="L113" s="11" t="s">
        <v>330</v>
      </c>
      <c r="M113" s="15" t="s">
        <v>45</v>
      </c>
      <c r="N113" s="15">
        <v>85739</v>
      </c>
      <c r="O113" s="15">
        <v>32.531016000000001</v>
      </c>
      <c r="P113" s="15">
        <v>-110.881615</v>
      </c>
      <c r="Q113" s="16">
        <v>1878</v>
      </c>
      <c r="R113" s="16">
        <v>1989</v>
      </c>
      <c r="S113" s="16">
        <v>2</v>
      </c>
      <c r="T113" s="17">
        <v>2</v>
      </c>
      <c r="U113" s="11" t="s">
        <v>41</v>
      </c>
      <c r="V113" s="16">
        <v>1</v>
      </c>
      <c r="W113" s="11" t="s">
        <v>331</v>
      </c>
      <c r="X113" s="11" t="s">
        <v>332</v>
      </c>
      <c r="Y113" s="15" t="s">
        <v>40</v>
      </c>
      <c r="Z113" s="11"/>
    </row>
    <row r="114" spans="1:26" x14ac:dyDescent="0.25">
      <c r="A114" s="16">
        <v>22526914</v>
      </c>
      <c r="B114" s="11">
        <v>45946</v>
      </c>
      <c r="C114" s="11">
        <v>46066</v>
      </c>
      <c r="D114" s="11">
        <v>46056</v>
      </c>
      <c r="E114" s="12" t="s">
        <v>37</v>
      </c>
      <c r="F114" s="13">
        <v>585000</v>
      </c>
      <c r="G114" s="13">
        <v>550000</v>
      </c>
      <c r="H114" s="13">
        <v>550000</v>
      </c>
      <c r="I114" s="29">
        <f t="shared" si="1"/>
        <v>174.54776261504284</v>
      </c>
      <c r="J114" s="11">
        <v>38113</v>
      </c>
      <c r="K114" s="11" t="s">
        <v>38</v>
      </c>
      <c r="L114" s="11" t="s">
        <v>333</v>
      </c>
      <c r="M114" s="15" t="s">
        <v>40</v>
      </c>
      <c r="N114" s="15">
        <v>85739</v>
      </c>
      <c r="O114" s="15">
        <v>32.531083000000002</v>
      </c>
      <c r="P114" s="15">
        <v>-110.899902</v>
      </c>
      <c r="Q114" s="16">
        <v>3151</v>
      </c>
      <c r="R114" s="16">
        <v>2001</v>
      </c>
      <c r="S114" s="16">
        <v>3</v>
      </c>
      <c r="T114" s="17">
        <v>2.5</v>
      </c>
      <c r="U114" s="11" t="s">
        <v>41</v>
      </c>
      <c r="V114" s="16">
        <v>2</v>
      </c>
      <c r="W114" s="11" t="s">
        <v>334</v>
      </c>
      <c r="X114" s="11" t="s">
        <v>335</v>
      </c>
      <c r="Y114" s="15" t="s">
        <v>40</v>
      </c>
      <c r="Z114" s="11"/>
    </row>
    <row r="115" spans="1:26" x14ac:dyDescent="0.25">
      <c r="A115" s="16">
        <v>22531902</v>
      </c>
      <c r="B115" s="11">
        <v>46007</v>
      </c>
      <c r="C115" s="11">
        <v>46080</v>
      </c>
      <c r="D115" s="11">
        <v>46017</v>
      </c>
      <c r="E115" s="12" t="s">
        <v>37</v>
      </c>
      <c r="F115" s="13">
        <v>422000</v>
      </c>
      <c r="G115" s="13">
        <v>422000</v>
      </c>
      <c r="H115" s="13">
        <v>431000</v>
      </c>
      <c r="I115" s="29">
        <f t="shared" si="1"/>
        <v>195.90909090909091</v>
      </c>
      <c r="J115" s="11">
        <v>38015</v>
      </c>
      <c r="K115" s="11" t="s">
        <v>38</v>
      </c>
      <c r="L115" s="11" t="s">
        <v>336</v>
      </c>
      <c r="M115" s="15" t="s">
        <v>45</v>
      </c>
      <c r="N115" s="15">
        <v>85739</v>
      </c>
      <c r="O115" s="15">
        <v>32.531204000000002</v>
      </c>
      <c r="P115" s="15">
        <v>-110.87768199999999</v>
      </c>
      <c r="Q115" s="16">
        <v>2200</v>
      </c>
      <c r="R115" s="16">
        <v>1989</v>
      </c>
      <c r="S115" s="16">
        <v>2</v>
      </c>
      <c r="T115" s="17">
        <v>2.5</v>
      </c>
      <c r="U115" s="11" t="s">
        <v>41</v>
      </c>
      <c r="V115" s="16">
        <v>1</v>
      </c>
      <c r="W115" s="11" t="s">
        <v>337</v>
      </c>
      <c r="X115" s="11" t="s">
        <v>338</v>
      </c>
      <c r="Y115" s="15" t="s">
        <v>40</v>
      </c>
      <c r="Z115" s="11"/>
    </row>
    <row r="116" spans="1:26" x14ac:dyDescent="0.25">
      <c r="A116" s="16">
        <v>22518602</v>
      </c>
      <c r="B116" s="11">
        <v>45850</v>
      </c>
      <c r="C116" s="11">
        <v>46115</v>
      </c>
      <c r="D116" s="11">
        <v>46114</v>
      </c>
      <c r="E116" s="12" t="s">
        <v>37</v>
      </c>
      <c r="F116" s="13">
        <v>799000</v>
      </c>
      <c r="G116" s="13">
        <v>759000</v>
      </c>
      <c r="H116" s="13">
        <v>730000</v>
      </c>
      <c r="I116" s="29">
        <f t="shared" si="1"/>
        <v>225.23912372724467</v>
      </c>
      <c r="J116" s="11">
        <v>37960</v>
      </c>
      <c r="K116" s="11" t="s">
        <v>38</v>
      </c>
      <c r="L116" s="11" t="s">
        <v>306</v>
      </c>
      <c r="M116" s="15" t="s">
        <v>40</v>
      </c>
      <c r="N116" s="15">
        <v>85739</v>
      </c>
      <c r="O116" s="15">
        <v>32.531300999999999</v>
      </c>
      <c r="P116" s="15">
        <v>-110.871432</v>
      </c>
      <c r="Q116" s="16">
        <v>3241</v>
      </c>
      <c r="R116" s="16">
        <v>1995</v>
      </c>
      <c r="S116" s="16">
        <v>3</v>
      </c>
      <c r="T116" s="17">
        <v>2.5</v>
      </c>
      <c r="U116" s="11" t="s">
        <v>41</v>
      </c>
      <c r="V116" s="16">
        <v>2</v>
      </c>
      <c r="W116" s="11" t="s">
        <v>339</v>
      </c>
      <c r="X116" s="11" t="s">
        <v>340</v>
      </c>
      <c r="Y116" s="15" t="s">
        <v>40</v>
      </c>
      <c r="Z116" s="11"/>
    </row>
    <row r="117" spans="1:26" x14ac:dyDescent="0.25">
      <c r="A117" s="16">
        <v>22526999</v>
      </c>
      <c r="B117" s="11">
        <v>45947</v>
      </c>
      <c r="C117" s="11">
        <v>46132</v>
      </c>
      <c r="D117" s="11">
        <v>46114</v>
      </c>
      <c r="E117" s="12" t="s">
        <v>37</v>
      </c>
      <c r="F117" s="13">
        <v>435000</v>
      </c>
      <c r="G117" s="13">
        <v>359000</v>
      </c>
      <c r="H117" s="13">
        <v>355000</v>
      </c>
      <c r="I117" s="29">
        <f t="shared" si="1"/>
        <v>158.41142347166445</v>
      </c>
      <c r="J117" s="11">
        <v>37972</v>
      </c>
      <c r="K117" s="11" t="s">
        <v>38</v>
      </c>
      <c r="L117" s="11" t="s">
        <v>341</v>
      </c>
      <c r="M117" s="15" t="s">
        <v>40</v>
      </c>
      <c r="N117" s="15">
        <v>85739</v>
      </c>
      <c r="O117" s="15">
        <v>32.531385</v>
      </c>
      <c r="P117" s="15">
        <v>-110.896034</v>
      </c>
      <c r="Q117" s="16">
        <v>2241</v>
      </c>
      <c r="R117" s="16">
        <v>2005</v>
      </c>
      <c r="S117" s="16">
        <v>2</v>
      </c>
      <c r="T117" s="17">
        <v>2</v>
      </c>
      <c r="U117" s="11" t="s">
        <v>41</v>
      </c>
      <c r="V117" s="16">
        <v>1</v>
      </c>
      <c r="W117" s="11" t="s">
        <v>342</v>
      </c>
      <c r="X117" s="11" t="s">
        <v>343</v>
      </c>
      <c r="Y117" s="15" t="s">
        <v>40</v>
      </c>
      <c r="Z117" s="11"/>
    </row>
    <row r="118" spans="1:26" x14ac:dyDescent="0.25">
      <c r="A118" s="16">
        <v>22604786</v>
      </c>
      <c r="B118" s="11">
        <v>46073</v>
      </c>
      <c r="C118" s="11">
        <v>46104</v>
      </c>
      <c r="D118" s="11">
        <v>46085</v>
      </c>
      <c r="E118" s="12" t="s">
        <v>37</v>
      </c>
      <c r="F118" s="13">
        <v>599900</v>
      </c>
      <c r="G118" s="13">
        <v>599900</v>
      </c>
      <c r="H118" s="13">
        <v>599900</v>
      </c>
      <c r="I118" s="29">
        <f t="shared" si="1"/>
        <v>277.47456059204438</v>
      </c>
      <c r="J118" s="11">
        <v>37939</v>
      </c>
      <c r="K118" s="11" t="s">
        <v>38</v>
      </c>
      <c r="L118" s="11" t="s">
        <v>344</v>
      </c>
      <c r="M118" s="15" t="s">
        <v>45</v>
      </c>
      <c r="N118" s="15">
        <v>85739</v>
      </c>
      <c r="O118" s="15">
        <v>32.531691000000002</v>
      </c>
      <c r="P118" s="15">
        <v>-110.87413100000001</v>
      </c>
      <c r="Q118" s="16">
        <v>2162</v>
      </c>
      <c r="R118" s="16">
        <v>1996</v>
      </c>
      <c r="S118" s="16">
        <v>3</v>
      </c>
      <c r="T118" s="17">
        <v>2.5</v>
      </c>
      <c r="U118" s="11" t="s">
        <v>41</v>
      </c>
      <c r="V118" s="16">
        <v>1</v>
      </c>
      <c r="W118" s="11" t="s">
        <v>345</v>
      </c>
      <c r="X118" s="11" t="s">
        <v>346</v>
      </c>
      <c r="Y118" s="15" t="s">
        <v>40</v>
      </c>
      <c r="Z118" s="11"/>
    </row>
    <row r="119" spans="1:26" x14ac:dyDescent="0.25">
      <c r="A119" s="16">
        <v>22526318</v>
      </c>
      <c r="B119" s="11">
        <v>45939</v>
      </c>
      <c r="C119" s="11">
        <v>46028</v>
      </c>
      <c r="D119" s="11">
        <v>46028</v>
      </c>
      <c r="E119" s="12" t="s">
        <v>37</v>
      </c>
      <c r="F119" s="13">
        <v>899000</v>
      </c>
      <c r="G119" s="13">
        <v>850000</v>
      </c>
      <c r="H119" s="13">
        <v>810000</v>
      </c>
      <c r="I119" s="29">
        <f t="shared" si="1"/>
        <v>244.63908184838417</v>
      </c>
      <c r="J119" s="11">
        <v>37999</v>
      </c>
      <c r="K119" s="11" t="s">
        <v>38</v>
      </c>
      <c r="L119" s="11" t="s">
        <v>347</v>
      </c>
      <c r="M119" s="15" t="s">
        <v>45</v>
      </c>
      <c r="N119" s="15">
        <v>85739</v>
      </c>
      <c r="O119" s="15">
        <v>32.531692</v>
      </c>
      <c r="P119" s="15">
        <v>-110.865137</v>
      </c>
      <c r="Q119" s="16">
        <v>3311</v>
      </c>
      <c r="R119" s="16">
        <v>1994</v>
      </c>
      <c r="S119" s="16">
        <v>3</v>
      </c>
      <c r="T119" s="17">
        <v>2.5</v>
      </c>
      <c r="U119" s="11" t="s">
        <v>41</v>
      </c>
      <c r="V119" s="16">
        <v>2</v>
      </c>
      <c r="W119" s="11" t="s">
        <v>348</v>
      </c>
      <c r="X119" s="11" t="s">
        <v>349</v>
      </c>
      <c r="Y119" s="15" t="s">
        <v>40</v>
      </c>
      <c r="Z119" s="11"/>
    </row>
    <row r="120" spans="1:26" x14ac:dyDescent="0.25">
      <c r="A120" s="16">
        <v>22526709</v>
      </c>
      <c r="B120" s="11">
        <v>45944</v>
      </c>
      <c r="C120" s="11">
        <v>46064</v>
      </c>
      <c r="D120" s="11">
        <v>46059</v>
      </c>
      <c r="E120" s="12" t="s">
        <v>37</v>
      </c>
      <c r="F120" s="13">
        <v>499000</v>
      </c>
      <c r="G120" s="13">
        <v>499000</v>
      </c>
      <c r="H120" s="13">
        <v>472000</v>
      </c>
      <c r="I120" s="29">
        <f t="shared" si="1"/>
        <v>217.71217712177122</v>
      </c>
      <c r="J120" s="11">
        <v>65427</v>
      </c>
      <c r="K120" s="11" t="s">
        <v>48</v>
      </c>
      <c r="L120" s="11" t="s">
        <v>350</v>
      </c>
      <c r="M120" s="15" t="s">
        <v>45</v>
      </c>
      <c r="N120" s="15">
        <v>85739</v>
      </c>
      <c r="O120" s="15">
        <v>32.532176</v>
      </c>
      <c r="P120" s="15">
        <v>-110.867625</v>
      </c>
      <c r="Q120" s="16">
        <v>2168</v>
      </c>
      <c r="R120" s="16">
        <v>1993</v>
      </c>
      <c r="S120" s="16">
        <v>2</v>
      </c>
      <c r="T120" s="17">
        <v>2</v>
      </c>
      <c r="U120" s="11" t="s">
        <v>41</v>
      </c>
      <c r="V120" s="16">
        <v>1</v>
      </c>
      <c r="W120" s="11" t="s">
        <v>351</v>
      </c>
      <c r="X120" s="11" t="s">
        <v>352</v>
      </c>
      <c r="Y120" s="15" t="s">
        <v>40</v>
      </c>
      <c r="Z120" s="11"/>
    </row>
    <row r="121" spans="1:26" x14ac:dyDescent="0.25">
      <c r="A121" s="16">
        <v>22607239</v>
      </c>
      <c r="B121" s="11">
        <v>46099</v>
      </c>
      <c r="C121" s="11">
        <v>46169</v>
      </c>
      <c r="D121" s="11">
        <v>46136</v>
      </c>
      <c r="E121" s="12" t="s">
        <v>37</v>
      </c>
      <c r="F121" s="13">
        <v>489000</v>
      </c>
      <c r="G121" s="13">
        <v>479000</v>
      </c>
      <c r="H121" s="13">
        <v>475000</v>
      </c>
      <c r="I121" s="29">
        <f t="shared" si="1"/>
        <v>236.78963110667996</v>
      </c>
      <c r="J121" s="11">
        <v>37910</v>
      </c>
      <c r="K121" s="11" t="s">
        <v>38</v>
      </c>
      <c r="L121" s="11" t="s">
        <v>336</v>
      </c>
      <c r="M121" s="15" t="s">
        <v>45</v>
      </c>
      <c r="N121" s="15">
        <v>85739</v>
      </c>
      <c r="O121" s="15">
        <v>32.532291000000001</v>
      </c>
      <c r="P121" s="15">
        <v>-110.877965</v>
      </c>
      <c r="Q121" s="16">
        <v>2006</v>
      </c>
      <c r="R121" s="16">
        <v>1987</v>
      </c>
      <c r="S121" s="16">
        <v>3</v>
      </c>
      <c r="T121" s="17">
        <v>2</v>
      </c>
      <c r="U121" s="11" t="s">
        <v>41</v>
      </c>
      <c r="V121" s="16">
        <v>1</v>
      </c>
      <c r="W121" s="11" t="s">
        <v>353</v>
      </c>
      <c r="X121" s="11" t="s">
        <v>354</v>
      </c>
      <c r="Y121" s="15" t="s">
        <v>40</v>
      </c>
      <c r="Z121" s="11"/>
    </row>
    <row r="122" spans="1:26" x14ac:dyDescent="0.25">
      <c r="A122" s="16">
        <v>22528489</v>
      </c>
      <c r="B122" s="11">
        <v>45962</v>
      </c>
      <c r="C122" s="11">
        <v>46100</v>
      </c>
      <c r="D122" s="11">
        <v>46100</v>
      </c>
      <c r="E122" s="12" t="s">
        <v>37</v>
      </c>
      <c r="F122" s="13">
        <v>479000</v>
      </c>
      <c r="G122" s="13">
        <v>479000</v>
      </c>
      <c r="H122" s="13">
        <v>460000</v>
      </c>
      <c r="I122" s="29">
        <f t="shared" si="1"/>
        <v>306.46235842771483</v>
      </c>
      <c r="J122" s="11">
        <v>37790</v>
      </c>
      <c r="K122" s="11" t="s">
        <v>38</v>
      </c>
      <c r="L122" s="11" t="s">
        <v>228</v>
      </c>
      <c r="M122" s="15" t="s">
        <v>45</v>
      </c>
      <c r="N122" s="15">
        <v>85739</v>
      </c>
      <c r="O122" s="15">
        <v>32.53313</v>
      </c>
      <c r="P122" s="15">
        <v>-110.88931599999999</v>
      </c>
      <c r="Q122" s="16">
        <v>1501</v>
      </c>
      <c r="R122" s="16">
        <v>2005</v>
      </c>
      <c r="S122" s="16">
        <v>3</v>
      </c>
      <c r="T122" s="17">
        <v>2</v>
      </c>
      <c r="U122" s="11" t="s">
        <v>41</v>
      </c>
      <c r="V122" s="16">
        <v>1</v>
      </c>
      <c r="W122" s="11" t="s">
        <v>355</v>
      </c>
      <c r="X122" s="11" t="s">
        <v>356</v>
      </c>
      <c r="Y122" s="15" t="s">
        <v>40</v>
      </c>
      <c r="Z122" s="11"/>
    </row>
    <row r="123" spans="1:26" x14ac:dyDescent="0.25">
      <c r="A123" s="16">
        <v>22527932</v>
      </c>
      <c r="B123" s="11">
        <v>45957</v>
      </c>
      <c r="C123" s="11">
        <v>46006</v>
      </c>
      <c r="D123" s="11">
        <v>45980</v>
      </c>
      <c r="E123" s="12" t="s">
        <v>37</v>
      </c>
      <c r="F123" s="13">
        <v>524500</v>
      </c>
      <c r="G123" s="13">
        <v>524500</v>
      </c>
      <c r="H123" s="13">
        <v>524500</v>
      </c>
      <c r="I123" s="29">
        <f t="shared" si="1"/>
        <v>270.9194214876033</v>
      </c>
      <c r="J123" s="11">
        <v>37774</v>
      </c>
      <c r="K123" s="11" t="s">
        <v>38</v>
      </c>
      <c r="L123" s="11" t="s">
        <v>341</v>
      </c>
      <c r="M123" s="15" t="s">
        <v>40</v>
      </c>
      <c r="N123" s="15">
        <v>85739</v>
      </c>
      <c r="O123" s="15">
        <v>32.533307000000001</v>
      </c>
      <c r="P123" s="15">
        <v>-110.896072</v>
      </c>
      <c r="Q123" s="16">
        <v>1936</v>
      </c>
      <c r="R123" s="16">
        <v>2003</v>
      </c>
      <c r="S123" s="16">
        <v>2</v>
      </c>
      <c r="T123" s="17">
        <v>2</v>
      </c>
      <c r="U123" s="11" t="s">
        <v>41</v>
      </c>
      <c r="V123" s="16">
        <v>1</v>
      </c>
      <c r="W123" s="11" t="s">
        <v>357</v>
      </c>
      <c r="X123" s="11" t="s">
        <v>358</v>
      </c>
      <c r="Y123" s="15" t="s">
        <v>40</v>
      </c>
      <c r="Z123" s="11"/>
    </row>
    <row r="124" spans="1:26" x14ac:dyDescent="0.25">
      <c r="A124" s="16">
        <v>22601156</v>
      </c>
      <c r="B124" s="11">
        <v>46035</v>
      </c>
      <c r="C124" s="11">
        <v>46104</v>
      </c>
      <c r="D124" s="11">
        <v>46097</v>
      </c>
      <c r="E124" s="12" t="s">
        <v>37</v>
      </c>
      <c r="F124" s="13">
        <v>675000</v>
      </c>
      <c r="G124" s="13">
        <v>669000</v>
      </c>
      <c r="H124" s="13">
        <v>650000</v>
      </c>
      <c r="I124" s="29">
        <f t="shared" si="1"/>
        <v>283.84279475982532</v>
      </c>
      <c r="J124" s="11">
        <v>37741</v>
      </c>
      <c r="K124" s="11" t="s">
        <v>38</v>
      </c>
      <c r="L124" s="11" t="s">
        <v>359</v>
      </c>
      <c r="M124" s="15" t="s">
        <v>40</v>
      </c>
      <c r="N124" s="15">
        <v>85739</v>
      </c>
      <c r="O124" s="15">
        <v>32.533448</v>
      </c>
      <c r="P124" s="15">
        <v>-110.89239000000001</v>
      </c>
      <c r="Q124" s="16">
        <v>2290</v>
      </c>
      <c r="R124" s="16">
        <v>2002</v>
      </c>
      <c r="S124" s="16">
        <v>3</v>
      </c>
      <c r="T124" s="17">
        <v>3</v>
      </c>
      <c r="U124" s="11" t="s">
        <v>41</v>
      </c>
      <c r="V124" s="16">
        <v>1</v>
      </c>
      <c r="W124" s="11" t="s">
        <v>360</v>
      </c>
      <c r="X124" s="11" t="s">
        <v>361</v>
      </c>
      <c r="Y124" s="15" t="s">
        <v>40</v>
      </c>
      <c r="Z124" s="11"/>
    </row>
    <row r="125" spans="1:26" x14ac:dyDescent="0.25">
      <c r="A125" s="16">
        <v>22600381</v>
      </c>
      <c r="B125" s="11">
        <v>46028</v>
      </c>
      <c r="C125" s="11">
        <v>46101</v>
      </c>
      <c r="D125" s="11">
        <v>46090</v>
      </c>
      <c r="E125" s="12" t="s">
        <v>37</v>
      </c>
      <c r="F125" s="13">
        <v>625000</v>
      </c>
      <c r="G125" s="13">
        <v>625000</v>
      </c>
      <c r="H125" s="13">
        <v>600000</v>
      </c>
      <c r="I125" s="29">
        <f t="shared" si="1"/>
        <v>252.52525252525251</v>
      </c>
      <c r="J125" s="11">
        <v>37889</v>
      </c>
      <c r="K125" s="11" t="s">
        <v>38</v>
      </c>
      <c r="L125" s="11" t="s">
        <v>362</v>
      </c>
      <c r="M125" s="15" t="s">
        <v>45</v>
      </c>
      <c r="N125" s="15">
        <v>85739</v>
      </c>
      <c r="O125" s="15">
        <v>32.533709999999999</v>
      </c>
      <c r="P125" s="15">
        <v>-110.897414</v>
      </c>
      <c r="Q125" s="16">
        <v>2376</v>
      </c>
      <c r="R125" s="16">
        <v>2000</v>
      </c>
      <c r="S125" s="16">
        <v>3</v>
      </c>
      <c r="T125" s="17">
        <v>2</v>
      </c>
      <c r="U125" s="11" t="s">
        <v>41</v>
      </c>
      <c r="V125" s="16">
        <v>1</v>
      </c>
      <c r="W125" s="11" t="s">
        <v>363</v>
      </c>
      <c r="X125" s="11" t="s">
        <v>364</v>
      </c>
      <c r="Y125" s="15" t="s">
        <v>40</v>
      </c>
      <c r="Z125" s="11"/>
    </row>
    <row r="126" spans="1:26" x14ac:dyDescent="0.25">
      <c r="A126" s="16">
        <v>22532079</v>
      </c>
      <c r="B126" s="11">
        <v>46010</v>
      </c>
      <c r="C126" s="11">
        <v>46115</v>
      </c>
      <c r="D126" s="11">
        <v>46091</v>
      </c>
      <c r="E126" s="12" t="s">
        <v>37</v>
      </c>
      <c r="F126" s="13">
        <v>749000</v>
      </c>
      <c r="G126" s="13">
        <v>749000</v>
      </c>
      <c r="H126" s="13">
        <v>749000</v>
      </c>
      <c r="I126" s="29">
        <f t="shared" si="1"/>
        <v>312.99623903050565</v>
      </c>
      <c r="J126" s="11">
        <v>37721</v>
      </c>
      <c r="K126" s="11" t="s">
        <v>38</v>
      </c>
      <c r="L126" s="11" t="s">
        <v>52</v>
      </c>
      <c r="M126" s="15" t="s">
        <v>40</v>
      </c>
      <c r="N126" s="15">
        <v>85739</v>
      </c>
      <c r="O126" s="15">
        <v>32.533766</v>
      </c>
      <c r="P126" s="15">
        <v>-110.86108299999999</v>
      </c>
      <c r="Q126" s="16">
        <v>2393</v>
      </c>
      <c r="R126" s="16">
        <v>2004</v>
      </c>
      <c r="S126" s="16">
        <v>3</v>
      </c>
      <c r="T126" s="17">
        <v>2</v>
      </c>
      <c r="U126" s="11" t="s">
        <v>41</v>
      </c>
      <c r="V126" s="16">
        <v>1</v>
      </c>
      <c r="W126" s="11" t="s">
        <v>365</v>
      </c>
      <c r="X126" s="11" t="s">
        <v>366</v>
      </c>
      <c r="Y126" s="15" t="s">
        <v>40</v>
      </c>
      <c r="Z126" s="11"/>
    </row>
    <row r="127" spans="1:26" x14ac:dyDescent="0.25">
      <c r="A127" s="16">
        <v>22418709</v>
      </c>
      <c r="B127" s="11">
        <v>45503</v>
      </c>
      <c r="C127" s="11">
        <v>46050</v>
      </c>
      <c r="D127" s="11">
        <v>46050</v>
      </c>
      <c r="E127" s="12" t="s">
        <v>37</v>
      </c>
      <c r="F127" s="13">
        <v>376000</v>
      </c>
      <c r="G127" s="13">
        <v>325000</v>
      </c>
      <c r="H127" s="13">
        <v>325000</v>
      </c>
      <c r="I127" s="29">
        <f t="shared" si="1"/>
        <v>224.29261559696343</v>
      </c>
      <c r="J127" s="11">
        <v>63812</v>
      </c>
      <c r="K127" s="11" t="s">
        <v>48</v>
      </c>
      <c r="L127" s="11" t="s">
        <v>367</v>
      </c>
      <c r="M127" s="15" t="s">
        <v>40</v>
      </c>
      <c r="N127" s="15">
        <v>85739</v>
      </c>
      <c r="O127" s="15">
        <v>32.533918</v>
      </c>
      <c r="P127" s="15">
        <v>-110.885249</v>
      </c>
      <c r="Q127" s="16">
        <v>1449</v>
      </c>
      <c r="R127" s="16">
        <v>1994</v>
      </c>
      <c r="S127" s="16">
        <v>2</v>
      </c>
      <c r="T127" s="17">
        <v>2</v>
      </c>
      <c r="U127" s="11" t="s">
        <v>41</v>
      </c>
      <c r="V127" s="16">
        <v>1</v>
      </c>
      <c r="W127" s="11" t="s">
        <v>368</v>
      </c>
      <c r="X127" s="11" t="s">
        <v>369</v>
      </c>
      <c r="Y127" s="15" t="s">
        <v>40</v>
      </c>
      <c r="Z127" s="11"/>
    </row>
    <row r="128" spans="1:26" x14ac:dyDescent="0.25">
      <c r="A128" s="16">
        <v>22527055</v>
      </c>
      <c r="B128" s="11">
        <v>45947</v>
      </c>
      <c r="C128" s="11">
        <v>46001</v>
      </c>
      <c r="D128" s="11">
        <v>45995</v>
      </c>
      <c r="E128" s="12" t="s">
        <v>37</v>
      </c>
      <c r="F128" s="13">
        <v>474000</v>
      </c>
      <c r="G128" s="13">
        <v>474000</v>
      </c>
      <c r="H128" s="13">
        <v>469000</v>
      </c>
      <c r="I128" s="29">
        <f t="shared" si="1"/>
        <v>212.5056637970095</v>
      </c>
      <c r="J128" s="11">
        <v>65168</v>
      </c>
      <c r="K128" s="11" t="s">
        <v>48</v>
      </c>
      <c r="L128" s="11" t="s">
        <v>350</v>
      </c>
      <c r="M128" s="15" t="s">
        <v>45</v>
      </c>
      <c r="N128" s="15">
        <v>85739</v>
      </c>
      <c r="O128" s="15">
        <v>32.534044000000002</v>
      </c>
      <c r="P128" s="15">
        <v>-110.870599</v>
      </c>
      <c r="Q128" s="16">
        <v>2207</v>
      </c>
      <c r="R128" s="16">
        <v>1996</v>
      </c>
      <c r="S128" s="16">
        <v>3</v>
      </c>
      <c r="T128" s="17">
        <v>2</v>
      </c>
      <c r="U128" s="11" t="s">
        <v>41</v>
      </c>
      <c r="V128" s="16">
        <v>1</v>
      </c>
      <c r="W128" s="11" t="s">
        <v>370</v>
      </c>
      <c r="X128" s="11" t="s">
        <v>371</v>
      </c>
      <c r="Y128" s="15" t="s">
        <v>40</v>
      </c>
      <c r="Z128" s="11"/>
    </row>
    <row r="129" spans="1:26" x14ac:dyDescent="0.25">
      <c r="A129" s="16">
        <v>22530888</v>
      </c>
      <c r="B129" s="11">
        <v>45993</v>
      </c>
      <c r="C129" s="11">
        <v>46163</v>
      </c>
      <c r="D129" s="11">
        <v>46162</v>
      </c>
      <c r="E129" s="12" t="s">
        <v>37</v>
      </c>
      <c r="F129" s="13">
        <v>381000</v>
      </c>
      <c r="G129" s="13">
        <v>325000</v>
      </c>
      <c r="H129" s="13">
        <v>307000</v>
      </c>
      <c r="I129" s="29">
        <f t="shared" si="1"/>
        <v>167.66794101583835</v>
      </c>
      <c r="J129" s="11">
        <v>37634</v>
      </c>
      <c r="K129" s="11" t="s">
        <v>38</v>
      </c>
      <c r="L129" s="11" t="s">
        <v>372</v>
      </c>
      <c r="M129" s="15" t="s">
        <v>40</v>
      </c>
      <c r="N129" s="15">
        <v>85739</v>
      </c>
      <c r="O129" s="15">
        <v>32.534108000000003</v>
      </c>
      <c r="P129" s="15">
        <v>-110.86625600000001</v>
      </c>
      <c r="Q129" s="16">
        <v>1831</v>
      </c>
      <c r="R129" s="16">
        <v>1995</v>
      </c>
      <c r="S129" s="16">
        <v>2</v>
      </c>
      <c r="T129" s="17">
        <v>2</v>
      </c>
      <c r="U129" s="11" t="s">
        <v>41</v>
      </c>
      <c r="V129" s="16">
        <v>1</v>
      </c>
      <c r="W129" s="11" t="s">
        <v>373</v>
      </c>
      <c r="X129" s="11" t="s">
        <v>374</v>
      </c>
      <c r="Y129" s="15" t="s">
        <v>40</v>
      </c>
      <c r="Z129" s="11"/>
    </row>
    <row r="130" spans="1:26" x14ac:dyDescent="0.25">
      <c r="A130" s="16">
        <v>22607423</v>
      </c>
      <c r="B130" s="11">
        <v>46101</v>
      </c>
      <c r="C130" s="11">
        <v>46171</v>
      </c>
      <c r="D130" s="11">
        <v>46163</v>
      </c>
      <c r="E130" s="12" t="s">
        <v>37</v>
      </c>
      <c r="F130" s="13">
        <v>309000</v>
      </c>
      <c r="G130" s="13">
        <v>309000</v>
      </c>
      <c r="H130" s="13">
        <v>292000</v>
      </c>
      <c r="I130" s="29">
        <f t="shared" ref="I130:I193" si="2">H130/Q130</f>
        <v>231.01265822784811</v>
      </c>
      <c r="J130" s="11">
        <v>37622</v>
      </c>
      <c r="K130" s="11" t="s">
        <v>38</v>
      </c>
      <c r="L130" s="11" t="s">
        <v>347</v>
      </c>
      <c r="M130" s="15" t="s">
        <v>45</v>
      </c>
      <c r="N130" s="15">
        <v>85739</v>
      </c>
      <c r="O130" s="15">
        <v>32.534292000000001</v>
      </c>
      <c r="P130" s="15">
        <v>-110.865863</v>
      </c>
      <c r="Q130" s="16">
        <v>1264</v>
      </c>
      <c r="R130" s="16">
        <v>1995</v>
      </c>
      <c r="S130" s="16">
        <v>2</v>
      </c>
      <c r="T130" s="17">
        <v>2</v>
      </c>
      <c r="U130" s="11" t="s">
        <v>41</v>
      </c>
      <c r="V130" s="16">
        <v>1</v>
      </c>
      <c r="W130" s="11" t="s">
        <v>375</v>
      </c>
      <c r="X130" s="11" t="s">
        <v>376</v>
      </c>
      <c r="Y130" s="15" t="s">
        <v>40</v>
      </c>
      <c r="Z130" s="11"/>
    </row>
    <row r="131" spans="1:26" x14ac:dyDescent="0.25">
      <c r="A131" s="22">
        <v>22603272</v>
      </c>
      <c r="B131" s="18">
        <v>46057</v>
      </c>
      <c r="C131" s="18">
        <v>46113</v>
      </c>
      <c r="D131" s="18">
        <v>46099</v>
      </c>
      <c r="E131" s="19" t="s">
        <v>37</v>
      </c>
      <c r="F131" s="20">
        <v>329000</v>
      </c>
      <c r="G131" s="13">
        <v>329000</v>
      </c>
      <c r="H131" s="20">
        <v>310000</v>
      </c>
      <c r="I131" s="29">
        <f t="shared" si="2"/>
        <v>151.21951219512195</v>
      </c>
      <c r="J131" s="18">
        <v>63670</v>
      </c>
      <c r="K131" s="18" t="s">
        <v>48</v>
      </c>
      <c r="L131" s="18" t="s">
        <v>377</v>
      </c>
      <c r="M131" s="21" t="s">
        <v>45</v>
      </c>
      <c r="N131" s="21">
        <v>85739</v>
      </c>
      <c r="O131" s="21">
        <v>32.534585</v>
      </c>
      <c r="P131" s="21">
        <v>-110.886821</v>
      </c>
      <c r="Q131" s="22">
        <v>2050</v>
      </c>
      <c r="R131" s="19">
        <v>1993</v>
      </c>
      <c r="S131" s="22">
        <v>2</v>
      </c>
      <c r="T131" s="23">
        <v>2</v>
      </c>
      <c r="U131" s="18" t="s">
        <v>41</v>
      </c>
      <c r="V131" s="22">
        <v>1</v>
      </c>
      <c r="W131" s="18" t="s">
        <v>378</v>
      </c>
      <c r="X131" s="18" t="s">
        <v>379</v>
      </c>
      <c r="Y131" s="21" t="s">
        <v>40</v>
      </c>
      <c r="Z131" s="18"/>
    </row>
    <row r="132" spans="1:26" x14ac:dyDescent="0.25">
      <c r="A132" s="16">
        <v>22530125</v>
      </c>
      <c r="B132" s="11">
        <v>45981</v>
      </c>
      <c r="C132" s="11">
        <v>46070</v>
      </c>
      <c r="D132" s="11">
        <v>46065</v>
      </c>
      <c r="E132" s="12" t="s">
        <v>37</v>
      </c>
      <c r="F132" s="13">
        <v>529000</v>
      </c>
      <c r="G132" s="13">
        <v>499000</v>
      </c>
      <c r="H132" s="13">
        <v>480000</v>
      </c>
      <c r="I132" s="29">
        <f t="shared" si="2"/>
        <v>214.6690518783542</v>
      </c>
      <c r="J132" s="11">
        <v>37613</v>
      </c>
      <c r="K132" s="11" t="s">
        <v>38</v>
      </c>
      <c r="L132" s="11" t="s">
        <v>380</v>
      </c>
      <c r="M132" s="15" t="s">
        <v>40</v>
      </c>
      <c r="N132" s="15">
        <v>85739</v>
      </c>
      <c r="O132" s="15">
        <v>32.534686000000001</v>
      </c>
      <c r="P132" s="15">
        <v>-110.88434700000001</v>
      </c>
      <c r="Q132" s="16">
        <v>2236</v>
      </c>
      <c r="R132" s="16">
        <v>1995</v>
      </c>
      <c r="S132" s="16">
        <v>2</v>
      </c>
      <c r="T132" s="17">
        <v>2</v>
      </c>
      <c r="U132" s="11" t="s">
        <v>41</v>
      </c>
      <c r="V132" s="16">
        <v>1</v>
      </c>
      <c r="W132" s="11" t="s">
        <v>381</v>
      </c>
      <c r="X132" s="11" t="s">
        <v>382</v>
      </c>
      <c r="Y132" s="15" t="s">
        <v>40</v>
      </c>
      <c r="Z132" s="11"/>
    </row>
    <row r="133" spans="1:26" x14ac:dyDescent="0.25">
      <c r="A133" s="16">
        <v>22523432</v>
      </c>
      <c r="B133" s="11">
        <v>45908</v>
      </c>
      <c r="C133" s="11">
        <v>46010</v>
      </c>
      <c r="D133" s="11">
        <v>46009</v>
      </c>
      <c r="E133" s="12" t="s">
        <v>37</v>
      </c>
      <c r="F133" s="13">
        <v>425000</v>
      </c>
      <c r="G133" s="13">
        <v>419000</v>
      </c>
      <c r="H133" s="13">
        <v>400000</v>
      </c>
      <c r="I133" s="29">
        <f t="shared" si="2"/>
        <v>250.62656641604011</v>
      </c>
      <c r="J133" s="11">
        <v>64552</v>
      </c>
      <c r="K133" s="11" t="s">
        <v>48</v>
      </c>
      <c r="L133" s="11" t="s">
        <v>383</v>
      </c>
      <c r="M133" s="15" t="s">
        <v>45</v>
      </c>
      <c r="N133" s="15">
        <v>85739</v>
      </c>
      <c r="O133" s="15">
        <v>32.535142</v>
      </c>
      <c r="P133" s="15">
        <v>-110.87771600000001</v>
      </c>
      <c r="Q133" s="16">
        <v>1596</v>
      </c>
      <c r="R133" s="16">
        <v>1996</v>
      </c>
      <c r="S133" s="16">
        <v>2</v>
      </c>
      <c r="T133" s="17">
        <v>2</v>
      </c>
      <c r="U133" s="11" t="s">
        <v>41</v>
      </c>
      <c r="V133" s="16">
        <v>1</v>
      </c>
      <c r="W133" s="11" t="s">
        <v>384</v>
      </c>
      <c r="X133" s="11" t="s">
        <v>385</v>
      </c>
      <c r="Y133" s="15" t="s">
        <v>40</v>
      </c>
      <c r="Z133" s="11"/>
    </row>
    <row r="134" spans="1:26" x14ac:dyDescent="0.25">
      <c r="A134" s="22">
        <v>22524502</v>
      </c>
      <c r="B134" s="18">
        <v>45919</v>
      </c>
      <c r="C134" s="18">
        <v>46036</v>
      </c>
      <c r="D134" s="18">
        <v>46031</v>
      </c>
      <c r="E134" s="19" t="s">
        <v>37</v>
      </c>
      <c r="F134" s="20">
        <v>425000</v>
      </c>
      <c r="G134" s="13">
        <v>410000</v>
      </c>
      <c r="H134" s="20">
        <v>413000</v>
      </c>
      <c r="I134" s="29">
        <f t="shared" si="2"/>
        <v>239.55916473317865</v>
      </c>
      <c r="J134" s="18">
        <v>64540</v>
      </c>
      <c r="K134" s="18" t="s">
        <v>48</v>
      </c>
      <c r="L134" s="18" t="s">
        <v>383</v>
      </c>
      <c r="M134" s="21" t="s">
        <v>45</v>
      </c>
      <c r="N134" s="21">
        <v>85739</v>
      </c>
      <c r="O134" s="21">
        <v>32.535178999999999</v>
      </c>
      <c r="P134" s="21">
        <v>-110.877835</v>
      </c>
      <c r="Q134" s="22">
        <v>1724</v>
      </c>
      <c r="R134" s="19">
        <v>1996</v>
      </c>
      <c r="S134" s="22">
        <v>2</v>
      </c>
      <c r="T134" s="23">
        <v>2</v>
      </c>
      <c r="U134" s="18" t="s">
        <v>41</v>
      </c>
      <c r="V134" s="22">
        <v>1</v>
      </c>
      <c r="W134" s="18" t="s">
        <v>386</v>
      </c>
      <c r="X134" s="18" t="s">
        <v>387</v>
      </c>
      <c r="Y134" s="21" t="s">
        <v>40</v>
      </c>
      <c r="Z134" s="18"/>
    </row>
    <row r="135" spans="1:26" x14ac:dyDescent="0.25">
      <c r="A135" s="16">
        <v>22530426</v>
      </c>
      <c r="B135" s="11">
        <v>45986</v>
      </c>
      <c r="C135" s="11">
        <v>46147</v>
      </c>
      <c r="D135" s="11">
        <v>46138</v>
      </c>
      <c r="E135" s="12" t="s">
        <v>37</v>
      </c>
      <c r="F135" s="13">
        <v>475000</v>
      </c>
      <c r="G135" s="13">
        <v>439000</v>
      </c>
      <c r="H135" s="13">
        <v>439000</v>
      </c>
      <c r="I135" s="29">
        <f t="shared" si="2"/>
        <v>203.42910101946248</v>
      </c>
      <c r="J135" s="11">
        <v>37543</v>
      </c>
      <c r="K135" s="11" t="s">
        <v>38</v>
      </c>
      <c r="L135" s="11" t="s">
        <v>388</v>
      </c>
      <c r="M135" s="15" t="s">
        <v>45</v>
      </c>
      <c r="N135" s="15">
        <v>85739</v>
      </c>
      <c r="O135" s="15">
        <v>32.535274000000001</v>
      </c>
      <c r="P135" s="15">
        <v>-110.88573599999999</v>
      </c>
      <c r="Q135" s="16">
        <v>2158</v>
      </c>
      <c r="R135" s="16">
        <v>1993</v>
      </c>
      <c r="S135" s="16">
        <v>3</v>
      </c>
      <c r="T135" s="17">
        <v>3</v>
      </c>
      <c r="U135" s="11" t="s">
        <v>41</v>
      </c>
      <c r="V135" s="16">
        <v>1</v>
      </c>
      <c r="W135" s="11" t="s">
        <v>389</v>
      </c>
      <c r="X135" s="11" t="s">
        <v>390</v>
      </c>
      <c r="Y135" s="15" t="s">
        <v>40</v>
      </c>
      <c r="Z135" s="11"/>
    </row>
    <row r="136" spans="1:26" x14ac:dyDescent="0.25">
      <c r="A136" s="16">
        <v>22521633</v>
      </c>
      <c r="B136" s="11">
        <v>45887</v>
      </c>
      <c r="C136" s="11">
        <v>46120</v>
      </c>
      <c r="D136" s="11">
        <v>46120</v>
      </c>
      <c r="E136" s="12" t="s">
        <v>37</v>
      </c>
      <c r="F136" s="13">
        <v>382500</v>
      </c>
      <c r="G136" s="13">
        <v>345000</v>
      </c>
      <c r="H136" s="13">
        <v>345000</v>
      </c>
      <c r="I136" s="29">
        <f t="shared" si="2"/>
        <v>209.59902794653706</v>
      </c>
      <c r="J136" s="11">
        <v>64324</v>
      </c>
      <c r="K136" s="11" t="s">
        <v>48</v>
      </c>
      <c r="L136" s="11" t="s">
        <v>383</v>
      </c>
      <c r="M136" s="15" t="s">
        <v>45</v>
      </c>
      <c r="N136" s="15">
        <v>85739</v>
      </c>
      <c r="O136" s="15">
        <v>32.535366000000003</v>
      </c>
      <c r="P136" s="15">
        <v>-110.880044</v>
      </c>
      <c r="Q136" s="16">
        <v>1646</v>
      </c>
      <c r="R136" s="16">
        <v>1998</v>
      </c>
      <c r="S136" s="16">
        <v>2</v>
      </c>
      <c r="T136" s="17">
        <v>2</v>
      </c>
      <c r="U136" s="11" t="s">
        <v>41</v>
      </c>
      <c r="V136" s="16">
        <v>1</v>
      </c>
      <c r="W136" s="11" t="s">
        <v>391</v>
      </c>
      <c r="X136" s="11" t="s">
        <v>392</v>
      </c>
      <c r="Y136" s="15" t="s">
        <v>40</v>
      </c>
      <c r="Z136" s="11"/>
    </row>
    <row r="137" spans="1:26" x14ac:dyDescent="0.25">
      <c r="A137" s="16">
        <v>22529687</v>
      </c>
      <c r="B137" s="11">
        <v>45975</v>
      </c>
      <c r="C137" s="11">
        <v>46111</v>
      </c>
      <c r="D137" s="11">
        <v>46095</v>
      </c>
      <c r="E137" s="12" t="s">
        <v>37</v>
      </c>
      <c r="F137" s="13">
        <v>614000</v>
      </c>
      <c r="G137" s="13">
        <v>549000</v>
      </c>
      <c r="H137" s="13">
        <v>535000</v>
      </c>
      <c r="I137" s="29">
        <f t="shared" si="2"/>
        <v>165.07250848503548</v>
      </c>
      <c r="J137" s="11">
        <v>65159</v>
      </c>
      <c r="K137" s="11" t="s">
        <v>48</v>
      </c>
      <c r="L137" s="11" t="s">
        <v>393</v>
      </c>
      <c r="M137" s="15" t="s">
        <v>45</v>
      </c>
      <c r="N137" s="15">
        <v>85739</v>
      </c>
      <c r="O137" s="15">
        <v>32.535608000000003</v>
      </c>
      <c r="P137" s="15">
        <v>-110.870744</v>
      </c>
      <c r="Q137" s="16">
        <v>3241</v>
      </c>
      <c r="R137" s="16">
        <v>1999</v>
      </c>
      <c r="S137" s="16">
        <v>3</v>
      </c>
      <c r="T137" s="17">
        <v>2.5</v>
      </c>
      <c r="U137" s="11" t="s">
        <v>41</v>
      </c>
      <c r="V137" s="16">
        <v>2</v>
      </c>
      <c r="W137" s="11" t="s">
        <v>394</v>
      </c>
      <c r="X137" s="11" t="s">
        <v>395</v>
      </c>
      <c r="Y137" s="15" t="s">
        <v>40</v>
      </c>
      <c r="Z137" s="11"/>
    </row>
    <row r="138" spans="1:26" x14ac:dyDescent="0.25">
      <c r="A138" s="16">
        <v>22526750</v>
      </c>
      <c r="B138" s="11">
        <v>45945</v>
      </c>
      <c r="C138" s="11">
        <v>46157</v>
      </c>
      <c r="D138" s="11">
        <v>46133</v>
      </c>
      <c r="E138" s="12" t="s">
        <v>37</v>
      </c>
      <c r="F138" s="13">
        <v>487500</v>
      </c>
      <c r="G138" s="13">
        <v>475000</v>
      </c>
      <c r="H138" s="13">
        <v>475000</v>
      </c>
      <c r="I138" s="29">
        <f t="shared" si="2"/>
        <v>194.03594771241831</v>
      </c>
      <c r="J138" s="11">
        <v>37530</v>
      </c>
      <c r="K138" s="11" t="s">
        <v>38</v>
      </c>
      <c r="L138" s="11" t="s">
        <v>396</v>
      </c>
      <c r="M138" s="15" t="s">
        <v>40</v>
      </c>
      <c r="N138" s="15">
        <v>85739</v>
      </c>
      <c r="O138" s="15">
        <v>32.535611000000003</v>
      </c>
      <c r="P138" s="15">
        <v>-110.859689</v>
      </c>
      <c r="Q138" s="16">
        <v>2448</v>
      </c>
      <c r="R138" s="16">
        <v>2004</v>
      </c>
      <c r="S138" s="16">
        <v>3</v>
      </c>
      <c r="T138" s="17">
        <v>2</v>
      </c>
      <c r="U138" s="11" t="s">
        <v>41</v>
      </c>
      <c r="V138" s="16">
        <v>1</v>
      </c>
      <c r="W138" s="11" t="s">
        <v>397</v>
      </c>
      <c r="X138" s="11" t="s">
        <v>398</v>
      </c>
      <c r="Y138" s="15" t="s">
        <v>40</v>
      </c>
      <c r="Z138" s="11"/>
    </row>
    <row r="139" spans="1:26" x14ac:dyDescent="0.25">
      <c r="A139" s="16">
        <v>22600307</v>
      </c>
      <c r="B139" s="11">
        <v>46027</v>
      </c>
      <c r="C139" s="11">
        <v>46058</v>
      </c>
      <c r="D139" s="11">
        <v>46042</v>
      </c>
      <c r="E139" s="12" t="s">
        <v>37</v>
      </c>
      <c r="F139" s="13">
        <v>885000</v>
      </c>
      <c r="G139" s="13">
        <v>885000</v>
      </c>
      <c r="H139" s="13">
        <v>875000</v>
      </c>
      <c r="I139" s="29">
        <f t="shared" si="2"/>
        <v>365.4970760233918</v>
      </c>
      <c r="J139" s="11">
        <v>65221</v>
      </c>
      <c r="K139" s="11" t="s">
        <v>48</v>
      </c>
      <c r="L139" s="11" t="s">
        <v>393</v>
      </c>
      <c r="M139" s="15" t="s">
        <v>45</v>
      </c>
      <c r="N139" s="15">
        <v>85739</v>
      </c>
      <c r="O139" s="15">
        <v>32.536062999999999</v>
      </c>
      <c r="P139" s="15">
        <v>-110.869907</v>
      </c>
      <c r="Q139" s="16">
        <v>2394</v>
      </c>
      <c r="R139" s="16">
        <v>1997</v>
      </c>
      <c r="S139" s="16">
        <v>3</v>
      </c>
      <c r="T139" s="17">
        <v>3</v>
      </c>
      <c r="U139" s="11" t="s">
        <v>41</v>
      </c>
      <c r="V139" s="16">
        <v>1</v>
      </c>
      <c r="W139" s="11" t="s">
        <v>399</v>
      </c>
      <c r="X139" s="11" t="s">
        <v>400</v>
      </c>
      <c r="Y139" s="15" t="s">
        <v>40</v>
      </c>
      <c r="Z139" s="11"/>
    </row>
    <row r="140" spans="1:26" x14ac:dyDescent="0.25">
      <c r="A140" s="16">
        <v>22532331</v>
      </c>
      <c r="B140" s="11">
        <v>46014</v>
      </c>
      <c r="C140" s="11">
        <v>46065</v>
      </c>
      <c r="D140" s="11">
        <v>46042</v>
      </c>
      <c r="E140" s="12" t="s">
        <v>37</v>
      </c>
      <c r="F140" s="13">
        <v>699000</v>
      </c>
      <c r="G140" s="13">
        <v>699000</v>
      </c>
      <c r="H140" s="13">
        <v>690000</v>
      </c>
      <c r="I140" s="29">
        <f t="shared" si="2"/>
        <v>282.78688524590166</v>
      </c>
      <c r="J140" s="11">
        <v>37467</v>
      </c>
      <c r="K140" s="11" t="s">
        <v>38</v>
      </c>
      <c r="L140" s="11" t="s">
        <v>401</v>
      </c>
      <c r="M140" s="15" t="s">
        <v>45</v>
      </c>
      <c r="N140" s="15">
        <v>85739</v>
      </c>
      <c r="O140" s="15">
        <v>32.536219000000003</v>
      </c>
      <c r="P140" s="15">
        <v>-110.86376300000001</v>
      </c>
      <c r="Q140" s="16">
        <v>2440</v>
      </c>
      <c r="R140" s="16">
        <v>1995</v>
      </c>
      <c r="S140" s="16">
        <v>3</v>
      </c>
      <c r="T140" s="17">
        <v>3</v>
      </c>
      <c r="U140" s="11" t="s">
        <v>41</v>
      </c>
      <c r="V140" s="16">
        <v>1</v>
      </c>
      <c r="W140" s="11" t="s">
        <v>402</v>
      </c>
      <c r="X140" s="11" t="s">
        <v>403</v>
      </c>
      <c r="Y140" s="15" t="s">
        <v>40</v>
      </c>
      <c r="Z140" s="11"/>
    </row>
    <row r="141" spans="1:26" x14ac:dyDescent="0.25">
      <c r="A141" s="22">
        <v>22523794</v>
      </c>
      <c r="B141" s="18">
        <v>45912</v>
      </c>
      <c r="C141" s="18">
        <v>46027</v>
      </c>
      <c r="D141" s="18">
        <v>46009</v>
      </c>
      <c r="E141" s="19" t="s">
        <v>37</v>
      </c>
      <c r="F141" s="20">
        <v>575000</v>
      </c>
      <c r="G141" s="13">
        <v>550000</v>
      </c>
      <c r="H141" s="20">
        <v>510000</v>
      </c>
      <c r="I141" s="29">
        <f t="shared" si="2"/>
        <v>228.08586762075134</v>
      </c>
      <c r="J141" s="18">
        <v>37429</v>
      </c>
      <c r="K141" s="18" t="s">
        <v>38</v>
      </c>
      <c r="L141" s="18" t="s">
        <v>404</v>
      </c>
      <c r="M141" s="21" t="s">
        <v>40</v>
      </c>
      <c r="N141" s="21">
        <v>85739</v>
      </c>
      <c r="O141" s="21">
        <v>32.536717000000003</v>
      </c>
      <c r="P141" s="21">
        <v>-110.86799999999999</v>
      </c>
      <c r="Q141" s="22">
        <v>2236</v>
      </c>
      <c r="R141" s="19">
        <v>1997</v>
      </c>
      <c r="S141" s="22">
        <v>2</v>
      </c>
      <c r="T141" s="23">
        <v>3</v>
      </c>
      <c r="U141" s="18" t="s">
        <v>41</v>
      </c>
      <c r="V141" s="22">
        <v>1</v>
      </c>
      <c r="W141" s="18" t="s">
        <v>405</v>
      </c>
      <c r="X141" s="18" t="s">
        <v>406</v>
      </c>
      <c r="Y141" s="21" t="s">
        <v>40</v>
      </c>
      <c r="Z141" s="18"/>
    </row>
    <row r="142" spans="1:26" x14ac:dyDescent="0.25">
      <c r="A142" s="16">
        <v>22602871</v>
      </c>
      <c r="B142" s="11">
        <v>46052</v>
      </c>
      <c r="C142" s="11">
        <v>46105</v>
      </c>
      <c r="D142" s="11">
        <v>46070</v>
      </c>
      <c r="E142" s="12" t="s">
        <v>37</v>
      </c>
      <c r="F142" s="13">
        <v>375000</v>
      </c>
      <c r="G142" s="13">
        <v>375000</v>
      </c>
      <c r="H142" s="13">
        <v>353000</v>
      </c>
      <c r="I142" s="29">
        <f t="shared" si="2"/>
        <v>170.36679536679537</v>
      </c>
      <c r="J142" s="11">
        <v>37341</v>
      </c>
      <c r="K142" s="11" t="s">
        <v>38</v>
      </c>
      <c r="L142" s="11" t="s">
        <v>407</v>
      </c>
      <c r="M142" s="15" t="s">
        <v>45</v>
      </c>
      <c r="N142" s="15">
        <v>85739</v>
      </c>
      <c r="O142" s="15">
        <v>32.537215000000003</v>
      </c>
      <c r="P142" s="15">
        <v>-110.87915599999999</v>
      </c>
      <c r="Q142" s="16">
        <v>2072</v>
      </c>
      <c r="R142" s="16">
        <v>1990</v>
      </c>
      <c r="S142" s="16">
        <v>3</v>
      </c>
      <c r="T142" s="17">
        <v>2</v>
      </c>
      <c r="U142" s="11" t="s">
        <v>41</v>
      </c>
      <c r="V142" s="16">
        <v>1</v>
      </c>
      <c r="W142" s="11" t="s">
        <v>408</v>
      </c>
      <c r="X142" s="11" t="s">
        <v>409</v>
      </c>
      <c r="Y142" s="15" t="s">
        <v>40</v>
      </c>
      <c r="Z142" s="11"/>
    </row>
    <row r="143" spans="1:26" x14ac:dyDescent="0.25">
      <c r="A143" s="16">
        <v>22600025</v>
      </c>
      <c r="B143" s="11">
        <v>46023</v>
      </c>
      <c r="C143" s="11">
        <v>46083</v>
      </c>
      <c r="D143" s="11">
        <v>46064</v>
      </c>
      <c r="E143" s="12" t="s">
        <v>37</v>
      </c>
      <c r="F143" s="13">
        <v>510000</v>
      </c>
      <c r="G143" s="13">
        <v>510000</v>
      </c>
      <c r="H143" s="13">
        <v>500000</v>
      </c>
      <c r="I143" s="29">
        <f t="shared" si="2"/>
        <v>258.26446280991735</v>
      </c>
      <c r="J143" s="11">
        <v>63347</v>
      </c>
      <c r="K143" s="11" t="s">
        <v>48</v>
      </c>
      <c r="L143" s="11" t="s">
        <v>410</v>
      </c>
      <c r="M143" s="15" t="s">
        <v>45</v>
      </c>
      <c r="N143" s="15">
        <v>85739</v>
      </c>
      <c r="O143" s="15">
        <v>32.537562000000001</v>
      </c>
      <c r="P143" s="15">
        <v>-110.890648</v>
      </c>
      <c r="Q143" s="16">
        <v>1936</v>
      </c>
      <c r="R143" s="16">
        <v>2001</v>
      </c>
      <c r="S143" s="16">
        <v>3</v>
      </c>
      <c r="T143" s="17">
        <v>2</v>
      </c>
      <c r="U143" s="11" t="s">
        <v>41</v>
      </c>
      <c r="V143" s="16">
        <v>1</v>
      </c>
      <c r="W143" s="11" t="s">
        <v>411</v>
      </c>
      <c r="X143" s="11" t="s">
        <v>412</v>
      </c>
      <c r="Y143" s="15" t="s">
        <v>40</v>
      </c>
      <c r="Z143" s="11"/>
    </row>
    <row r="144" spans="1:26" x14ac:dyDescent="0.25">
      <c r="A144" s="16">
        <v>22603499</v>
      </c>
      <c r="B144" s="11">
        <v>46059</v>
      </c>
      <c r="C144" s="11">
        <v>46140</v>
      </c>
      <c r="D144" s="11">
        <v>46133</v>
      </c>
      <c r="E144" s="12" t="s">
        <v>37</v>
      </c>
      <c r="F144" s="13">
        <v>412000</v>
      </c>
      <c r="G144" s="13">
        <v>379000</v>
      </c>
      <c r="H144" s="13">
        <v>375000</v>
      </c>
      <c r="I144" s="29">
        <f t="shared" si="2"/>
        <v>176.88679245283018</v>
      </c>
      <c r="J144" s="11">
        <v>63732</v>
      </c>
      <c r="K144" s="11" t="s">
        <v>48</v>
      </c>
      <c r="L144" s="11" t="s">
        <v>410</v>
      </c>
      <c r="M144" s="15" t="s">
        <v>40</v>
      </c>
      <c r="N144" s="15">
        <v>85739</v>
      </c>
      <c r="O144" s="15">
        <v>32.537899000000003</v>
      </c>
      <c r="P144" s="15">
        <v>-110.88605800000001</v>
      </c>
      <c r="Q144" s="16">
        <v>2120</v>
      </c>
      <c r="R144" s="16">
        <v>1995</v>
      </c>
      <c r="S144" s="16">
        <v>2</v>
      </c>
      <c r="T144" s="17">
        <v>2</v>
      </c>
      <c r="U144" s="11" t="s">
        <v>41</v>
      </c>
      <c r="V144" s="16">
        <v>1</v>
      </c>
      <c r="W144" s="11" t="s">
        <v>413</v>
      </c>
      <c r="X144" s="11" t="s">
        <v>414</v>
      </c>
      <c r="Y144" s="15" t="s">
        <v>40</v>
      </c>
      <c r="Z144" s="11"/>
    </row>
    <row r="145" spans="1:26" x14ac:dyDescent="0.25">
      <c r="A145" s="16">
        <v>22521762</v>
      </c>
      <c r="B145" s="11">
        <v>45888</v>
      </c>
      <c r="C145" s="11">
        <v>46064</v>
      </c>
      <c r="D145" s="11">
        <v>46063</v>
      </c>
      <c r="E145" s="12" t="s">
        <v>37</v>
      </c>
      <c r="F145" s="13">
        <v>799000</v>
      </c>
      <c r="G145" s="13">
        <v>699000</v>
      </c>
      <c r="H145" s="13">
        <v>680000</v>
      </c>
      <c r="I145" s="29">
        <f t="shared" si="2"/>
        <v>223.09711286089239</v>
      </c>
      <c r="J145" s="11">
        <v>64683</v>
      </c>
      <c r="K145" s="11" t="s">
        <v>48</v>
      </c>
      <c r="L145" s="11" t="s">
        <v>415</v>
      </c>
      <c r="M145" s="15" t="s">
        <v>45</v>
      </c>
      <c r="N145" s="15">
        <v>85739</v>
      </c>
      <c r="O145" s="15">
        <v>32.537951</v>
      </c>
      <c r="P145" s="15">
        <v>-110.875773</v>
      </c>
      <c r="Q145" s="16">
        <v>3048</v>
      </c>
      <c r="R145" s="16">
        <v>1997</v>
      </c>
      <c r="S145" s="16">
        <v>3</v>
      </c>
      <c r="T145" s="17">
        <v>4</v>
      </c>
      <c r="U145" s="11" t="s">
        <v>41</v>
      </c>
      <c r="V145" s="16">
        <v>1</v>
      </c>
      <c r="W145" s="11" t="s">
        <v>416</v>
      </c>
      <c r="X145" s="11" t="s">
        <v>417</v>
      </c>
      <c r="Y145" s="15" t="s">
        <v>40</v>
      </c>
      <c r="Z145" s="11"/>
    </row>
    <row r="146" spans="1:26" x14ac:dyDescent="0.25">
      <c r="A146" s="22">
        <v>22601745</v>
      </c>
      <c r="B146" s="19">
        <v>46040</v>
      </c>
      <c r="C146" s="19">
        <v>46132</v>
      </c>
      <c r="D146" s="19">
        <v>46132</v>
      </c>
      <c r="E146" s="19" t="s">
        <v>37</v>
      </c>
      <c r="F146" s="20">
        <v>479000</v>
      </c>
      <c r="G146" s="13">
        <v>449000</v>
      </c>
      <c r="H146" s="20">
        <v>442000</v>
      </c>
      <c r="I146" s="29">
        <f t="shared" si="2"/>
        <v>237.12446351931331</v>
      </c>
      <c r="J146" s="19">
        <v>37234</v>
      </c>
      <c r="K146" s="19" t="s">
        <v>38</v>
      </c>
      <c r="L146" s="19" t="s">
        <v>228</v>
      </c>
      <c r="M146" s="21" t="s">
        <v>45</v>
      </c>
      <c r="N146" s="21">
        <v>85739</v>
      </c>
      <c r="O146" s="21">
        <v>32.538063999999999</v>
      </c>
      <c r="P146" s="21">
        <v>-110.889247</v>
      </c>
      <c r="Q146" s="22">
        <v>1864</v>
      </c>
      <c r="R146" s="19">
        <v>2003</v>
      </c>
      <c r="S146" s="22">
        <v>2</v>
      </c>
      <c r="T146" s="23">
        <v>2</v>
      </c>
      <c r="U146" s="19" t="s">
        <v>41</v>
      </c>
      <c r="V146" s="22">
        <v>1</v>
      </c>
      <c r="W146" s="19" t="s">
        <v>418</v>
      </c>
      <c r="X146" s="19" t="s">
        <v>419</v>
      </c>
      <c r="Y146" s="21" t="s">
        <v>40</v>
      </c>
      <c r="Z146" s="19"/>
    </row>
    <row r="147" spans="1:26" x14ac:dyDescent="0.25">
      <c r="A147" s="22">
        <v>22600208</v>
      </c>
      <c r="B147" s="19">
        <v>46025</v>
      </c>
      <c r="C147" s="19">
        <v>46170</v>
      </c>
      <c r="D147" s="19">
        <v>46157</v>
      </c>
      <c r="E147" s="19" t="s">
        <v>37</v>
      </c>
      <c r="F147" s="20">
        <v>459000</v>
      </c>
      <c r="G147" s="13">
        <v>459000</v>
      </c>
      <c r="H147" s="20">
        <v>454500</v>
      </c>
      <c r="I147" s="29">
        <f t="shared" si="2"/>
        <v>235.24844720496895</v>
      </c>
      <c r="J147" s="19">
        <v>37234</v>
      </c>
      <c r="K147" s="19" t="s">
        <v>38</v>
      </c>
      <c r="L147" s="19" t="s">
        <v>420</v>
      </c>
      <c r="M147" s="21" t="s">
        <v>45</v>
      </c>
      <c r="N147" s="21">
        <v>85739</v>
      </c>
      <c r="O147" s="21">
        <v>32.538153000000001</v>
      </c>
      <c r="P147" s="21">
        <v>-110.892672</v>
      </c>
      <c r="Q147" s="22">
        <v>1932</v>
      </c>
      <c r="R147" s="19">
        <v>2005</v>
      </c>
      <c r="S147" s="22">
        <v>3</v>
      </c>
      <c r="T147" s="23">
        <v>2</v>
      </c>
      <c r="U147" s="19" t="s">
        <v>41</v>
      </c>
      <c r="V147" s="22">
        <v>1</v>
      </c>
      <c r="W147" s="19" t="s">
        <v>421</v>
      </c>
      <c r="X147" s="19" t="s">
        <v>422</v>
      </c>
      <c r="Y147" s="21" t="s">
        <v>40</v>
      </c>
      <c r="Z147" s="19"/>
    </row>
    <row r="148" spans="1:26" x14ac:dyDescent="0.25">
      <c r="A148" s="16">
        <v>22525730</v>
      </c>
      <c r="B148" s="11">
        <v>45933</v>
      </c>
      <c r="C148" s="11">
        <v>46071</v>
      </c>
      <c r="D148" s="11">
        <v>46058</v>
      </c>
      <c r="E148" s="12" t="s">
        <v>37</v>
      </c>
      <c r="F148" s="13">
        <v>649000</v>
      </c>
      <c r="G148" s="13">
        <v>618000</v>
      </c>
      <c r="H148" s="13">
        <v>590000</v>
      </c>
      <c r="I148" s="29">
        <f t="shared" si="2"/>
        <v>270.89072543617999</v>
      </c>
      <c r="J148" s="11">
        <v>64659</v>
      </c>
      <c r="K148" s="11" t="s">
        <v>48</v>
      </c>
      <c r="L148" s="11" t="s">
        <v>415</v>
      </c>
      <c r="M148" s="15" t="s">
        <v>40</v>
      </c>
      <c r="N148" s="15">
        <v>85739</v>
      </c>
      <c r="O148" s="15">
        <v>32.538173</v>
      </c>
      <c r="P148" s="15">
        <v>-110.87616800000001</v>
      </c>
      <c r="Q148" s="16">
        <v>2178</v>
      </c>
      <c r="R148" s="16">
        <v>1995</v>
      </c>
      <c r="S148" s="16">
        <v>3</v>
      </c>
      <c r="T148" s="17">
        <v>2.5</v>
      </c>
      <c r="U148" s="11" t="s">
        <v>41</v>
      </c>
      <c r="V148" s="16">
        <v>1</v>
      </c>
      <c r="W148" s="11" t="s">
        <v>423</v>
      </c>
      <c r="X148" s="11" t="s">
        <v>424</v>
      </c>
      <c r="Y148" s="15" t="s">
        <v>40</v>
      </c>
      <c r="Z148" s="11"/>
    </row>
    <row r="149" spans="1:26" x14ac:dyDescent="0.25">
      <c r="A149" s="16">
        <v>22522046</v>
      </c>
      <c r="B149" s="11">
        <v>45891</v>
      </c>
      <c r="C149" s="11">
        <v>46015</v>
      </c>
      <c r="D149" s="11">
        <v>46015</v>
      </c>
      <c r="E149" s="12" t="s">
        <v>37</v>
      </c>
      <c r="F149" s="13">
        <v>725000</v>
      </c>
      <c r="G149" s="13">
        <v>695000</v>
      </c>
      <c r="H149" s="13">
        <v>620000</v>
      </c>
      <c r="I149" s="29">
        <f t="shared" si="2"/>
        <v>183.54055654233275</v>
      </c>
      <c r="J149" s="11">
        <v>37286</v>
      </c>
      <c r="K149" s="11" t="s">
        <v>38</v>
      </c>
      <c r="L149" s="11" t="s">
        <v>425</v>
      </c>
      <c r="M149" s="15" t="s">
        <v>45</v>
      </c>
      <c r="N149" s="15">
        <v>85739</v>
      </c>
      <c r="O149" s="15">
        <v>32.538333999999999</v>
      </c>
      <c r="P149" s="15">
        <v>-110.872732</v>
      </c>
      <c r="Q149" s="16">
        <v>3378</v>
      </c>
      <c r="R149" s="16">
        <v>1998</v>
      </c>
      <c r="S149" s="16">
        <v>4</v>
      </c>
      <c r="T149" s="17">
        <v>3</v>
      </c>
      <c r="U149" s="11" t="s">
        <v>41</v>
      </c>
      <c r="V149" s="16">
        <v>2</v>
      </c>
      <c r="W149" s="11" t="s">
        <v>426</v>
      </c>
      <c r="X149" s="11" t="s">
        <v>427</v>
      </c>
      <c r="Y149" s="15" t="s">
        <v>40</v>
      </c>
      <c r="Z149" s="11"/>
    </row>
    <row r="150" spans="1:26" x14ac:dyDescent="0.25">
      <c r="A150" s="22">
        <v>22529634</v>
      </c>
      <c r="B150" s="18">
        <v>45975</v>
      </c>
      <c r="C150" s="18">
        <v>46140</v>
      </c>
      <c r="D150" s="18">
        <v>46125</v>
      </c>
      <c r="E150" s="19" t="s">
        <v>37</v>
      </c>
      <c r="F150" s="20">
        <v>450000</v>
      </c>
      <c r="G150" s="13">
        <v>450000</v>
      </c>
      <c r="H150" s="20">
        <v>435000</v>
      </c>
      <c r="I150" s="29">
        <f t="shared" si="2"/>
        <v>300.2070393374741</v>
      </c>
      <c r="J150" s="18">
        <v>65621</v>
      </c>
      <c r="K150" s="18" t="s">
        <v>48</v>
      </c>
      <c r="L150" s="18" t="s">
        <v>428</v>
      </c>
      <c r="M150" s="21" t="s">
        <v>45</v>
      </c>
      <c r="N150" s="21">
        <v>85739</v>
      </c>
      <c r="O150" s="21">
        <v>32.538386000000003</v>
      </c>
      <c r="P150" s="21">
        <v>-110.865201</v>
      </c>
      <c r="Q150" s="22">
        <v>1449</v>
      </c>
      <c r="R150" s="19">
        <v>1995</v>
      </c>
      <c r="S150" s="22">
        <v>2</v>
      </c>
      <c r="T150" s="23">
        <v>2</v>
      </c>
      <c r="U150" s="18" t="s">
        <v>41</v>
      </c>
      <c r="V150" s="22">
        <v>1</v>
      </c>
      <c r="W150" s="18" t="s">
        <v>429</v>
      </c>
      <c r="X150" s="18" t="s">
        <v>430</v>
      </c>
      <c r="Y150" s="21" t="s">
        <v>40</v>
      </c>
      <c r="Z150" s="18"/>
    </row>
    <row r="151" spans="1:26" x14ac:dyDescent="0.25">
      <c r="A151" s="16">
        <v>22522048</v>
      </c>
      <c r="B151" s="11">
        <v>45891</v>
      </c>
      <c r="C151" s="11">
        <v>46001</v>
      </c>
      <c r="D151" s="11">
        <v>46001</v>
      </c>
      <c r="E151" s="12" t="s">
        <v>37</v>
      </c>
      <c r="F151" s="13">
        <v>625000</v>
      </c>
      <c r="G151" s="13">
        <v>625000</v>
      </c>
      <c r="H151" s="13">
        <v>608000</v>
      </c>
      <c r="I151" s="29">
        <f t="shared" si="2"/>
        <v>181.00625186067282</v>
      </c>
      <c r="J151" s="11">
        <v>37233</v>
      </c>
      <c r="K151" s="11" t="s">
        <v>38</v>
      </c>
      <c r="L151" s="11" t="s">
        <v>275</v>
      </c>
      <c r="M151" s="15" t="s">
        <v>45</v>
      </c>
      <c r="N151" s="15">
        <v>85739</v>
      </c>
      <c r="O151" s="15">
        <v>32.538758999999999</v>
      </c>
      <c r="P151" s="15">
        <v>-110.862257</v>
      </c>
      <c r="Q151" s="16">
        <v>3359</v>
      </c>
      <c r="R151" s="16">
        <v>2003</v>
      </c>
      <c r="S151" s="16">
        <v>3</v>
      </c>
      <c r="T151" s="17">
        <v>2.5</v>
      </c>
      <c r="U151" s="11" t="s">
        <v>41</v>
      </c>
      <c r="V151" s="16">
        <v>2</v>
      </c>
      <c r="W151" s="11" t="s">
        <v>431</v>
      </c>
      <c r="X151" s="11" t="s">
        <v>432</v>
      </c>
      <c r="Y151" s="15" t="s">
        <v>40</v>
      </c>
      <c r="Z151" s="11"/>
    </row>
    <row r="152" spans="1:26" x14ac:dyDescent="0.25">
      <c r="A152" s="16">
        <v>22606914</v>
      </c>
      <c r="B152" s="11">
        <v>46094</v>
      </c>
      <c r="C152" s="11">
        <v>46176</v>
      </c>
      <c r="D152" s="11">
        <v>46143</v>
      </c>
      <c r="E152" s="12" t="s">
        <v>37</v>
      </c>
      <c r="F152" s="13">
        <v>344000</v>
      </c>
      <c r="G152" s="13">
        <v>309600</v>
      </c>
      <c r="H152" s="13">
        <v>247021.27</v>
      </c>
      <c r="I152" s="29">
        <f t="shared" si="2"/>
        <v>100.78387188902488</v>
      </c>
      <c r="J152" s="11">
        <v>63838</v>
      </c>
      <c r="K152" s="11" t="s">
        <v>48</v>
      </c>
      <c r="L152" s="11" t="s">
        <v>433</v>
      </c>
      <c r="M152" s="15" t="s">
        <v>45</v>
      </c>
      <c r="N152" s="15">
        <v>85739</v>
      </c>
      <c r="O152" s="15">
        <v>32.538778000000001</v>
      </c>
      <c r="P152" s="15">
        <v>-110.885178</v>
      </c>
      <c r="Q152" s="16">
        <v>2451</v>
      </c>
      <c r="R152" s="16">
        <v>1995</v>
      </c>
      <c r="S152" s="16">
        <v>3</v>
      </c>
      <c r="T152" s="17">
        <v>2</v>
      </c>
      <c r="U152" s="11" t="s">
        <v>41</v>
      </c>
      <c r="V152" s="16">
        <v>1</v>
      </c>
      <c r="W152" s="11" t="s">
        <v>434</v>
      </c>
      <c r="X152" s="11" t="s">
        <v>435</v>
      </c>
      <c r="Y152" s="15" t="s">
        <v>40</v>
      </c>
      <c r="Z152" s="11"/>
    </row>
    <row r="153" spans="1:26" x14ac:dyDescent="0.25">
      <c r="A153" s="16">
        <v>22601114</v>
      </c>
      <c r="B153" s="11">
        <v>46035</v>
      </c>
      <c r="C153" s="11">
        <v>46157</v>
      </c>
      <c r="D153" s="11">
        <v>46095</v>
      </c>
      <c r="E153" s="12" t="s">
        <v>37</v>
      </c>
      <c r="F153" s="13">
        <v>545000</v>
      </c>
      <c r="G153" s="13">
        <v>545000</v>
      </c>
      <c r="H153" s="13">
        <v>535000</v>
      </c>
      <c r="I153" s="29">
        <f t="shared" si="2"/>
        <v>221.44039735099338</v>
      </c>
      <c r="J153" s="11">
        <v>63696</v>
      </c>
      <c r="K153" s="11" t="s">
        <v>48</v>
      </c>
      <c r="L153" s="11" t="s">
        <v>433</v>
      </c>
      <c r="M153" s="15" t="s">
        <v>40</v>
      </c>
      <c r="N153" s="15">
        <v>85739</v>
      </c>
      <c r="O153" s="15">
        <v>32.538988000000003</v>
      </c>
      <c r="P153" s="15">
        <v>-110.88653499999999</v>
      </c>
      <c r="Q153" s="16">
        <v>2416</v>
      </c>
      <c r="R153" s="16">
        <v>1994</v>
      </c>
      <c r="S153" s="16">
        <v>3</v>
      </c>
      <c r="T153" s="17">
        <v>2</v>
      </c>
      <c r="U153" s="11" t="s">
        <v>41</v>
      </c>
      <c r="V153" s="16">
        <v>1</v>
      </c>
      <c r="W153" s="11" t="s">
        <v>436</v>
      </c>
      <c r="X153" s="11" t="s">
        <v>437</v>
      </c>
      <c r="Y153" s="15" t="s">
        <v>40</v>
      </c>
      <c r="Z153" s="11"/>
    </row>
    <row r="154" spans="1:26" x14ac:dyDescent="0.25">
      <c r="A154" s="16">
        <v>22527251</v>
      </c>
      <c r="B154" s="11">
        <v>45949</v>
      </c>
      <c r="C154" s="11">
        <v>46020</v>
      </c>
      <c r="D154" s="11">
        <v>46013</v>
      </c>
      <c r="E154" s="12" t="s">
        <v>37</v>
      </c>
      <c r="F154" s="13">
        <v>565000</v>
      </c>
      <c r="G154" s="13">
        <v>565000</v>
      </c>
      <c r="H154" s="13">
        <v>550000</v>
      </c>
      <c r="I154" s="29">
        <f t="shared" si="2"/>
        <v>294.74812433011789</v>
      </c>
      <c r="J154" s="11">
        <v>37109</v>
      </c>
      <c r="K154" s="11" t="s">
        <v>38</v>
      </c>
      <c r="L154" s="11" t="s">
        <v>438</v>
      </c>
      <c r="M154" s="15" t="s">
        <v>40</v>
      </c>
      <c r="N154" s="15">
        <v>85739</v>
      </c>
      <c r="O154" s="15">
        <v>32.539076999999999</v>
      </c>
      <c r="P154" s="15">
        <v>-110.892776</v>
      </c>
      <c r="Q154" s="16">
        <v>1866</v>
      </c>
      <c r="R154" s="16">
        <v>2000</v>
      </c>
      <c r="S154" s="16">
        <v>2</v>
      </c>
      <c r="T154" s="17">
        <v>2</v>
      </c>
      <c r="U154" s="11" t="s">
        <v>41</v>
      </c>
      <c r="V154" s="16">
        <v>1</v>
      </c>
      <c r="W154" s="11" t="s">
        <v>439</v>
      </c>
      <c r="X154" s="11" t="s">
        <v>440</v>
      </c>
      <c r="Y154" s="15" t="s">
        <v>40</v>
      </c>
      <c r="Z154" s="11"/>
    </row>
    <row r="155" spans="1:26" x14ac:dyDescent="0.25">
      <c r="A155" s="22">
        <v>22529155</v>
      </c>
      <c r="B155" s="18">
        <v>45970</v>
      </c>
      <c r="C155" s="18">
        <v>46044</v>
      </c>
      <c r="D155" s="18">
        <v>46027</v>
      </c>
      <c r="E155" s="19" t="s">
        <v>37</v>
      </c>
      <c r="F155" s="20">
        <v>769000</v>
      </c>
      <c r="G155" s="13">
        <v>769000</v>
      </c>
      <c r="H155" s="20">
        <v>769000</v>
      </c>
      <c r="I155" s="29">
        <f t="shared" si="2"/>
        <v>400.93847758081336</v>
      </c>
      <c r="J155" s="18">
        <v>37178</v>
      </c>
      <c r="K155" s="18" t="s">
        <v>38</v>
      </c>
      <c r="L155" s="18" t="s">
        <v>441</v>
      </c>
      <c r="M155" s="21" t="s">
        <v>40</v>
      </c>
      <c r="N155" s="21">
        <v>85739</v>
      </c>
      <c r="O155" s="21">
        <v>32.539192</v>
      </c>
      <c r="P155" s="21">
        <v>-110.862894</v>
      </c>
      <c r="Q155" s="22">
        <v>1918</v>
      </c>
      <c r="R155" s="19">
        <v>1995</v>
      </c>
      <c r="S155" s="22">
        <v>3</v>
      </c>
      <c r="T155" s="23">
        <v>3</v>
      </c>
      <c r="U155" s="18" t="s">
        <v>41</v>
      </c>
      <c r="V155" s="22">
        <v>1</v>
      </c>
      <c r="W155" s="18" t="s">
        <v>442</v>
      </c>
      <c r="X155" s="18" t="s">
        <v>443</v>
      </c>
      <c r="Y155" s="21" t="s">
        <v>40</v>
      </c>
      <c r="Z155" s="18"/>
    </row>
    <row r="156" spans="1:26" x14ac:dyDescent="0.25">
      <c r="A156" s="16">
        <v>22530993</v>
      </c>
      <c r="B156" s="11">
        <v>45993</v>
      </c>
      <c r="C156" s="11">
        <v>46036</v>
      </c>
      <c r="D156" s="11">
        <v>46031</v>
      </c>
      <c r="E156" s="12" t="s">
        <v>37</v>
      </c>
      <c r="F156" s="13">
        <v>415000</v>
      </c>
      <c r="G156" s="13">
        <v>415000</v>
      </c>
      <c r="H156" s="13">
        <v>415000</v>
      </c>
      <c r="I156" s="29">
        <f t="shared" si="2"/>
        <v>221.33333333333334</v>
      </c>
      <c r="J156" s="11">
        <v>37120</v>
      </c>
      <c r="K156" s="11" t="s">
        <v>38</v>
      </c>
      <c r="L156" s="11" t="s">
        <v>444</v>
      </c>
      <c r="M156" s="15" t="s">
        <v>40</v>
      </c>
      <c r="N156" s="15">
        <v>85739</v>
      </c>
      <c r="O156" s="15">
        <v>32.539214999999999</v>
      </c>
      <c r="P156" s="15">
        <v>-110.883408</v>
      </c>
      <c r="Q156" s="16">
        <v>1875</v>
      </c>
      <c r="R156" s="16">
        <v>1993</v>
      </c>
      <c r="S156" s="16">
        <v>2</v>
      </c>
      <c r="T156" s="17">
        <v>2</v>
      </c>
      <c r="U156" s="11" t="s">
        <v>41</v>
      </c>
      <c r="V156" s="16">
        <v>1</v>
      </c>
      <c r="W156" s="11" t="s">
        <v>445</v>
      </c>
      <c r="X156" s="11" t="s">
        <v>446</v>
      </c>
      <c r="Y156" s="15" t="s">
        <v>40</v>
      </c>
      <c r="Z156" s="11"/>
    </row>
    <row r="157" spans="1:26" x14ac:dyDescent="0.25">
      <c r="A157" s="16">
        <v>22603476</v>
      </c>
      <c r="B157" s="11">
        <v>46059</v>
      </c>
      <c r="C157" s="11">
        <v>46147</v>
      </c>
      <c r="D157" s="11">
        <v>46141</v>
      </c>
      <c r="E157" s="12" t="s">
        <v>37</v>
      </c>
      <c r="F157" s="13">
        <v>530000</v>
      </c>
      <c r="G157" s="13">
        <v>499000</v>
      </c>
      <c r="H157" s="13">
        <v>499000</v>
      </c>
      <c r="I157" s="29">
        <f t="shared" si="2"/>
        <v>207.05394190871368</v>
      </c>
      <c r="J157" s="11">
        <v>65621</v>
      </c>
      <c r="K157" s="11" t="s">
        <v>48</v>
      </c>
      <c r="L157" s="11" t="s">
        <v>447</v>
      </c>
      <c r="M157" s="15" t="s">
        <v>45</v>
      </c>
      <c r="N157" s="15">
        <v>85739</v>
      </c>
      <c r="O157" s="15">
        <v>32.539250000000003</v>
      </c>
      <c r="P157" s="15">
        <v>-110.865538</v>
      </c>
      <c r="Q157" s="16">
        <v>2410</v>
      </c>
      <c r="R157" s="16">
        <v>1995</v>
      </c>
      <c r="S157" s="16">
        <v>2</v>
      </c>
      <c r="T157" s="17">
        <v>2</v>
      </c>
      <c r="U157" s="11" t="s">
        <v>41</v>
      </c>
      <c r="V157" s="16">
        <v>1</v>
      </c>
      <c r="W157" s="11" t="s">
        <v>448</v>
      </c>
      <c r="X157" s="11" t="s">
        <v>449</v>
      </c>
      <c r="Y157" s="15" t="s">
        <v>40</v>
      </c>
      <c r="Z157" s="11"/>
    </row>
    <row r="158" spans="1:26" x14ac:dyDescent="0.25">
      <c r="A158" s="22">
        <v>22524639</v>
      </c>
      <c r="B158" s="18">
        <v>45922</v>
      </c>
      <c r="C158" s="18">
        <v>46136</v>
      </c>
      <c r="D158" s="18">
        <v>46125</v>
      </c>
      <c r="E158" s="19" t="s">
        <v>37</v>
      </c>
      <c r="F158" s="20">
        <v>595000</v>
      </c>
      <c r="G158" s="13">
        <v>570000</v>
      </c>
      <c r="H158" s="20">
        <v>510000</v>
      </c>
      <c r="I158" s="29">
        <f t="shared" si="2"/>
        <v>155.91562213390401</v>
      </c>
      <c r="J158" s="18">
        <v>65639</v>
      </c>
      <c r="K158" s="18" t="s">
        <v>48</v>
      </c>
      <c r="L158" s="18" t="s">
        <v>447</v>
      </c>
      <c r="M158" s="21" t="s">
        <v>45</v>
      </c>
      <c r="N158" s="21">
        <v>85739</v>
      </c>
      <c r="O158" s="21">
        <v>32.539337000000003</v>
      </c>
      <c r="P158" s="21">
        <v>-110.865332</v>
      </c>
      <c r="Q158" s="22">
        <v>3271</v>
      </c>
      <c r="R158" s="19">
        <v>1995</v>
      </c>
      <c r="S158" s="22">
        <v>3</v>
      </c>
      <c r="T158" s="23">
        <v>2.5</v>
      </c>
      <c r="U158" s="18" t="s">
        <v>41</v>
      </c>
      <c r="V158" s="22">
        <v>2</v>
      </c>
      <c r="W158" s="18" t="s">
        <v>450</v>
      </c>
      <c r="X158" s="18" t="s">
        <v>451</v>
      </c>
      <c r="Y158" s="21" t="s">
        <v>40</v>
      </c>
      <c r="Z158" s="18"/>
    </row>
    <row r="159" spans="1:26" x14ac:dyDescent="0.25">
      <c r="A159" s="16">
        <v>22522854</v>
      </c>
      <c r="B159" s="11">
        <v>45903</v>
      </c>
      <c r="C159" s="11">
        <v>46021</v>
      </c>
      <c r="D159" s="11">
        <v>46009</v>
      </c>
      <c r="E159" s="12" t="s">
        <v>37</v>
      </c>
      <c r="F159" s="13">
        <v>405000</v>
      </c>
      <c r="G159" s="13">
        <v>375000</v>
      </c>
      <c r="H159" s="13">
        <v>375000</v>
      </c>
      <c r="I159" s="29">
        <f t="shared" si="2"/>
        <v>190.54878048780489</v>
      </c>
      <c r="J159" s="11">
        <v>64714</v>
      </c>
      <c r="K159" s="11" t="s">
        <v>48</v>
      </c>
      <c r="L159" s="11" t="s">
        <v>452</v>
      </c>
      <c r="M159" s="15" t="s">
        <v>45</v>
      </c>
      <c r="N159" s="15">
        <v>85739</v>
      </c>
      <c r="O159" s="15">
        <v>32.539349000000001</v>
      </c>
      <c r="P159" s="15">
        <v>-110.875354</v>
      </c>
      <c r="Q159" s="16">
        <v>1968</v>
      </c>
      <c r="R159" s="16">
        <v>1992</v>
      </c>
      <c r="S159" s="16">
        <v>2</v>
      </c>
      <c r="T159" s="17">
        <v>2</v>
      </c>
      <c r="U159" s="11" t="s">
        <v>41</v>
      </c>
      <c r="V159" s="16">
        <v>1</v>
      </c>
      <c r="W159" s="11" t="s">
        <v>453</v>
      </c>
      <c r="X159" s="11" t="s">
        <v>454</v>
      </c>
      <c r="Y159" s="15" t="s">
        <v>40</v>
      </c>
      <c r="Z159" s="11"/>
    </row>
    <row r="160" spans="1:26" x14ac:dyDescent="0.25">
      <c r="A160" s="22">
        <v>22524301</v>
      </c>
      <c r="B160" s="18">
        <v>45917</v>
      </c>
      <c r="C160" s="18">
        <v>46007</v>
      </c>
      <c r="D160" s="18">
        <v>46000</v>
      </c>
      <c r="E160" s="19" t="s">
        <v>37</v>
      </c>
      <c r="F160" s="20">
        <v>379000</v>
      </c>
      <c r="G160" s="13">
        <v>329999</v>
      </c>
      <c r="H160" s="20">
        <v>290000</v>
      </c>
      <c r="I160" s="29">
        <f t="shared" si="2"/>
        <v>124.8385708136031</v>
      </c>
      <c r="J160" s="18">
        <v>37096</v>
      </c>
      <c r="K160" s="18" t="s">
        <v>38</v>
      </c>
      <c r="L160" s="18" t="s">
        <v>444</v>
      </c>
      <c r="M160" s="21" t="s">
        <v>40</v>
      </c>
      <c r="N160" s="21">
        <v>85739</v>
      </c>
      <c r="O160" s="21">
        <v>32.539403999999998</v>
      </c>
      <c r="P160" s="21">
        <v>-110.883375</v>
      </c>
      <c r="Q160" s="22">
        <v>2323</v>
      </c>
      <c r="R160" s="19">
        <v>1994</v>
      </c>
      <c r="S160" s="22">
        <v>2</v>
      </c>
      <c r="T160" s="23">
        <v>2.5</v>
      </c>
      <c r="U160" s="18" t="s">
        <v>41</v>
      </c>
      <c r="V160" s="22">
        <v>1</v>
      </c>
      <c r="W160" s="18" t="s">
        <v>455</v>
      </c>
      <c r="X160" s="18" t="s">
        <v>456</v>
      </c>
      <c r="Y160" s="21" t="s">
        <v>40</v>
      </c>
      <c r="Z160" s="18"/>
    </row>
    <row r="161" spans="1:26" x14ac:dyDescent="0.25">
      <c r="A161" s="22">
        <v>22606728</v>
      </c>
      <c r="B161" s="18">
        <v>46093</v>
      </c>
      <c r="C161" s="18">
        <v>46142</v>
      </c>
      <c r="D161" s="18">
        <v>46135</v>
      </c>
      <c r="E161" s="19" t="s">
        <v>37</v>
      </c>
      <c r="F161" s="20">
        <v>549000</v>
      </c>
      <c r="G161" s="13">
        <v>549000</v>
      </c>
      <c r="H161" s="20">
        <v>549000</v>
      </c>
      <c r="I161" s="29">
        <f t="shared" si="2"/>
        <v>236.33232888506242</v>
      </c>
      <c r="J161" s="18">
        <v>37096</v>
      </c>
      <c r="K161" s="18" t="s">
        <v>38</v>
      </c>
      <c r="L161" s="18" t="s">
        <v>444</v>
      </c>
      <c r="M161" s="21" t="s">
        <v>45</v>
      </c>
      <c r="N161" s="21">
        <v>85739</v>
      </c>
      <c r="O161" s="21">
        <v>32.539405000000002</v>
      </c>
      <c r="P161" s="21">
        <v>-110.883363</v>
      </c>
      <c r="Q161" s="22">
        <v>2323</v>
      </c>
      <c r="R161" s="19">
        <v>1994</v>
      </c>
      <c r="S161" s="22">
        <v>3</v>
      </c>
      <c r="T161" s="23">
        <v>3.5</v>
      </c>
      <c r="U161" s="18" t="s">
        <v>41</v>
      </c>
      <c r="V161" s="22">
        <v>1</v>
      </c>
      <c r="W161" s="18" t="s">
        <v>457</v>
      </c>
      <c r="X161" s="18" t="s">
        <v>458</v>
      </c>
      <c r="Y161" s="21" t="s">
        <v>40</v>
      </c>
      <c r="Z161" s="18"/>
    </row>
    <row r="162" spans="1:26" x14ac:dyDescent="0.25">
      <c r="A162" s="22">
        <v>22605377</v>
      </c>
      <c r="B162" s="18">
        <v>46079</v>
      </c>
      <c r="C162" s="18">
        <v>46170</v>
      </c>
      <c r="D162" s="18">
        <v>46164</v>
      </c>
      <c r="E162" s="19" t="s">
        <v>37</v>
      </c>
      <c r="F162" s="20">
        <v>410000</v>
      </c>
      <c r="G162" s="13">
        <v>398000</v>
      </c>
      <c r="H162" s="20">
        <v>392000</v>
      </c>
      <c r="I162" s="29">
        <f t="shared" si="2"/>
        <v>216.57458563535911</v>
      </c>
      <c r="J162" s="18">
        <v>63666</v>
      </c>
      <c r="K162" s="18" t="s">
        <v>48</v>
      </c>
      <c r="L162" s="18" t="s">
        <v>459</v>
      </c>
      <c r="M162" s="21" t="s">
        <v>45</v>
      </c>
      <c r="N162" s="21">
        <v>85739</v>
      </c>
      <c r="O162" s="21">
        <v>32.539842</v>
      </c>
      <c r="P162" s="21">
        <v>-110.88696400000001</v>
      </c>
      <c r="Q162" s="22">
        <v>1810</v>
      </c>
      <c r="R162" s="19">
        <v>1994</v>
      </c>
      <c r="S162" s="22">
        <v>3</v>
      </c>
      <c r="T162" s="23">
        <v>2</v>
      </c>
      <c r="U162" s="18" t="s">
        <v>41</v>
      </c>
      <c r="V162" s="22">
        <v>1</v>
      </c>
      <c r="W162" s="18" t="s">
        <v>460</v>
      </c>
      <c r="X162" s="18" t="s">
        <v>461</v>
      </c>
      <c r="Y162" s="21" t="s">
        <v>40</v>
      </c>
      <c r="Z162" s="18"/>
    </row>
    <row r="163" spans="1:26" x14ac:dyDescent="0.25">
      <c r="A163" s="16">
        <v>22600111</v>
      </c>
      <c r="B163" s="11">
        <v>46023</v>
      </c>
      <c r="C163" s="11">
        <v>46120</v>
      </c>
      <c r="D163" s="11">
        <v>46119</v>
      </c>
      <c r="E163" s="12" t="s">
        <v>37</v>
      </c>
      <c r="F163" s="13">
        <v>525000</v>
      </c>
      <c r="G163" s="13">
        <v>525000</v>
      </c>
      <c r="H163" s="13">
        <v>470000</v>
      </c>
      <c r="I163" s="29">
        <f t="shared" si="2"/>
        <v>145.01697007096575</v>
      </c>
      <c r="J163" s="11">
        <v>63845</v>
      </c>
      <c r="K163" s="11" t="s">
        <v>48</v>
      </c>
      <c r="L163" s="11" t="s">
        <v>459</v>
      </c>
      <c r="M163" s="15" t="s">
        <v>40</v>
      </c>
      <c r="N163" s="15">
        <v>85739</v>
      </c>
      <c r="O163" s="15">
        <v>32.540078000000001</v>
      </c>
      <c r="P163" s="15">
        <v>-110.885031</v>
      </c>
      <c r="Q163" s="16">
        <v>3241</v>
      </c>
      <c r="R163" s="16">
        <v>1993</v>
      </c>
      <c r="S163" s="16">
        <v>3</v>
      </c>
      <c r="T163" s="17">
        <v>2.5</v>
      </c>
      <c r="U163" s="11" t="s">
        <v>41</v>
      </c>
      <c r="V163" s="16">
        <v>2</v>
      </c>
      <c r="W163" s="11" t="s">
        <v>462</v>
      </c>
      <c r="X163" s="11" t="s">
        <v>463</v>
      </c>
      <c r="Y163" s="15" t="s">
        <v>40</v>
      </c>
      <c r="Z163" s="11"/>
    </row>
    <row r="164" spans="1:26" x14ac:dyDescent="0.25">
      <c r="A164" s="16">
        <v>22527345</v>
      </c>
      <c r="B164" s="11">
        <v>45952</v>
      </c>
      <c r="C164" s="11">
        <v>46038</v>
      </c>
      <c r="D164" s="11">
        <v>46031</v>
      </c>
      <c r="E164" s="12" t="s">
        <v>37</v>
      </c>
      <c r="F164" s="13">
        <v>549000</v>
      </c>
      <c r="G164" s="13">
        <v>489000</v>
      </c>
      <c r="H164" s="13">
        <v>460000</v>
      </c>
      <c r="I164" s="29">
        <f t="shared" si="2"/>
        <v>182.53968253968253</v>
      </c>
      <c r="J164" s="11">
        <v>64235</v>
      </c>
      <c r="K164" s="11" t="s">
        <v>48</v>
      </c>
      <c r="L164" s="11" t="s">
        <v>459</v>
      </c>
      <c r="M164" s="15" t="s">
        <v>40</v>
      </c>
      <c r="N164" s="15">
        <v>85739</v>
      </c>
      <c r="O164" s="15">
        <v>32.540145000000003</v>
      </c>
      <c r="P164" s="15">
        <v>-110.880736</v>
      </c>
      <c r="Q164" s="16">
        <v>2520</v>
      </c>
      <c r="R164" s="16">
        <v>1995</v>
      </c>
      <c r="S164" s="16">
        <v>3</v>
      </c>
      <c r="T164" s="17">
        <v>3</v>
      </c>
      <c r="U164" s="11" t="s">
        <v>41</v>
      </c>
      <c r="V164" s="16">
        <v>1</v>
      </c>
      <c r="W164" s="11" t="s">
        <v>464</v>
      </c>
      <c r="X164" s="11" t="s">
        <v>465</v>
      </c>
      <c r="Y164" s="15" t="s">
        <v>40</v>
      </c>
      <c r="Z164" s="11"/>
    </row>
    <row r="165" spans="1:26" x14ac:dyDescent="0.25">
      <c r="A165" s="16">
        <v>22528109</v>
      </c>
      <c r="B165" s="11">
        <v>45959</v>
      </c>
      <c r="C165" s="11">
        <v>46163</v>
      </c>
      <c r="D165" s="11">
        <v>46116</v>
      </c>
      <c r="E165" s="12" t="s">
        <v>37</v>
      </c>
      <c r="F165" s="13">
        <v>449500</v>
      </c>
      <c r="G165" s="13">
        <v>429000</v>
      </c>
      <c r="H165" s="13">
        <v>415000</v>
      </c>
      <c r="I165" s="29">
        <f t="shared" si="2"/>
        <v>194.4704779756326</v>
      </c>
      <c r="J165" s="11">
        <v>36934</v>
      </c>
      <c r="K165" s="11" t="s">
        <v>38</v>
      </c>
      <c r="L165" s="11" t="s">
        <v>466</v>
      </c>
      <c r="M165" s="15" t="s">
        <v>40</v>
      </c>
      <c r="N165" s="15">
        <v>85739</v>
      </c>
      <c r="O165" s="15">
        <v>32.540559999999999</v>
      </c>
      <c r="P165" s="15">
        <v>-110.87803599999999</v>
      </c>
      <c r="Q165" s="16">
        <v>2134</v>
      </c>
      <c r="R165" s="16">
        <v>1992</v>
      </c>
      <c r="S165" s="16">
        <v>2</v>
      </c>
      <c r="T165" s="17">
        <v>2.5</v>
      </c>
      <c r="U165" s="11" t="s">
        <v>41</v>
      </c>
      <c r="V165" s="16">
        <v>1</v>
      </c>
      <c r="W165" s="11" t="s">
        <v>467</v>
      </c>
      <c r="X165" s="11" t="s">
        <v>468</v>
      </c>
      <c r="Y165" s="15" t="s">
        <v>40</v>
      </c>
      <c r="Z165" s="11"/>
    </row>
    <row r="166" spans="1:26" x14ac:dyDescent="0.25">
      <c r="A166" s="22">
        <v>22527326</v>
      </c>
      <c r="B166" s="18">
        <v>45950</v>
      </c>
      <c r="C166" s="18">
        <v>46111</v>
      </c>
      <c r="D166" s="18">
        <v>46108</v>
      </c>
      <c r="E166" s="19" t="s">
        <v>37</v>
      </c>
      <c r="F166" s="20">
        <v>560000</v>
      </c>
      <c r="G166" s="13">
        <v>530000</v>
      </c>
      <c r="H166" s="20">
        <v>515000</v>
      </c>
      <c r="I166" s="29">
        <f t="shared" si="2"/>
        <v>240.99204492278895</v>
      </c>
      <c r="J166" s="18">
        <v>64158</v>
      </c>
      <c r="K166" s="18" t="s">
        <v>48</v>
      </c>
      <c r="L166" s="18" t="s">
        <v>459</v>
      </c>
      <c r="M166" s="21" t="s">
        <v>45</v>
      </c>
      <c r="N166" s="21">
        <v>85739</v>
      </c>
      <c r="O166" s="21">
        <v>32.540590000000002</v>
      </c>
      <c r="P166" s="21">
        <v>-110.881503</v>
      </c>
      <c r="Q166" s="22">
        <v>2137</v>
      </c>
      <c r="R166" s="19">
        <v>1993</v>
      </c>
      <c r="S166" s="22">
        <v>2</v>
      </c>
      <c r="T166" s="23">
        <v>2</v>
      </c>
      <c r="U166" s="18" t="s">
        <v>41</v>
      </c>
      <c r="V166" s="22">
        <v>1</v>
      </c>
      <c r="W166" s="18" t="s">
        <v>469</v>
      </c>
      <c r="X166" s="18" t="s">
        <v>470</v>
      </c>
      <c r="Y166" s="21" t="s">
        <v>40</v>
      </c>
      <c r="Z166" s="18"/>
    </row>
    <row r="167" spans="1:26" x14ac:dyDescent="0.25">
      <c r="A167" s="22">
        <v>22519335</v>
      </c>
      <c r="B167" s="18">
        <v>45856</v>
      </c>
      <c r="C167" s="18">
        <v>45995</v>
      </c>
      <c r="D167" s="18">
        <v>45985</v>
      </c>
      <c r="E167" s="19" t="s">
        <v>37</v>
      </c>
      <c r="F167" s="20">
        <v>409000</v>
      </c>
      <c r="G167" s="13">
        <v>350000</v>
      </c>
      <c r="H167" s="20">
        <v>350000</v>
      </c>
      <c r="I167" s="29">
        <f t="shared" si="2"/>
        <v>179.67145790554414</v>
      </c>
      <c r="J167" s="18">
        <v>64200</v>
      </c>
      <c r="K167" s="18" t="s">
        <v>48</v>
      </c>
      <c r="L167" s="18" t="s">
        <v>459</v>
      </c>
      <c r="M167" s="21" t="s">
        <v>40</v>
      </c>
      <c r="N167" s="21">
        <v>85739</v>
      </c>
      <c r="O167" s="21">
        <v>32.540590999999999</v>
      </c>
      <c r="P167" s="21">
        <v>-110.881085</v>
      </c>
      <c r="Q167" s="22">
        <v>1948</v>
      </c>
      <c r="R167" s="19">
        <v>1993</v>
      </c>
      <c r="S167" s="22">
        <v>2</v>
      </c>
      <c r="T167" s="23">
        <v>2</v>
      </c>
      <c r="U167" s="18" t="s">
        <v>41</v>
      </c>
      <c r="V167" s="22">
        <v>1</v>
      </c>
      <c r="W167" s="18" t="s">
        <v>471</v>
      </c>
      <c r="X167" s="18" t="s">
        <v>472</v>
      </c>
      <c r="Y167" s="21" t="s">
        <v>40</v>
      </c>
      <c r="Z167" s="18"/>
    </row>
    <row r="168" spans="1:26" x14ac:dyDescent="0.25">
      <c r="A168" s="16">
        <v>22600209</v>
      </c>
      <c r="B168" s="11">
        <v>46025</v>
      </c>
      <c r="C168" s="11">
        <v>46142</v>
      </c>
      <c r="D168" s="11">
        <v>46113</v>
      </c>
      <c r="E168" s="12" t="s">
        <v>37</v>
      </c>
      <c r="F168" s="13">
        <v>642000</v>
      </c>
      <c r="G168" s="13">
        <v>642000</v>
      </c>
      <c r="H168" s="13">
        <v>630000</v>
      </c>
      <c r="I168" s="29">
        <f t="shared" si="2"/>
        <v>200.12706480304956</v>
      </c>
      <c r="J168" s="11">
        <v>36997</v>
      </c>
      <c r="K168" s="11" t="s">
        <v>38</v>
      </c>
      <c r="L168" s="11" t="s">
        <v>275</v>
      </c>
      <c r="M168" s="15" t="s">
        <v>40</v>
      </c>
      <c r="N168" s="15">
        <v>85739</v>
      </c>
      <c r="O168" s="15">
        <v>32.540716000000003</v>
      </c>
      <c r="P168" s="15">
        <v>-110.86235499999999</v>
      </c>
      <c r="Q168" s="16">
        <v>3148</v>
      </c>
      <c r="R168" s="16">
        <v>2004</v>
      </c>
      <c r="S168" s="16">
        <v>3</v>
      </c>
      <c r="T168" s="17">
        <v>2.5</v>
      </c>
      <c r="U168" s="11" t="s">
        <v>41</v>
      </c>
      <c r="V168" s="16">
        <v>2</v>
      </c>
      <c r="W168" s="11" t="s">
        <v>473</v>
      </c>
      <c r="X168" s="11" t="s">
        <v>474</v>
      </c>
      <c r="Y168" s="15" t="s">
        <v>40</v>
      </c>
      <c r="Z168" s="11"/>
    </row>
    <row r="169" spans="1:26" x14ac:dyDescent="0.25">
      <c r="A169" s="16">
        <v>22602867</v>
      </c>
      <c r="B169" s="11">
        <v>46052</v>
      </c>
      <c r="C169" s="11">
        <v>46163</v>
      </c>
      <c r="D169" s="11">
        <v>46162</v>
      </c>
      <c r="E169" s="12" t="s">
        <v>37</v>
      </c>
      <c r="F169" s="13">
        <v>485000</v>
      </c>
      <c r="G169" s="13">
        <v>450000</v>
      </c>
      <c r="H169" s="13">
        <v>440000</v>
      </c>
      <c r="I169" s="29">
        <f t="shared" si="2"/>
        <v>202.57826887661142</v>
      </c>
      <c r="J169" s="11">
        <v>36892</v>
      </c>
      <c r="K169" s="11" t="s">
        <v>38</v>
      </c>
      <c r="L169" s="11" t="s">
        <v>275</v>
      </c>
      <c r="M169" s="15" t="s">
        <v>45</v>
      </c>
      <c r="N169" s="15">
        <v>85739</v>
      </c>
      <c r="O169" s="15">
        <v>32.541542</v>
      </c>
      <c r="P169" s="15">
        <v>-110.86286699999999</v>
      </c>
      <c r="Q169" s="16">
        <v>2172</v>
      </c>
      <c r="R169" s="16">
        <v>1997</v>
      </c>
      <c r="S169" s="16">
        <v>3</v>
      </c>
      <c r="T169" s="17">
        <v>2</v>
      </c>
      <c r="U169" s="11" t="s">
        <v>41</v>
      </c>
      <c r="V169" s="16">
        <v>1</v>
      </c>
      <c r="W169" s="11" t="s">
        <v>475</v>
      </c>
      <c r="X169" s="11" t="s">
        <v>476</v>
      </c>
      <c r="Y169" s="15" t="s">
        <v>40</v>
      </c>
      <c r="Z169" s="11"/>
    </row>
    <row r="170" spans="1:26" x14ac:dyDescent="0.25">
      <c r="A170" s="16">
        <v>22522866</v>
      </c>
      <c r="B170" s="11">
        <v>45903</v>
      </c>
      <c r="C170" s="11">
        <v>46129</v>
      </c>
      <c r="D170" s="11">
        <v>46126</v>
      </c>
      <c r="E170" s="12" t="s">
        <v>37</v>
      </c>
      <c r="F170" s="13">
        <v>725000</v>
      </c>
      <c r="G170" s="13">
        <v>649000</v>
      </c>
      <c r="H170" s="13">
        <v>649000</v>
      </c>
      <c r="I170" s="29">
        <f t="shared" si="2"/>
        <v>199.56949569495694</v>
      </c>
      <c r="J170" s="11">
        <v>65837</v>
      </c>
      <c r="K170" s="11" t="s">
        <v>48</v>
      </c>
      <c r="L170" s="11" t="s">
        <v>477</v>
      </c>
      <c r="M170" s="15" t="s">
        <v>45</v>
      </c>
      <c r="N170" s="15">
        <v>85739</v>
      </c>
      <c r="O170" s="15">
        <v>32.541699999999999</v>
      </c>
      <c r="P170" s="15">
        <v>-110.863258</v>
      </c>
      <c r="Q170" s="16">
        <v>3252</v>
      </c>
      <c r="R170" s="16">
        <v>1997</v>
      </c>
      <c r="S170" s="16">
        <v>3</v>
      </c>
      <c r="T170" s="17">
        <v>2.5</v>
      </c>
      <c r="U170" s="11" t="s">
        <v>41</v>
      </c>
      <c r="V170" s="16">
        <v>2</v>
      </c>
      <c r="W170" s="11" t="s">
        <v>478</v>
      </c>
      <c r="X170" s="11" t="s">
        <v>479</v>
      </c>
      <c r="Y170" s="15" t="s">
        <v>40</v>
      </c>
      <c r="Z170" s="11"/>
    </row>
    <row r="171" spans="1:26" x14ac:dyDescent="0.25">
      <c r="A171" s="22">
        <v>22530024</v>
      </c>
      <c r="B171" s="18">
        <v>45980</v>
      </c>
      <c r="C171" s="18">
        <v>46073</v>
      </c>
      <c r="D171" s="18">
        <v>46059</v>
      </c>
      <c r="E171" s="19" t="s">
        <v>37</v>
      </c>
      <c r="F171" s="20">
        <v>435000</v>
      </c>
      <c r="G171" s="13">
        <v>350000</v>
      </c>
      <c r="H171" s="20">
        <v>350000</v>
      </c>
      <c r="I171" s="29">
        <f t="shared" si="2"/>
        <v>187.76824034334763</v>
      </c>
      <c r="J171" s="18">
        <v>36864</v>
      </c>
      <c r="K171" s="18" t="s">
        <v>38</v>
      </c>
      <c r="L171" s="18" t="s">
        <v>480</v>
      </c>
      <c r="M171" s="21" t="s">
        <v>45</v>
      </c>
      <c r="N171" s="21">
        <v>85739</v>
      </c>
      <c r="O171" s="21">
        <v>32.542172999999998</v>
      </c>
      <c r="P171" s="21">
        <v>-110.866294</v>
      </c>
      <c r="Q171" s="22">
        <v>1864</v>
      </c>
      <c r="R171" s="19">
        <v>1998</v>
      </c>
      <c r="S171" s="22">
        <v>2</v>
      </c>
      <c r="T171" s="23">
        <v>2</v>
      </c>
      <c r="U171" s="18" t="s">
        <v>41</v>
      </c>
      <c r="V171" s="22">
        <v>1</v>
      </c>
      <c r="W171" s="18" t="s">
        <v>481</v>
      </c>
      <c r="X171" s="18" t="s">
        <v>482</v>
      </c>
      <c r="Y171" s="21" t="s">
        <v>40</v>
      </c>
      <c r="Z171" s="18"/>
    </row>
    <row r="172" spans="1:26" x14ac:dyDescent="0.25">
      <c r="A172" s="16">
        <v>22526975</v>
      </c>
      <c r="B172" s="11">
        <v>45947</v>
      </c>
      <c r="C172" s="11">
        <v>46028</v>
      </c>
      <c r="D172" s="11">
        <v>46020</v>
      </c>
      <c r="E172" s="12" t="s">
        <v>37</v>
      </c>
      <c r="F172" s="13">
        <v>449000</v>
      </c>
      <c r="G172" s="13">
        <v>434000</v>
      </c>
      <c r="H172" s="13">
        <v>415000</v>
      </c>
      <c r="I172" s="29">
        <f t="shared" si="2"/>
        <v>196.6824644549763</v>
      </c>
      <c r="J172" s="11">
        <v>65856</v>
      </c>
      <c r="K172" s="11" t="s">
        <v>48</v>
      </c>
      <c r="L172" s="11" t="s">
        <v>477</v>
      </c>
      <c r="M172" s="15" t="s">
        <v>40</v>
      </c>
      <c r="N172" s="15">
        <v>85739</v>
      </c>
      <c r="O172" s="15">
        <v>32.542192</v>
      </c>
      <c r="P172" s="15">
        <v>-110.86303599999999</v>
      </c>
      <c r="Q172" s="16">
        <v>2110</v>
      </c>
      <c r="R172" s="16">
        <v>1996</v>
      </c>
      <c r="S172" s="16">
        <v>3</v>
      </c>
      <c r="T172" s="17">
        <v>2</v>
      </c>
      <c r="U172" s="11" t="s">
        <v>41</v>
      </c>
      <c r="V172" s="16">
        <v>1</v>
      </c>
      <c r="W172" s="11" t="s">
        <v>483</v>
      </c>
      <c r="X172" s="11" t="s">
        <v>484</v>
      </c>
      <c r="Y172" s="15" t="s">
        <v>40</v>
      </c>
      <c r="Z172" s="11"/>
    </row>
    <row r="173" spans="1:26" x14ac:dyDescent="0.25">
      <c r="A173" s="16">
        <v>22525539</v>
      </c>
      <c r="B173" s="11">
        <v>45931</v>
      </c>
      <c r="C173" s="11">
        <v>46055</v>
      </c>
      <c r="D173" s="11">
        <v>46031</v>
      </c>
      <c r="E173" s="12" t="s">
        <v>37</v>
      </c>
      <c r="F173" s="13">
        <v>925000</v>
      </c>
      <c r="G173" s="13">
        <v>925000</v>
      </c>
      <c r="H173" s="13">
        <v>875000</v>
      </c>
      <c r="I173" s="29">
        <f t="shared" si="2"/>
        <v>331.94233687405159</v>
      </c>
      <c r="J173" s="11">
        <v>66220</v>
      </c>
      <c r="K173" s="11" t="s">
        <v>48</v>
      </c>
      <c r="L173" s="11" t="s">
        <v>485</v>
      </c>
      <c r="M173" s="15" t="s">
        <v>45</v>
      </c>
      <c r="N173" s="15">
        <v>85739</v>
      </c>
      <c r="O173" s="15">
        <v>32.543556000000002</v>
      </c>
      <c r="P173" s="15">
        <v>-110.858147</v>
      </c>
      <c r="Q173" s="16">
        <v>2636</v>
      </c>
      <c r="R173" s="16">
        <v>2012</v>
      </c>
      <c r="S173" s="16">
        <v>2</v>
      </c>
      <c r="T173" s="17">
        <v>3</v>
      </c>
      <c r="U173" s="11" t="s">
        <v>41</v>
      </c>
      <c r="V173" s="16">
        <v>1</v>
      </c>
      <c r="W173" s="11" t="s">
        <v>486</v>
      </c>
      <c r="X173" s="11" t="s">
        <v>487</v>
      </c>
      <c r="Y173" s="15" t="s">
        <v>40</v>
      </c>
      <c r="Z173" s="11"/>
    </row>
    <row r="174" spans="1:26" x14ac:dyDescent="0.25">
      <c r="A174" s="16">
        <v>22600563</v>
      </c>
      <c r="B174" s="11">
        <v>46029</v>
      </c>
      <c r="C174" s="11">
        <v>46080</v>
      </c>
      <c r="D174" s="11">
        <v>46062</v>
      </c>
      <c r="E174" s="12" t="s">
        <v>37</v>
      </c>
      <c r="F174" s="13">
        <v>389900</v>
      </c>
      <c r="G174" s="13">
        <v>389900</v>
      </c>
      <c r="H174" s="13">
        <v>365000</v>
      </c>
      <c r="I174" s="29">
        <f t="shared" si="2"/>
        <v>188.14432989690721</v>
      </c>
      <c r="J174" s="11">
        <v>65762</v>
      </c>
      <c r="K174" s="11" t="s">
        <v>48</v>
      </c>
      <c r="L174" s="11" t="s">
        <v>488</v>
      </c>
      <c r="M174" s="15" t="s">
        <v>45</v>
      </c>
      <c r="N174" s="15">
        <v>85739</v>
      </c>
      <c r="O174" s="15">
        <v>32.543973000000001</v>
      </c>
      <c r="P174" s="15">
        <v>-110.863956</v>
      </c>
      <c r="Q174" s="16">
        <v>1940</v>
      </c>
      <c r="R174" s="16">
        <v>1996</v>
      </c>
      <c r="S174" s="16">
        <v>2</v>
      </c>
      <c r="T174" s="17">
        <v>2</v>
      </c>
      <c r="U174" s="11" t="s">
        <v>41</v>
      </c>
      <c r="V174" s="16">
        <v>1</v>
      </c>
      <c r="W174" s="11" t="s">
        <v>489</v>
      </c>
      <c r="X174" s="11" t="s">
        <v>490</v>
      </c>
      <c r="Y174" s="15" t="s">
        <v>40</v>
      </c>
      <c r="Z174" s="11"/>
    </row>
    <row r="175" spans="1:26" x14ac:dyDescent="0.25">
      <c r="A175" s="16">
        <v>22607815</v>
      </c>
      <c r="B175" s="11">
        <v>46106</v>
      </c>
      <c r="C175" s="11">
        <v>46143</v>
      </c>
      <c r="D175" s="11">
        <v>46136</v>
      </c>
      <c r="E175" s="12" t="s">
        <v>37</v>
      </c>
      <c r="F175" s="13">
        <v>523000</v>
      </c>
      <c r="G175" s="13">
        <v>523000</v>
      </c>
      <c r="H175" s="13">
        <v>523000</v>
      </c>
      <c r="I175" s="29">
        <f t="shared" si="2"/>
        <v>270.42399172699072</v>
      </c>
      <c r="J175" s="11">
        <v>36604</v>
      </c>
      <c r="K175" s="11" t="s">
        <v>38</v>
      </c>
      <c r="L175" s="11" t="s">
        <v>480</v>
      </c>
      <c r="M175" s="15" t="s">
        <v>40</v>
      </c>
      <c r="N175" s="15">
        <v>85739</v>
      </c>
      <c r="O175" s="15">
        <v>32.544206000000003</v>
      </c>
      <c r="P175" s="15">
        <v>-110.86586699999999</v>
      </c>
      <c r="Q175" s="16">
        <v>1934</v>
      </c>
      <c r="R175" s="16">
        <v>2005</v>
      </c>
      <c r="S175" s="16">
        <v>2</v>
      </c>
      <c r="T175" s="17">
        <v>2</v>
      </c>
      <c r="U175" s="11" t="s">
        <v>41</v>
      </c>
      <c r="V175" s="16">
        <v>1</v>
      </c>
      <c r="W175" s="11" t="s">
        <v>491</v>
      </c>
      <c r="X175" s="11" t="s">
        <v>492</v>
      </c>
      <c r="Y175" s="15" t="s">
        <v>40</v>
      </c>
      <c r="Z175" s="11"/>
    </row>
    <row r="176" spans="1:26" x14ac:dyDescent="0.25">
      <c r="A176" s="16">
        <v>22600553</v>
      </c>
      <c r="B176" s="11">
        <v>46029</v>
      </c>
      <c r="C176" s="11">
        <v>46077</v>
      </c>
      <c r="D176" s="11">
        <v>46050</v>
      </c>
      <c r="E176" s="12" t="s">
        <v>37</v>
      </c>
      <c r="F176" s="13">
        <v>445000</v>
      </c>
      <c r="G176" s="13">
        <v>445000</v>
      </c>
      <c r="H176" s="13">
        <v>445000</v>
      </c>
      <c r="I176" s="29">
        <f t="shared" si="2"/>
        <v>216.96733300828865</v>
      </c>
      <c r="J176" s="11">
        <v>65815</v>
      </c>
      <c r="K176" s="11" t="s">
        <v>48</v>
      </c>
      <c r="L176" s="11" t="s">
        <v>493</v>
      </c>
      <c r="M176" s="15" t="s">
        <v>45</v>
      </c>
      <c r="N176" s="15">
        <v>85739</v>
      </c>
      <c r="O176" s="15">
        <v>32.544226999999999</v>
      </c>
      <c r="P176" s="15">
        <v>-110.86344699999999</v>
      </c>
      <c r="Q176" s="16">
        <v>2051</v>
      </c>
      <c r="R176" s="16">
        <v>1998</v>
      </c>
      <c r="S176" s="16">
        <v>3</v>
      </c>
      <c r="T176" s="17">
        <v>3</v>
      </c>
      <c r="U176" s="11" t="s">
        <v>41</v>
      </c>
      <c r="V176" s="16">
        <v>1</v>
      </c>
      <c r="W176" s="11" t="s">
        <v>494</v>
      </c>
      <c r="X176" s="11" t="s">
        <v>495</v>
      </c>
      <c r="Y176" s="15" t="s">
        <v>40</v>
      </c>
      <c r="Z176" s="11"/>
    </row>
    <row r="177" spans="1:26" x14ac:dyDescent="0.25">
      <c r="A177" s="16">
        <v>22606094</v>
      </c>
      <c r="B177" s="11">
        <v>46087</v>
      </c>
      <c r="C177" s="11">
        <v>46121</v>
      </c>
      <c r="D177" s="11">
        <v>46108</v>
      </c>
      <c r="E177" s="12" t="s">
        <v>37</v>
      </c>
      <c r="F177" s="13">
        <v>725000</v>
      </c>
      <c r="G177" s="13">
        <v>725000</v>
      </c>
      <c r="H177" s="13">
        <v>740000</v>
      </c>
      <c r="I177" s="29">
        <f t="shared" si="2"/>
        <v>333.48355114916632</v>
      </c>
      <c r="J177" s="11">
        <v>65871</v>
      </c>
      <c r="K177" s="11" t="s">
        <v>48</v>
      </c>
      <c r="L177" s="11" t="s">
        <v>493</v>
      </c>
      <c r="M177" s="15" t="s">
        <v>45</v>
      </c>
      <c r="N177" s="15">
        <v>85739</v>
      </c>
      <c r="O177" s="15">
        <v>32.544234000000003</v>
      </c>
      <c r="P177" s="15">
        <v>-110.862876</v>
      </c>
      <c r="Q177" s="16">
        <v>2219</v>
      </c>
      <c r="R177" s="16">
        <v>1996</v>
      </c>
      <c r="S177" s="16">
        <v>3</v>
      </c>
      <c r="T177" s="17">
        <v>3</v>
      </c>
      <c r="U177" s="11" t="s">
        <v>41</v>
      </c>
      <c r="V177" s="16">
        <v>1</v>
      </c>
      <c r="W177" s="11" t="s">
        <v>496</v>
      </c>
      <c r="X177" s="11" t="s">
        <v>497</v>
      </c>
      <c r="Y177" s="15" t="s">
        <v>40</v>
      </c>
      <c r="Z177" s="11"/>
    </row>
    <row r="178" spans="1:26" x14ac:dyDescent="0.25">
      <c r="A178" s="16">
        <v>22527463</v>
      </c>
      <c r="B178" s="11">
        <v>45952</v>
      </c>
      <c r="C178" s="11">
        <v>46055</v>
      </c>
      <c r="D178" s="11"/>
      <c r="E178" s="12" t="s">
        <v>37</v>
      </c>
      <c r="F178" s="13">
        <v>385000</v>
      </c>
      <c r="G178" s="13">
        <v>359900</v>
      </c>
      <c r="H178" s="13">
        <v>345000</v>
      </c>
      <c r="I178" s="29">
        <f t="shared" si="2"/>
        <v>239.91655076495132</v>
      </c>
      <c r="J178" s="11">
        <v>36526</v>
      </c>
      <c r="K178" s="11" t="s">
        <v>38</v>
      </c>
      <c r="L178" s="11" t="s">
        <v>498</v>
      </c>
      <c r="M178" s="15" t="s">
        <v>45</v>
      </c>
      <c r="N178" s="15">
        <v>85739</v>
      </c>
      <c r="O178" s="15">
        <v>32.544893999999999</v>
      </c>
      <c r="P178" s="15">
        <v>-110.870076</v>
      </c>
      <c r="Q178" s="16">
        <v>1438</v>
      </c>
      <c r="R178" s="16">
        <v>1998</v>
      </c>
      <c r="S178" s="16">
        <v>2</v>
      </c>
      <c r="T178" s="17">
        <v>2</v>
      </c>
      <c r="U178" s="11" t="s">
        <v>41</v>
      </c>
      <c r="V178" s="16">
        <v>1</v>
      </c>
      <c r="W178" s="11" t="s">
        <v>499</v>
      </c>
      <c r="X178" s="11" t="s">
        <v>500</v>
      </c>
      <c r="Y178" s="15" t="s">
        <v>40</v>
      </c>
      <c r="Z178" s="11"/>
    </row>
    <row r="179" spans="1:26" x14ac:dyDescent="0.25">
      <c r="A179" s="16">
        <v>22603625</v>
      </c>
      <c r="B179" s="11">
        <v>46060</v>
      </c>
      <c r="C179" s="11">
        <v>46127</v>
      </c>
      <c r="D179" s="11">
        <v>46104</v>
      </c>
      <c r="E179" s="12" t="s">
        <v>37</v>
      </c>
      <c r="F179" s="13">
        <v>459000</v>
      </c>
      <c r="G179" s="13">
        <v>459000</v>
      </c>
      <c r="H179" s="13">
        <v>450000</v>
      </c>
      <c r="I179" s="29">
        <f t="shared" si="2"/>
        <v>241.41630901287553</v>
      </c>
      <c r="J179" s="11">
        <v>36526</v>
      </c>
      <c r="K179" s="11" t="s">
        <v>38</v>
      </c>
      <c r="L179" s="11" t="s">
        <v>501</v>
      </c>
      <c r="M179" s="15" t="s">
        <v>45</v>
      </c>
      <c r="N179" s="15">
        <v>85739</v>
      </c>
      <c r="O179" s="15">
        <v>32.545282</v>
      </c>
      <c r="P179" s="15">
        <v>-110.867628</v>
      </c>
      <c r="Q179" s="16">
        <v>1864</v>
      </c>
      <c r="R179" s="16">
        <v>2000</v>
      </c>
      <c r="S179" s="16">
        <v>2</v>
      </c>
      <c r="T179" s="17">
        <v>2</v>
      </c>
      <c r="U179" s="11" t="s">
        <v>41</v>
      </c>
      <c r="V179" s="16">
        <v>1</v>
      </c>
      <c r="W179" s="11" t="s">
        <v>502</v>
      </c>
      <c r="X179" s="11" t="s">
        <v>503</v>
      </c>
      <c r="Y179" s="15" t="s">
        <v>40</v>
      </c>
      <c r="Z179" s="11"/>
    </row>
    <row r="180" spans="1:26" x14ac:dyDescent="0.25">
      <c r="A180" s="16">
        <v>22524034</v>
      </c>
      <c r="B180" s="11">
        <v>45915</v>
      </c>
      <c r="C180" s="11">
        <v>46013</v>
      </c>
      <c r="D180" s="11">
        <v>46002</v>
      </c>
      <c r="E180" s="12" t="s">
        <v>37</v>
      </c>
      <c r="F180" s="13">
        <v>425000</v>
      </c>
      <c r="G180" s="13">
        <v>425000</v>
      </c>
      <c r="H180" s="13">
        <v>425000</v>
      </c>
      <c r="I180" s="29">
        <f t="shared" si="2"/>
        <v>227.51605995717344</v>
      </c>
      <c r="J180" s="11">
        <v>36395</v>
      </c>
      <c r="K180" s="11" t="s">
        <v>38</v>
      </c>
      <c r="L180" s="11" t="s">
        <v>480</v>
      </c>
      <c r="M180" s="15" t="s">
        <v>45</v>
      </c>
      <c r="N180" s="15">
        <v>85739</v>
      </c>
      <c r="O180" s="15">
        <v>32.545698999999999</v>
      </c>
      <c r="P180" s="15">
        <v>-110.864447</v>
      </c>
      <c r="Q180" s="16">
        <v>1868</v>
      </c>
      <c r="R180" s="16">
        <v>1997</v>
      </c>
      <c r="S180" s="16">
        <v>2</v>
      </c>
      <c r="T180" s="17">
        <v>2.5</v>
      </c>
      <c r="U180" s="11" t="s">
        <v>41</v>
      </c>
      <c r="V180" s="16">
        <v>1</v>
      </c>
      <c r="W180" s="11" t="s">
        <v>504</v>
      </c>
      <c r="X180" s="11" t="s">
        <v>505</v>
      </c>
      <c r="Y180" s="15" t="s">
        <v>40</v>
      </c>
      <c r="Z180" s="11"/>
    </row>
    <row r="181" spans="1:26" x14ac:dyDescent="0.25">
      <c r="A181" s="16">
        <v>22530486</v>
      </c>
      <c r="B181" s="11">
        <v>45986</v>
      </c>
      <c r="C181" s="11">
        <v>46021</v>
      </c>
      <c r="D181" s="11">
        <v>46001</v>
      </c>
      <c r="E181" s="12" t="s">
        <v>37</v>
      </c>
      <c r="F181" s="13">
        <v>319000</v>
      </c>
      <c r="G181" s="13">
        <v>319000</v>
      </c>
      <c r="H181" s="13">
        <v>311000</v>
      </c>
      <c r="I181" s="29">
        <f t="shared" si="2"/>
        <v>219.32299012693935</v>
      </c>
      <c r="J181" s="11">
        <v>36394</v>
      </c>
      <c r="K181" s="11" t="s">
        <v>38</v>
      </c>
      <c r="L181" s="11" t="s">
        <v>480</v>
      </c>
      <c r="M181" s="15" t="s">
        <v>45</v>
      </c>
      <c r="N181" s="15">
        <v>85739</v>
      </c>
      <c r="O181" s="15">
        <v>32.545909999999999</v>
      </c>
      <c r="P181" s="15">
        <v>-110.86499499999999</v>
      </c>
      <c r="Q181" s="16">
        <v>1418</v>
      </c>
      <c r="R181" s="16">
        <v>1997</v>
      </c>
      <c r="S181" s="16">
        <v>2</v>
      </c>
      <c r="T181" s="17">
        <v>2</v>
      </c>
      <c r="U181" s="11" t="s">
        <v>41</v>
      </c>
      <c r="V181" s="16">
        <v>1</v>
      </c>
      <c r="W181" s="11" t="s">
        <v>506</v>
      </c>
      <c r="X181" s="11" t="s">
        <v>507</v>
      </c>
      <c r="Y181" s="15" t="s">
        <v>40</v>
      </c>
      <c r="Z181" s="11"/>
    </row>
    <row r="182" spans="1:26" x14ac:dyDescent="0.25">
      <c r="A182" s="16">
        <v>22527433</v>
      </c>
      <c r="B182" s="11">
        <v>45952</v>
      </c>
      <c r="C182" s="11">
        <v>46121</v>
      </c>
      <c r="D182" s="11">
        <v>46111</v>
      </c>
      <c r="E182" s="12" t="s">
        <v>37</v>
      </c>
      <c r="F182" s="13">
        <v>819900</v>
      </c>
      <c r="G182" s="13">
        <v>799500</v>
      </c>
      <c r="H182" s="13">
        <v>790000</v>
      </c>
      <c r="I182" s="29">
        <f t="shared" si="2"/>
        <v>299.81024667931689</v>
      </c>
      <c r="J182" s="11">
        <v>36531</v>
      </c>
      <c r="K182" s="11" t="s">
        <v>38</v>
      </c>
      <c r="L182" s="11" t="s">
        <v>58</v>
      </c>
      <c r="M182" s="15" t="s">
        <v>40</v>
      </c>
      <c r="N182" s="15">
        <v>85739</v>
      </c>
      <c r="O182" s="15">
        <v>32.546168999999999</v>
      </c>
      <c r="P182" s="15">
        <v>-110.855351</v>
      </c>
      <c r="Q182" s="16">
        <v>2635</v>
      </c>
      <c r="R182" s="16">
        <v>2012</v>
      </c>
      <c r="S182" s="16">
        <v>2</v>
      </c>
      <c r="T182" s="17">
        <v>2.5</v>
      </c>
      <c r="U182" s="11" t="s">
        <v>41</v>
      </c>
      <c r="V182" s="16">
        <v>1</v>
      </c>
      <c r="W182" s="11" t="s">
        <v>508</v>
      </c>
      <c r="X182" s="11" t="s">
        <v>509</v>
      </c>
      <c r="Y182" s="15" t="s">
        <v>40</v>
      </c>
      <c r="Z182" s="11"/>
    </row>
    <row r="183" spans="1:26" x14ac:dyDescent="0.25">
      <c r="A183" s="16">
        <v>22606549</v>
      </c>
      <c r="B183" s="11">
        <v>46092</v>
      </c>
      <c r="C183" s="11">
        <v>46143</v>
      </c>
      <c r="D183" s="11">
        <v>46116</v>
      </c>
      <c r="E183" s="12" t="s">
        <v>37</v>
      </c>
      <c r="F183" s="13">
        <v>985767</v>
      </c>
      <c r="G183" s="13">
        <v>985767</v>
      </c>
      <c r="H183" s="13">
        <v>930000</v>
      </c>
      <c r="I183" s="29">
        <f t="shared" si="2"/>
        <v>381.30381303813039</v>
      </c>
      <c r="J183" s="11">
        <v>36342</v>
      </c>
      <c r="K183" s="11"/>
      <c r="L183" s="11" t="s">
        <v>55</v>
      </c>
      <c r="M183" s="15" t="s">
        <v>45</v>
      </c>
      <c r="N183" s="15">
        <v>85739</v>
      </c>
      <c r="O183" s="15">
        <v>32.546185999999999</v>
      </c>
      <c r="P183" s="15">
        <v>-110.85210600000001</v>
      </c>
      <c r="Q183" s="16">
        <v>2439</v>
      </c>
      <c r="R183" s="16">
        <v>2026</v>
      </c>
      <c r="S183" s="16">
        <v>2</v>
      </c>
      <c r="T183" s="17">
        <v>2.5</v>
      </c>
      <c r="U183" s="11" t="s">
        <v>510</v>
      </c>
      <c r="V183" s="16">
        <v>1</v>
      </c>
      <c r="W183" s="11" t="s">
        <v>511</v>
      </c>
      <c r="X183" s="11" t="s">
        <v>512</v>
      </c>
      <c r="Y183" s="15" t="s">
        <v>40</v>
      </c>
      <c r="Z183" s="11"/>
    </row>
    <row r="184" spans="1:26" x14ac:dyDescent="0.25">
      <c r="A184" s="16">
        <v>22529525</v>
      </c>
      <c r="B184" s="11">
        <v>45974</v>
      </c>
      <c r="C184" s="11">
        <v>46093</v>
      </c>
      <c r="D184" s="11">
        <v>46085</v>
      </c>
      <c r="E184" s="12" t="s">
        <v>37</v>
      </c>
      <c r="F184" s="13">
        <v>375000</v>
      </c>
      <c r="G184" s="13">
        <v>350000</v>
      </c>
      <c r="H184" s="13">
        <v>308000</v>
      </c>
      <c r="I184" s="29">
        <f t="shared" si="2"/>
        <v>203.97350993377484</v>
      </c>
      <c r="J184" s="11">
        <v>36338</v>
      </c>
      <c r="K184" s="11" t="s">
        <v>38</v>
      </c>
      <c r="L184" s="11" t="s">
        <v>480</v>
      </c>
      <c r="M184" s="15" t="s">
        <v>45</v>
      </c>
      <c r="N184" s="15">
        <v>85739</v>
      </c>
      <c r="O184" s="15">
        <v>32.546287</v>
      </c>
      <c r="P184" s="15">
        <v>-110.864791</v>
      </c>
      <c r="Q184" s="16">
        <v>1510</v>
      </c>
      <c r="R184" s="16">
        <v>1999</v>
      </c>
      <c r="S184" s="16">
        <v>2</v>
      </c>
      <c r="T184" s="17">
        <v>2</v>
      </c>
      <c r="U184" s="11" t="s">
        <v>41</v>
      </c>
      <c r="V184" s="16">
        <v>1</v>
      </c>
      <c r="W184" s="11" t="s">
        <v>513</v>
      </c>
      <c r="X184" s="11" t="s">
        <v>514</v>
      </c>
      <c r="Y184" s="15" t="s">
        <v>40</v>
      </c>
      <c r="Z184" s="11"/>
    </row>
    <row r="185" spans="1:26" x14ac:dyDescent="0.25">
      <c r="A185" s="16">
        <v>22601607</v>
      </c>
      <c r="B185" s="11">
        <v>46038</v>
      </c>
      <c r="C185" s="11">
        <v>46161</v>
      </c>
      <c r="D185" s="11">
        <v>46139</v>
      </c>
      <c r="E185" s="12" t="s">
        <v>37</v>
      </c>
      <c r="F185" s="13">
        <v>619000</v>
      </c>
      <c r="G185" s="13">
        <v>545000</v>
      </c>
      <c r="H185" s="13">
        <v>535000</v>
      </c>
      <c r="I185" s="29">
        <f t="shared" si="2"/>
        <v>293.31140350877195</v>
      </c>
      <c r="J185" s="11">
        <v>65510</v>
      </c>
      <c r="K185" s="11" t="s">
        <v>48</v>
      </c>
      <c r="L185" s="11" t="s">
        <v>515</v>
      </c>
      <c r="M185" s="15" t="s">
        <v>45</v>
      </c>
      <c r="N185" s="15">
        <v>85739</v>
      </c>
      <c r="O185" s="15">
        <v>32.546525000000003</v>
      </c>
      <c r="P185" s="15">
        <v>-110.866545</v>
      </c>
      <c r="Q185" s="16">
        <v>1824</v>
      </c>
      <c r="R185" s="16">
        <v>1998</v>
      </c>
      <c r="S185" s="16">
        <v>3</v>
      </c>
      <c r="T185" s="17">
        <v>3</v>
      </c>
      <c r="U185" s="11" t="s">
        <v>41</v>
      </c>
      <c r="V185" s="16">
        <v>1</v>
      </c>
      <c r="W185" s="11" t="s">
        <v>516</v>
      </c>
      <c r="X185" s="11" t="s">
        <v>517</v>
      </c>
      <c r="Y185" s="15" t="s">
        <v>40</v>
      </c>
      <c r="Z185" s="11"/>
    </row>
    <row r="186" spans="1:26" x14ac:dyDescent="0.25">
      <c r="A186" s="22">
        <v>22601440</v>
      </c>
      <c r="B186" s="18">
        <v>46037</v>
      </c>
      <c r="C186" s="18">
        <v>46083</v>
      </c>
      <c r="D186" s="18">
        <v>46051</v>
      </c>
      <c r="E186" s="19" t="s">
        <v>37</v>
      </c>
      <c r="F186" s="20">
        <v>499000</v>
      </c>
      <c r="G186" s="13">
        <v>499000</v>
      </c>
      <c r="H186" s="20">
        <v>494000</v>
      </c>
      <c r="I186" s="29">
        <f t="shared" si="2"/>
        <v>226.29409070087036</v>
      </c>
      <c r="J186" s="18">
        <v>36215</v>
      </c>
      <c r="K186" s="18" t="s">
        <v>38</v>
      </c>
      <c r="L186" s="18" t="s">
        <v>275</v>
      </c>
      <c r="M186" s="21" t="s">
        <v>45</v>
      </c>
      <c r="N186" s="21">
        <v>85739</v>
      </c>
      <c r="O186" s="21">
        <v>32.546832999999999</v>
      </c>
      <c r="P186" s="21">
        <v>-110.862298</v>
      </c>
      <c r="Q186" s="22">
        <v>2183</v>
      </c>
      <c r="R186" s="19">
        <v>1997</v>
      </c>
      <c r="S186" s="22">
        <v>2</v>
      </c>
      <c r="T186" s="23">
        <v>2</v>
      </c>
      <c r="U186" s="18" t="s">
        <v>41</v>
      </c>
      <c r="V186" s="22">
        <v>1</v>
      </c>
      <c r="W186" s="18" t="s">
        <v>518</v>
      </c>
      <c r="X186" s="18" t="s">
        <v>519</v>
      </c>
      <c r="Y186" s="21" t="s">
        <v>40</v>
      </c>
      <c r="Z186" s="18"/>
    </row>
    <row r="187" spans="1:26" x14ac:dyDescent="0.25">
      <c r="A187" s="22">
        <v>22602891</v>
      </c>
      <c r="B187" s="18">
        <v>46052</v>
      </c>
      <c r="C187" s="18">
        <v>46141</v>
      </c>
      <c r="D187" s="18">
        <v>46116</v>
      </c>
      <c r="E187" s="19" t="s">
        <v>37</v>
      </c>
      <c r="F187" s="20">
        <v>598000</v>
      </c>
      <c r="G187" s="13">
        <v>578000</v>
      </c>
      <c r="H187" s="20">
        <v>575000</v>
      </c>
      <c r="I187" s="29">
        <f t="shared" si="2"/>
        <v>249.02555218709398</v>
      </c>
      <c r="J187" s="18">
        <v>65187</v>
      </c>
      <c r="K187" s="18" t="s">
        <v>48</v>
      </c>
      <c r="L187" s="18" t="s">
        <v>493</v>
      </c>
      <c r="M187" s="21" t="s">
        <v>45</v>
      </c>
      <c r="N187" s="21">
        <v>85739</v>
      </c>
      <c r="O187" s="21">
        <v>32.546872</v>
      </c>
      <c r="P187" s="21">
        <v>-110.86925100000001</v>
      </c>
      <c r="Q187" s="22">
        <v>2309</v>
      </c>
      <c r="R187" s="19">
        <v>2000</v>
      </c>
      <c r="S187" s="22">
        <v>3</v>
      </c>
      <c r="T187" s="23">
        <v>2</v>
      </c>
      <c r="U187" s="18" t="s">
        <v>41</v>
      </c>
      <c r="V187" s="22">
        <v>1</v>
      </c>
      <c r="W187" s="18" t="s">
        <v>520</v>
      </c>
      <c r="X187" s="18" t="s">
        <v>521</v>
      </c>
      <c r="Y187" s="21" t="s">
        <v>40</v>
      </c>
      <c r="Z187" s="18"/>
    </row>
    <row r="188" spans="1:26" x14ac:dyDescent="0.25">
      <c r="A188" s="16">
        <v>22530975</v>
      </c>
      <c r="B188" s="11">
        <v>45994</v>
      </c>
      <c r="C188" s="11">
        <v>46020</v>
      </c>
      <c r="D188" s="11">
        <v>46013</v>
      </c>
      <c r="E188" s="12" t="s">
        <v>37</v>
      </c>
      <c r="F188" s="13">
        <v>470000</v>
      </c>
      <c r="G188" s="13">
        <v>470000</v>
      </c>
      <c r="H188" s="13">
        <v>460000</v>
      </c>
      <c r="I188" s="29">
        <f t="shared" si="2"/>
        <v>158.56601172009653</v>
      </c>
      <c r="J188" s="11">
        <v>36180</v>
      </c>
      <c r="K188" s="11" t="s">
        <v>38</v>
      </c>
      <c r="L188" s="11" t="s">
        <v>522</v>
      </c>
      <c r="M188" s="15" t="s">
        <v>45</v>
      </c>
      <c r="N188" s="15">
        <v>85739</v>
      </c>
      <c r="O188" s="15">
        <v>32.547336999999999</v>
      </c>
      <c r="P188" s="15">
        <v>-110.866702</v>
      </c>
      <c r="Q188" s="16">
        <v>2901</v>
      </c>
      <c r="R188" s="16">
        <v>1996</v>
      </c>
      <c r="S188" s="16">
        <v>3</v>
      </c>
      <c r="T188" s="17">
        <v>2</v>
      </c>
      <c r="U188" s="11" t="s">
        <v>41</v>
      </c>
      <c r="V188" s="16">
        <v>1</v>
      </c>
      <c r="W188" s="11" t="s">
        <v>523</v>
      </c>
      <c r="X188" s="11" t="s">
        <v>524</v>
      </c>
      <c r="Y188" s="15" t="s">
        <v>40</v>
      </c>
      <c r="Z188" s="11"/>
    </row>
    <row r="189" spans="1:26" x14ac:dyDescent="0.25">
      <c r="A189" s="16">
        <v>22528441</v>
      </c>
      <c r="B189" s="11">
        <v>45962</v>
      </c>
      <c r="C189" s="11">
        <v>46027</v>
      </c>
      <c r="D189" s="11">
        <v>46012</v>
      </c>
      <c r="E189" s="12" t="s">
        <v>37</v>
      </c>
      <c r="F189" s="13">
        <v>560000</v>
      </c>
      <c r="G189" s="13">
        <v>560000</v>
      </c>
      <c r="H189" s="13">
        <v>547000</v>
      </c>
      <c r="I189" s="29">
        <f t="shared" si="2"/>
        <v>281.95876288659792</v>
      </c>
      <c r="J189" s="11">
        <v>65870</v>
      </c>
      <c r="K189" s="11" t="s">
        <v>48</v>
      </c>
      <c r="L189" s="11" t="s">
        <v>80</v>
      </c>
      <c r="M189" s="15" t="s">
        <v>40</v>
      </c>
      <c r="N189" s="15">
        <v>85739</v>
      </c>
      <c r="O189" s="15">
        <v>32.548166999999999</v>
      </c>
      <c r="P189" s="15">
        <v>-110.862803</v>
      </c>
      <c r="Q189" s="16">
        <v>1940</v>
      </c>
      <c r="R189" s="16">
        <v>1997</v>
      </c>
      <c r="S189" s="16">
        <v>2</v>
      </c>
      <c r="T189" s="17">
        <v>2</v>
      </c>
      <c r="U189" s="11" t="s">
        <v>41</v>
      </c>
      <c r="V189" s="16">
        <v>1</v>
      </c>
      <c r="W189" s="11" t="s">
        <v>525</v>
      </c>
      <c r="X189" s="11" t="s">
        <v>526</v>
      </c>
      <c r="Y189" s="15" t="s">
        <v>40</v>
      </c>
      <c r="Z189" s="11"/>
    </row>
    <row r="190" spans="1:26" x14ac:dyDescent="0.25">
      <c r="A190" s="16">
        <v>22524348</v>
      </c>
      <c r="B190" s="11">
        <v>45918</v>
      </c>
      <c r="C190" s="11">
        <v>45996</v>
      </c>
      <c r="D190" s="11">
        <v>45960</v>
      </c>
      <c r="E190" s="12" t="s">
        <v>37</v>
      </c>
      <c r="F190" s="13">
        <v>565000</v>
      </c>
      <c r="G190" s="13">
        <v>565000</v>
      </c>
      <c r="H190" s="13">
        <v>552000</v>
      </c>
      <c r="I190" s="29">
        <f t="shared" si="2"/>
        <v>217.15184893784422</v>
      </c>
      <c r="J190" s="11">
        <v>65712</v>
      </c>
      <c r="K190" s="11" t="s">
        <v>48</v>
      </c>
      <c r="L190" s="11" t="s">
        <v>80</v>
      </c>
      <c r="M190" s="15" t="s">
        <v>40</v>
      </c>
      <c r="N190" s="15">
        <v>85739</v>
      </c>
      <c r="O190" s="15">
        <v>32.548856000000001</v>
      </c>
      <c r="P190" s="15">
        <v>-110.864025</v>
      </c>
      <c r="Q190" s="16">
        <v>2542</v>
      </c>
      <c r="R190" s="16">
        <v>1997</v>
      </c>
      <c r="S190" s="16">
        <v>3</v>
      </c>
      <c r="T190" s="17">
        <v>3</v>
      </c>
      <c r="U190" s="11" t="s">
        <v>41</v>
      </c>
      <c r="V190" s="16">
        <v>1</v>
      </c>
      <c r="W190" s="11" t="s">
        <v>527</v>
      </c>
      <c r="X190" s="11" t="s">
        <v>528</v>
      </c>
      <c r="Y190" s="15" t="s">
        <v>40</v>
      </c>
      <c r="Z190" s="11"/>
    </row>
    <row r="191" spans="1:26" x14ac:dyDescent="0.25">
      <c r="A191" s="22">
        <v>22526129</v>
      </c>
      <c r="B191" s="18">
        <v>45938</v>
      </c>
      <c r="C191" s="18">
        <v>45999</v>
      </c>
      <c r="D191" s="18">
        <v>45978</v>
      </c>
      <c r="E191" s="19" t="s">
        <v>37</v>
      </c>
      <c r="F191" s="20">
        <v>550000</v>
      </c>
      <c r="G191" s="13">
        <v>550000</v>
      </c>
      <c r="H191" s="20">
        <v>532000</v>
      </c>
      <c r="I191" s="29">
        <f t="shared" si="2"/>
        <v>213.48314606741573</v>
      </c>
      <c r="J191" s="18">
        <v>36017</v>
      </c>
      <c r="K191" s="18" t="s">
        <v>38</v>
      </c>
      <c r="L191" s="18" t="s">
        <v>498</v>
      </c>
      <c r="M191" s="21" t="s">
        <v>45</v>
      </c>
      <c r="N191" s="21">
        <v>85739</v>
      </c>
      <c r="O191" s="21">
        <v>32.548861000000002</v>
      </c>
      <c r="P191" s="21">
        <v>-110.865319</v>
      </c>
      <c r="Q191" s="22">
        <v>2492</v>
      </c>
      <c r="R191" s="19">
        <v>1998</v>
      </c>
      <c r="S191" s="22">
        <v>2</v>
      </c>
      <c r="T191" s="23">
        <v>2</v>
      </c>
      <c r="U191" s="18" t="s">
        <v>41</v>
      </c>
      <c r="V191" s="22">
        <v>1</v>
      </c>
      <c r="W191" s="18" t="s">
        <v>529</v>
      </c>
      <c r="X191" s="18" t="s">
        <v>530</v>
      </c>
      <c r="Y191" s="21" t="s">
        <v>40</v>
      </c>
      <c r="Z191" s="18"/>
    </row>
    <row r="192" spans="1:26" x14ac:dyDescent="0.25">
      <c r="A192" s="22">
        <v>22522402</v>
      </c>
      <c r="B192" s="18">
        <v>45897</v>
      </c>
      <c r="C192" s="18">
        <v>46087</v>
      </c>
      <c r="D192" s="18">
        <v>46086</v>
      </c>
      <c r="E192" s="19" t="s">
        <v>37</v>
      </c>
      <c r="F192" s="20">
        <v>600000</v>
      </c>
      <c r="G192" s="24">
        <v>499000</v>
      </c>
      <c r="H192" s="20">
        <v>495000</v>
      </c>
      <c r="I192" s="29">
        <f t="shared" si="2"/>
        <v>226.64835164835165</v>
      </c>
      <c r="J192" s="18">
        <v>65293</v>
      </c>
      <c r="K192" s="18" t="s">
        <v>48</v>
      </c>
      <c r="L192" s="18" t="s">
        <v>531</v>
      </c>
      <c r="M192" s="21" t="s">
        <v>40</v>
      </c>
      <c r="N192" s="21">
        <v>85739</v>
      </c>
      <c r="O192" s="21">
        <v>32.548867000000001</v>
      </c>
      <c r="P192" s="21">
        <v>-110.86829899999999</v>
      </c>
      <c r="Q192" s="22">
        <v>2184</v>
      </c>
      <c r="R192" s="19">
        <v>1999</v>
      </c>
      <c r="S192" s="22">
        <v>2</v>
      </c>
      <c r="T192" s="23">
        <v>3</v>
      </c>
      <c r="U192" s="18" t="s">
        <v>41</v>
      </c>
      <c r="V192" s="22">
        <v>1</v>
      </c>
      <c r="W192" s="18" t="s">
        <v>532</v>
      </c>
      <c r="X192" s="18" t="s">
        <v>533</v>
      </c>
      <c r="Y192" s="21" t="s">
        <v>40</v>
      </c>
      <c r="Z192" s="18"/>
    </row>
    <row r="193" spans="1:26" x14ac:dyDescent="0.25">
      <c r="A193" s="16">
        <v>22600683</v>
      </c>
      <c r="B193" s="11">
        <v>46029</v>
      </c>
      <c r="C193" s="11">
        <v>46083</v>
      </c>
      <c r="D193" s="11">
        <v>46058</v>
      </c>
      <c r="E193" s="12" t="s">
        <v>37</v>
      </c>
      <c r="F193" s="13">
        <v>1297500</v>
      </c>
      <c r="G193" s="13">
        <v>1160000</v>
      </c>
      <c r="H193" s="13">
        <v>1120000</v>
      </c>
      <c r="I193" s="29">
        <f t="shared" si="2"/>
        <v>362.5768857235351</v>
      </c>
      <c r="J193" s="11">
        <v>66203</v>
      </c>
      <c r="K193" s="11" t="s">
        <v>48</v>
      </c>
      <c r="L193" s="11" t="s">
        <v>534</v>
      </c>
      <c r="M193" s="15" t="s">
        <v>40</v>
      </c>
      <c r="N193" s="15">
        <v>85739</v>
      </c>
      <c r="O193" s="15">
        <v>32.548918</v>
      </c>
      <c r="P193" s="15">
        <v>-110.858378</v>
      </c>
      <c r="Q193" s="16">
        <v>3089</v>
      </c>
      <c r="R193" s="16">
        <v>2017</v>
      </c>
      <c r="S193" s="16">
        <v>3</v>
      </c>
      <c r="T193" s="17">
        <v>3.5</v>
      </c>
      <c r="U193" s="11" t="s">
        <v>41</v>
      </c>
      <c r="V193" s="16">
        <v>1</v>
      </c>
      <c r="W193" s="11" t="s">
        <v>535</v>
      </c>
      <c r="X193" s="11" t="s">
        <v>536</v>
      </c>
      <c r="Y193" s="15" t="s">
        <v>40</v>
      </c>
      <c r="Z193" s="11"/>
    </row>
    <row r="194" spans="1:26" x14ac:dyDescent="0.25">
      <c r="A194" s="16">
        <v>22528025</v>
      </c>
      <c r="B194" s="11">
        <v>45958</v>
      </c>
      <c r="C194" s="11">
        <v>46121</v>
      </c>
      <c r="D194" s="11">
        <v>46114</v>
      </c>
      <c r="E194" s="12" t="s">
        <v>37</v>
      </c>
      <c r="F194" s="13">
        <v>420000</v>
      </c>
      <c r="G194" s="13">
        <v>420000</v>
      </c>
      <c r="H194" s="13">
        <v>410000</v>
      </c>
      <c r="I194" s="29">
        <f t="shared" ref="I194:I257" si="3">H194/Q194</f>
        <v>269.02887139107611</v>
      </c>
      <c r="J194" s="11">
        <v>35891</v>
      </c>
      <c r="K194" s="11" t="s">
        <v>38</v>
      </c>
      <c r="L194" s="11" t="s">
        <v>498</v>
      </c>
      <c r="M194" s="15" t="s">
        <v>45</v>
      </c>
      <c r="N194" s="15">
        <v>85739</v>
      </c>
      <c r="O194" s="15">
        <v>32.550089</v>
      </c>
      <c r="P194" s="15">
        <v>-110.864423</v>
      </c>
      <c r="Q194" s="16">
        <v>1524</v>
      </c>
      <c r="R194" s="16">
        <v>1998</v>
      </c>
      <c r="S194" s="16">
        <v>2</v>
      </c>
      <c r="T194" s="17">
        <v>2</v>
      </c>
      <c r="U194" s="11" t="s">
        <v>41</v>
      </c>
      <c r="V194" s="16">
        <v>1</v>
      </c>
      <c r="W194" s="11" t="s">
        <v>537</v>
      </c>
      <c r="X194" s="11" t="s">
        <v>538</v>
      </c>
      <c r="Y194" s="15" t="s">
        <v>40</v>
      </c>
      <c r="Z194" s="11"/>
    </row>
    <row r="195" spans="1:26" x14ac:dyDescent="0.25">
      <c r="A195" s="16">
        <v>22600363</v>
      </c>
      <c r="B195" s="11">
        <v>46027</v>
      </c>
      <c r="C195" s="11">
        <v>46134</v>
      </c>
      <c r="D195" s="11">
        <v>46133</v>
      </c>
      <c r="E195" s="12" t="s">
        <v>37</v>
      </c>
      <c r="F195" s="13">
        <v>597000</v>
      </c>
      <c r="G195" s="13">
        <v>597000</v>
      </c>
      <c r="H195" s="13">
        <v>575000</v>
      </c>
      <c r="I195" s="29">
        <f t="shared" si="3"/>
        <v>175.51892551892553</v>
      </c>
      <c r="J195" s="11">
        <v>65200</v>
      </c>
      <c r="K195" s="11" t="s">
        <v>48</v>
      </c>
      <c r="L195" s="11" t="s">
        <v>539</v>
      </c>
      <c r="M195" s="15" t="s">
        <v>45</v>
      </c>
      <c r="N195" s="15">
        <v>85739</v>
      </c>
      <c r="O195" s="15">
        <v>32.550336000000001</v>
      </c>
      <c r="P195" s="15">
        <v>-110.869283</v>
      </c>
      <c r="Q195" s="16">
        <v>3276</v>
      </c>
      <c r="R195" s="16">
        <v>2006</v>
      </c>
      <c r="S195" s="16">
        <v>4</v>
      </c>
      <c r="T195" s="17">
        <v>3.5</v>
      </c>
      <c r="U195" s="11" t="s">
        <v>41</v>
      </c>
      <c r="V195" s="16">
        <v>2</v>
      </c>
      <c r="W195" s="11" t="s">
        <v>540</v>
      </c>
      <c r="X195" s="11" t="s">
        <v>541</v>
      </c>
      <c r="Y195" s="15" t="s">
        <v>40</v>
      </c>
      <c r="Z195" s="11"/>
    </row>
    <row r="196" spans="1:26" x14ac:dyDescent="0.25">
      <c r="A196" s="16">
        <v>22602341</v>
      </c>
      <c r="B196" s="11">
        <v>46046</v>
      </c>
      <c r="C196" s="11">
        <v>46086</v>
      </c>
      <c r="D196" s="11">
        <v>46079</v>
      </c>
      <c r="E196" s="12" t="s">
        <v>37</v>
      </c>
      <c r="F196" s="13">
        <v>429000</v>
      </c>
      <c r="G196" s="13">
        <v>429000</v>
      </c>
      <c r="H196" s="13">
        <v>419000</v>
      </c>
      <c r="I196" s="29">
        <f t="shared" si="3"/>
        <v>288.36889194769441</v>
      </c>
      <c r="J196" s="11">
        <v>35854</v>
      </c>
      <c r="K196" s="11" t="s">
        <v>38</v>
      </c>
      <c r="L196" s="11" t="s">
        <v>498</v>
      </c>
      <c r="M196" s="15" t="s">
        <v>45</v>
      </c>
      <c r="N196" s="15">
        <v>85739</v>
      </c>
      <c r="O196" s="15">
        <v>32.550502999999999</v>
      </c>
      <c r="P196" s="15">
        <v>-110.86500100000001</v>
      </c>
      <c r="Q196" s="16">
        <v>1453</v>
      </c>
      <c r="R196" s="16">
        <v>1998</v>
      </c>
      <c r="S196" s="16">
        <v>2</v>
      </c>
      <c r="T196" s="17">
        <v>3</v>
      </c>
      <c r="U196" s="11" t="s">
        <v>41</v>
      </c>
      <c r="V196" s="16">
        <v>1</v>
      </c>
      <c r="W196" s="11" t="s">
        <v>542</v>
      </c>
      <c r="X196" s="11" t="s">
        <v>543</v>
      </c>
      <c r="Y196" s="15" t="s">
        <v>40</v>
      </c>
      <c r="Z196" s="11"/>
    </row>
    <row r="197" spans="1:26" x14ac:dyDescent="0.25">
      <c r="A197" s="16">
        <v>22600409</v>
      </c>
      <c r="B197" s="11">
        <v>46028</v>
      </c>
      <c r="C197" s="11">
        <v>46111</v>
      </c>
      <c r="D197" s="11">
        <v>46104</v>
      </c>
      <c r="E197" s="12" t="s">
        <v>37</v>
      </c>
      <c r="F197" s="13">
        <v>845000</v>
      </c>
      <c r="G197" s="13">
        <v>845000</v>
      </c>
      <c r="H197" s="13">
        <v>825000</v>
      </c>
      <c r="I197" s="29">
        <f t="shared" si="3"/>
        <v>317.91907514450867</v>
      </c>
      <c r="J197" s="11">
        <v>66213</v>
      </c>
      <c r="K197" s="11" t="s">
        <v>48</v>
      </c>
      <c r="L197" s="11" t="s">
        <v>544</v>
      </c>
      <c r="M197" s="15" t="s">
        <v>45</v>
      </c>
      <c r="N197" s="15">
        <v>85739</v>
      </c>
      <c r="O197" s="15">
        <v>32.551225000000002</v>
      </c>
      <c r="P197" s="15">
        <v>-110.858046</v>
      </c>
      <c r="Q197" s="16">
        <v>2595</v>
      </c>
      <c r="R197" s="16">
        <v>2006</v>
      </c>
      <c r="S197" s="16">
        <v>2</v>
      </c>
      <c r="T197" s="17">
        <v>2.5</v>
      </c>
      <c r="U197" s="11" t="s">
        <v>41</v>
      </c>
      <c r="V197" s="16">
        <v>1</v>
      </c>
      <c r="W197" s="11" t="s">
        <v>545</v>
      </c>
      <c r="X197" s="11" t="s">
        <v>546</v>
      </c>
      <c r="Y197" s="15" t="s">
        <v>40</v>
      </c>
      <c r="Z197" s="11"/>
    </row>
    <row r="198" spans="1:26" x14ac:dyDescent="0.25">
      <c r="A198" s="16">
        <v>22529737</v>
      </c>
      <c r="B198" s="11">
        <v>45976</v>
      </c>
      <c r="C198" s="11">
        <v>46014</v>
      </c>
      <c r="D198" s="11">
        <v>45998</v>
      </c>
      <c r="E198" s="12" t="s">
        <v>37</v>
      </c>
      <c r="F198" s="13">
        <v>999000</v>
      </c>
      <c r="G198" s="13">
        <v>999000</v>
      </c>
      <c r="H198" s="13">
        <v>986000</v>
      </c>
      <c r="I198" s="29">
        <f t="shared" si="3"/>
        <v>300.51813471502589</v>
      </c>
      <c r="J198" s="11">
        <v>35766</v>
      </c>
      <c r="K198" s="11" t="s">
        <v>38</v>
      </c>
      <c r="L198" s="11" t="s">
        <v>547</v>
      </c>
      <c r="M198" s="15" t="s">
        <v>40</v>
      </c>
      <c r="N198" s="15">
        <v>85739</v>
      </c>
      <c r="O198" s="15">
        <v>32.551352000000001</v>
      </c>
      <c r="P198" s="15">
        <v>-110.853843</v>
      </c>
      <c r="Q198" s="16">
        <v>3281</v>
      </c>
      <c r="R198" s="16">
        <v>2015</v>
      </c>
      <c r="S198" s="16">
        <v>3</v>
      </c>
      <c r="T198" s="17">
        <v>3.5</v>
      </c>
      <c r="U198" s="11" t="s">
        <v>41</v>
      </c>
      <c r="V198" s="16">
        <v>1</v>
      </c>
      <c r="W198" s="11" t="s">
        <v>548</v>
      </c>
      <c r="X198" s="11" t="s">
        <v>549</v>
      </c>
      <c r="Y198" s="15" t="s">
        <v>40</v>
      </c>
      <c r="Z198" s="11"/>
    </row>
    <row r="199" spans="1:26" x14ac:dyDescent="0.25">
      <c r="A199" s="16">
        <v>22606005</v>
      </c>
      <c r="B199" s="11">
        <v>46086</v>
      </c>
      <c r="C199" s="11">
        <v>46143</v>
      </c>
      <c r="D199" s="11">
        <v>46126</v>
      </c>
      <c r="E199" s="12" t="s">
        <v>37</v>
      </c>
      <c r="F199" s="13">
        <v>529900</v>
      </c>
      <c r="G199" s="13">
        <v>529900</v>
      </c>
      <c r="H199" s="13">
        <v>509900</v>
      </c>
      <c r="I199" s="29">
        <f t="shared" si="3"/>
        <v>245.26214526214525</v>
      </c>
      <c r="J199" s="11">
        <v>61701</v>
      </c>
      <c r="K199" s="11" t="s">
        <v>48</v>
      </c>
      <c r="L199" s="11" t="s">
        <v>550</v>
      </c>
      <c r="M199" s="15" t="s">
        <v>551</v>
      </c>
      <c r="N199" s="15">
        <v>85623</v>
      </c>
      <c r="O199" s="15">
        <v>32.598421999999999</v>
      </c>
      <c r="P199" s="15">
        <v>-110.907421</v>
      </c>
      <c r="Q199" s="16">
        <v>2079</v>
      </c>
      <c r="R199" s="16">
        <v>2026</v>
      </c>
      <c r="S199" s="16">
        <v>2</v>
      </c>
      <c r="T199" s="17">
        <v>2.5</v>
      </c>
      <c r="U199" s="11" t="s">
        <v>510</v>
      </c>
      <c r="V199" s="16">
        <v>1</v>
      </c>
      <c r="W199" s="11" t="s">
        <v>552</v>
      </c>
      <c r="X199" s="11" t="s">
        <v>553</v>
      </c>
      <c r="Y199" s="15" t="s">
        <v>554</v>
      </c>
      <c r="Z199" s="11"/>
    </row>
    <row r="200" spans="1:26" x14ac:dyDescent="0.25">
      <c r="A200" s="16">
        <v>22522816</v>
      </c>
      <c r="B200" s="11">
        <v>45898</v>
      </c>
      <c r="C200" s="11">
        <v>45996</v>
      </c>
      <c r="D200" s="11">
        <v>45995</v>
      </c>
      <c r="E200" s="12" t="s">
        <v>37</v>
      </c>
      <c r="F200" s="13">
        <v>1375000</v>
      </c>
      <c r="G200" s="13">
        <v>1295000</v>
      </c>
      <c r="H200" s="13">
        <v>1225000</v>
      </c>
      <c r="I200" s="29">
        <f t="shared" si="3"/>
        <v>369.97885835095138</v>
      </c>
      <c r="J200" s="11">
        <v>32227</v>
      </c>
      <c r="K200" s="11" t="s">
        <v>38</v>
      </c>
      <c r="L200" s="11" t="s">
        <v>555</v>
      </c>
      <c r="M200" s="15" t="s">
        <v>551</v>
      </c>
      <c r="N200" s="15">
        <v>85623</v>
      </c>
      <c r="O200" s="15">
        <v>32.584077000000001</v>
      </c>
      <c r="P200" s="15">
        <v>-110.930088</v>
      </c>
      <c r="Q200" s="16">
        <v>3311</v>
      </c>
      <c r="R200" s="16">
        <v>2021</v>
      </c>
      <c r="S200" s="16">
        <v>4</v>
      </c>
      <c r="T200" s="17">
        <v>4.5</v>
      </c>
      <c r="U200" s="11" t="s">
        <v>41</v>
      </c>
      <c r="V200" s="16">
        <v>1</v>
      </c>
      <c r="W200" s="11" t="s">
        <v>556</v>
      </c>
      <c r="X200" s="11" t="s">
        <v>557</v>
      </c>
      <c r="Y200" s="15" t="s">
        <v>554</v>
      </c>
      <c r="Z200" s="11"/>
    </row>
    <row r="201" spans="1:26" x14ac:dyDescent="0.25">
      <c r="A201" s="16">
        <v>22525932</v>
      </c>
      <c r="B201" s="11">
        <v>45935</v>
      </c>
      <c r="C201" s="11">
        <v>45995</v>
      </c>
      <c r="D201" s="11">
        <v>45994</v>
      </c>
      <c r="E201" s="12" t="s">
        <v>37</v>
      </c>
      <c r="F201" s="13">
        <v>745000</v>
      </c>
      <c r="G201" s="13">
        <v>745000</v>
      </c>
      <c r="H201" s="13">
        <v>735000</v>
      </c>
      <c r="I201" s="29">
        <f t="shared" si="3"/>
        <v>333.93911858246253</v>
      </c>
      <c r="J201" s="11">
        <v>32650</v>
      </c>
      <c r="K201" s="11" t="s">
        <v>38</v>
      </c>
      <c r="L201" s="11" t="s">
        <v>555</v>
      </c>
      <c r="M201" s="15" t="s">
        <v>551</v>
      </c>
      <c r="N201" s="15">
        <v>85623</v>
      </c>
      <c r="O201" s="15">
        <v>32.581341999999999</v>
      </c>
      <c r="P201" s="15">
        <v>-110.930575</v>
      </c>
      <c r="Q201" s="16">
        <v>2201</v>
      </c>
      <c r="R201" s="16">
        <v>2020</v>
      </c>
      <c r="S201" s="16">
        <v>2</v>
      </c>
      <c r="T201" s="17">
        <v>2.5</v>
      </c>
      <c r="U201" s="11" t="s">
        <v>41</v>
      </c>
      <c r="V201" s="16">
        <v>1</v>
      </c>
      <c r="W201" s="11" t="s">
        <v>558</v>
      </c>
      <c r="X201" s="11" t="s">
        <v>559</v>
      </c>
      <c r="Y201" s="15" t="s">
        <v>554</v>
      </c>
      <c r="Z201" s="11"/>
    </row>
    <row r="202" spans="1:26" x14ac:dyDescent="0.25">
      <c r="A202" s="22">
        <v>22527701</v>
      </c>
      <c r="B202" s="18">
        <v>45954</v>
      </c>
      <c r="C202" s="18">
        <v>45995</v>
      </c>
      <c r="D202" s="18">
        <v>45965</v>
      </c>
      <c r="E202" s="19" t="s">
        <v>37</v>
      </c>
      <c r="F202" s="20">
        <v>649000</v>
      </c>
      <c r="G202" s="13">
        <v>649000</v>
      </c>
      <c r="H202" s="20">
        <v>634000</v>
      </c>
      <c r="I202" s="29">
        <f t="shared" si="3"/>
        <v>269.44326391840207</v>
      </c>
      <c r="J202" s="18">
        <v>61989</v>
      </c>
      <c r="K202" s="18" t="s">
        <v>48</v>
      </c>
      <c r="L202" s="18" t="s">
        <v>560</v>
      </c>
      <c r="M202" s="21" t="s">
        <v>551</v>
      </c>
      <c r="N202" s="21">
        <v>85623</v>
      </c>
      <c r="O202" s="21">
        <v>32.595953000000002</v>
      </c>
      <c r="P202" s="21">
        <v>-110.904262</v>
      </c>
      <c r="Q202" s="22">
        <v>2353</v>
      </c>
      <c r="R202" s="19">
        <v>2025</v>
      </c>
      <c r="S202" s="22">
        <v>2</v>
      </c>
      <c r="T202" s="23">
        <v>2.5</v>
      </c>
      <c r="U202" s="18" t="s">
        <v>510</v>
      </c>
      <c r="V202" s="22">
        <v>1</v>
      </c>
      <c r="W202" s="18" t="s">
        <v>561</v>
      </c>
      <c r="X202" s="18" t="s">
        <v>562</v>
      </c>
      <c r="Y202" s="21" t="s">
        <v>554</v>
      </c>
      <c r="Z202" s="18"/>
    </row>
    <row r="203" spans="1:26" x14ac:dyDescent="0.25">
      <c r="A203" s="16">
        <v>22525414</v>
      </c>
      <c r="B203" s="11">
        <v>45931</v>
      </c>
      <c r="C203" s="11">
        <v>46001</v>
      </c>
      <c r="D203" s="11">
        <v>46000</v>
      </c>
      <c r="E203" s="12" t="s">
        <v>37</v>
      </c>
      <c r="F203" s="13">
        <v>469900</v>
      </c>
      <c r="G203" s="13">
        <v>469900</v>
      </c>
      <c r="H203" s="13">
        <v>465000</v>
      </c>
      <c r="I203" s="29">
        <f t="shared" si="3"/>
        <v>280.45838359469241</v>
      </c>
      <c r="J203" s="11">
        <v>30786</v>
      </c>
      <c r="K203" s="11" t="s">
        <v>38</v>
      </c>
      <c r="L203" s="11" t="s">
        <v>563</v>
      </c>
      <c r="M203" s="15" t="s">
        <v>551</v>
      </c>
      <c r="N203" s="15">
        <v>85623</v>
      </c>
      <c r="O203" s="15">
        <v>32.596803000000001</v>
      </c>
      <c r="P203" s="15">
        <v>-110.90148000000001</v>
      </c>
      <c r="Q203" s="16">
        <v>1658</v>
      </c>
      <c r="R203" s="16">
        <v>2021</v>
      </c>
      <c r="S203" s="16">
        <v>2</v>
      </c>
      <c r="T203" s="17">
        <v>2</v>
      </c>
      <c r="U203" s="11" t="s">
        <v>41</v>
      </c>
      <c r="V203" s="16">
        <v>1</v>
      </c>
      <c r="W203" s="11" t="s">
        <v>564</v>
      </c>
      <c r="X203" s="11" t="s">
        <v>565</v>
      </c>
      <c r="Y203" s="15" t="s">
        <v>554</v>
      </c>
      <c r="Z203" s="11"/>
    </row>
    <row r="204" spans="1:26" x14ac:dyDescent="0.25">
      <c r="A204" s="16">
        <v>22526238</v>
      </c>
      <c r="B204" s="11">
        <v>45933</v>
      </c>
      <c r="C204" s="11">
        <v>46006</v>
      </c>
      <c r="D204" s="11">
        <v>45969</v>
      </c>
      <c r="E204" s="12" t="s">
        <v>37</v>
      </c>
      <c r="F204" s="13">
        <v>1099900</v>
      </c>
      <c r="G204" s="13">
        <v>1099900</v>
      </c>
      <c r="H204" s="13">
        <v>1035000</v>
      </c>
      <c r="I204" s="29">
        <f t="shared" si="3"/>
        <v>357.76011061182163</v>
      </c>
      <c r="J204" s="11">
        <v>60173</v>
      </c>
      <c r="K204" s="11" t="s">
        <v>48</v>
      </c>
      <c r="L204" s="11" t="s">
        <v>566</v>
      </c>
      <c r="M204" s="15" t="s">
        <v>551</v>
      </c>
      <c r="N204" s="15">
        <v>85623</v>
      </c>
      <c r="O204" s="15">
        <v>32.584575999999998</v>
      </c>
      <c r="P204" s="15">
        <v>-110.923714</v>
      </c>
      <c r="Q204" s="16">
        <v>2893</v>
      </c>
      <c r="R204" s="16">
        <v>2011</v>
      </c>
      <c r="S204" s="16">
        <v>3</v>
      </c>
      <c r="T204" s="17">
        <v>2.5</v>
      </c>
      <c r="U204" s="11" t="s">
        <v>41</v>
      </c>
      <c r="V204" s="16">
        <v>1</v>
      </c>
      <c r="W204" s="11" t="s">
        <v>567</v>
      </c>
      <c r="X204" s="11" t="s">
        <v>568</v>
      </c>
      <c r="Y204" s="15" t="s">
        <v>554</v>
      </c>
      <c r="Z204" s="11"/>
    </row>
    <row r="205" spans="1:26" x14ac:dyDescent="0.25">
      <c r="A205" s="16">
        <v>22528737</v>
      </c>
      <c r="B205" s="11">
        <v>45966</v>
      </c>
      <c r="C205" s="11">
        <v>46006</v>
      </c>
      <c r="D205" s="11">
        <v>45985</v>
      </c>
      <c r="E205" s="12" t="s">
        <v>37</v>
      </c>
      <c r="F205" s="13">
        <v>459000</v>
      </c>
      <c r="G205" s="13">
        <v>459000</v>
      </c>
      <c r="H205" s="13">
        <v>459000</v>
      </c>
      <c r="I205" s="29">
        <f t="shared" si="3"/>
        <v>280.2197802197802</v>
      </c>
      <c r="J205" s="11">
        <v>61082</v>
      </c>
      <c r="K205" s="11" t="s">
        <v>48</v>
      </c>
      <c r="L205" s="11" t="s">
        <v>569</v>
      </c>
      <c r="M205" s="15" t="s">
        <v>551</v>
      </c>
      <c r="N205" s="15">
        <v>85623</v>
      </c>
      <c r="O205" s="15">
        <v>32.59554</v>
      </c>
      <c r="P205" s="15">
        <v>-110.91418299999999</v>
      </c>
      <c r="Q205" s="16">
        <v>1638</v>
      </c>
      <c r="R205" s="16">
        <v>2018</v>
      </c>
      <c r="S205" s="16">
        <v>2</v>
      </c>
      <c r="T205" s="17">
        <v>2</v>
      </c>
      <c r="U205" s="11" t="s">
        <v>41</v>
      </c>
      <c r="V205" s="16">
        <v>1</v>
      </c>
      <c r="W205" s="11" t="s">
        <v>570</v>
      </c>
      <c r="X205" s="11" t="s">
        <v>571</v>
      </c>
      <c r="Y205" s="15" t="s">
        <v>554</v>
      </c>
      <c r="Z205" s="11"/>
    </row>
    <row r="206" spans="1:26" x14ac:dyDescent="0.25">
      <c r="A206" s="16">
        <v>22525851</v>
      </c>
      <c r="B206" s="11">
        <v>45932</v>
      </c>
      <c r="C206" s="11">
        <v>46009</v>
      </c>
      <c r="D206" s="11">
        <v>45977</v>
      </c>
      <c r="E206" s="12" t="s">
        <v>37</v>
      </c>
      <c r="F206" s="13">
        <v>454000</v>
      </c>
      <c r="G206" s="13">
        <v>454000</v>
      </c>
      <c r="H206" s="13">
        <v>450000</v>
      </c>
      <c r="I206" s="29">
        <f t="shared" si="3"/>
        <v>253.37837837837839</v>
      </c>
      <c r="J206" s="11">
        <v>61090</v>
      </c>
      <c r="K206" s="11" t="s">
        <v>48</v>
      </c>
      <c r="L206" s="11" t="s">
        <v>572</v>
      </c>
      <c r="M206" s="15" t="s">
        <v>551</v>
      </c>
      <c r="N206" s="15">
        <v>85623</v>
      </c>
      <c r="O206" s="15">
        <v>32.594822000000001</v>
      </c>
      <c r="P206" s="15">
        <v>-110.914096</v>
      </c>
      <c r="Q206" s="16">
        <v>1776</v>
      </c>
      <c r="R206" s="16">
        <v>2017</v>
      </c>
      <c r="S206" s="16">
        <v>2</v>
      </c>
      <c r="T206" s="17">
        <v>2</v>
      </c>
      <c r="U206" s="11" t="s">
        <v>41</v>
      </c>
      <c r="V206" s="16">
        <v>1</v>
      </c>
      <c r="W206" s="11" t="s">
        <v>573</v>
      </c>
      <c r="X206" s="11" t="s">
        <v>574</v>
      </c>
      <c r="Y206" s="15" t="s">
        <v>554</v>
      </c>
      <c r="Z206" s="11"/>
    </row>
    <row r="207" spans="1:26" x14ac:dyDescent="0.25">
      <c r="A207" s="16">
        <v>22522477</v>
      </c>
      <c r="B207" s="11">
        <v>45897</v>
      </c>
      <c r="C207" s="11">
        <v>46010</v>
      </c>
      <c r="D207" s="11">
        <v>45978</v>
      </c>
      <c r="E207" s="12" t="s">
        <v>37</v>
      </c>
      <c r="F207" s="13">
        <v>979000</v>
      </c>
      <c r="G207" s="13">
        <v>979000</v>
      </c>
      <c r="H207" s="13">
        <v>950000</v>
      </c>
      <c r="I207" s="29">
        <f t="shared" si="3"/>
        <v>345.20348837209303</v>
      </c>
      <c r="J207" s="11">
        <v>61729</v>
      </c>
      <c r="K207" s="11" t="s">
        <v>48</v>
      </c>
      <c r="L207" s="11" t="s">
        <v>575</v>
      </c>
      <c r="M207" s="15" t="s">
        <v>551</v>
      </c>
      <c r="N207" s="15">
        <v>85623</v>
      </c>
      <c r="O207" s="15">
        <v>32.596837000000001</v>
      </c>
      <c r="P207" s="15">
        <v>-110.90716500000001</v>
      </c>
      <c r="Q207" s="16">
        <v>2752</v>
      </c>
      <c r="R207" s="16">
        <v>2022</v>
      </c>
      <c r="S207" s="16">
        <v>2</v>
      </c>
      <c r="T207" s="17">
        <v>2.5</v>
      </c>
      <c r="U207" s="11" t="s">
        <v>41</v>
      </c>
      <c r="V207" s="16">
        <v>1</v>
      </c>
      <c r="W207" s="11" t="s">
        <v>576</v>
      </c>
      <c r="X207" s="11" t="s">
        <v>577</v>
      </c>
      <c r="Y207" s="15" t="s">
        <v>554</v>
      </c>
      <c r="Z207" s="11"/>
    </row>
    <row r="208" spans="1:26" x14ac:dyDescent="0.25">
      <c r="A208" s="16">
        <v>22532267</v>
      </c>
      <c r="B208" s="11">
        <v>46013</v>
      </c>
      <c r="C208" s="11">
        <v>46013</v>
      </c>
      <c r="D208" s="11">
        <v>46013</v>
      </c>
      <c r="E208" s="12" t="s">
        <v>37</v>
      </c>
      <c r="F208" s="13">
        <v>1089000</v>
      </c>
      <c r="G208" s="13">
        <v>1089000</v>
      </c>
      <c r="H208" s="13">
        <v>1050000</v>
      </c>
      <c r="I208" s="29">
        <f t="shared" si="3"/>
        <v>407.60869565217394</v>
      </c>
      <c r="J208" s="11">
        <v>60255</v>
      </c>
      <c r="K208" s="11" t="s">
        <v>48</v>
      </c>
      <c r="L208" s="11" t="s">
        <v>578</v>
      </c>
      <c r="M208" s="15" t="s">
        <v>551</v>
      </c>
      <c r="N208" s="15">
        <v>85623</v>
      </c>
      <c r="O208" s="15">
        <v>32.581277</v>
      </c>
      <c r="P208" s="15">
        <v>-110.923181</v>
      </c>
      <c r="Q208" s="16">
        <v>2576</v>
      </c>
      <c r="R208" s="16">
        <v>2013</v>
      </c>
      <c r="S208" s="16">
        <v>3</v>
      </c>
      <c r="T208" s="17">
        <v>3.5</v>
      </c>
      <c r="U208" s="11" t="s">
        <v>41</v>
      </c>
      <c r="V208" s="16">
        <v>1</v>
      </c>
      <c r="W208" s="11" t="s">
        <v>579</v>
      </c>
      <c r="X208" s="11" t="s">
        <v>580</v>
      </c>
      <c r="Y208" s="15" t="s">
        <v>554</v>
      </c>
      <c r="Z208" s="11"/>
    </row>
    <row r="209" spans="1:26" x14ac:dyDescent="0.25">
      <c r="A209" s="22">
        <v>22529649</v>
      </c>
      <c r="B209" s="18">
        <v>45975</v>
      </c>
      <c r="C209" s="18">
        <v>46021</v>
      </c>
      <c r="D209" s="18">
        <v>46019</v>
      </c>
      <c r="E209" s="19" t="s">
        <v>37</v>
      </c>
      <c r="F209" s="20">
        <v>625000</v>
      </c>
      <c r="G209" s="13">
        <v>625000</v>
      </c>
      <c r="H209" s="20">
        <v>610000</v>
      </c>
      <c r="I209" s="29">
        <f t="shared" si="3"/>
        <v>353.21366531557612</v>
      </c>
      <c r="J209" s="18">
        <v>31941</v>
      </c>
      <c r="K209" s="18" t="s">
        <v>38</v>
      </c>
      <c r="L209" s="18" t="s">
        <v>581</v>
      </c>
      <c r="M209" s="21" t="s">
        <v>551</v>
      </c>
      <c r="N209" s="21">
        <v>85623</v>
      </c>
      <c r="O209" s="21">
        <v>32.586717</v>
      </c>
      <c r="P209" s="21">
        <v>-110.927115</v>
      </c>
      <c r="Q209" s="22">
        <v>1727</v>
      </c>
      <c r="R209" s="19">
        <v>2020</v>
      </c>
      <c r="S209" s="22">
        <v>2</v>
      </c>
      <c r="T209" s="23">
        <v>2</v>
      </c>
      <c r="U209" s="18" t="s">
        <v>41</v>
      </c>
      <c r="V209" s="22">
        <v>1</v>
      </c>
      <c r="W209" s="18" t="s">
        <v>582</v>
      </c>
      <c r="X209" s="18" t="s">
        <v>583</v>
      </c>
      <c r="Y209" s="21" t="s">
        <v>554</v>
      </c>
      <c r="Z209" s="18"/>
    </row>
    <row r="210" spans="1:26" x14ac:dyDescent="0.25">
      <c r="A210" s="16">
        <v>22523362</v>
      </c>
      <c r="B210" s="11">
        <v>45906</v>
      </c>
      <c r="C210" s="11">
        <v>46021</v>
      </c>
      <c r="D210" s="11">
        <v>46020</v>
      </c>
      <c r="E210" s="12" t="s">
        <v>37</v>
      </c>
      <c r="F210" s="13">
        <v>669950</v>
      </c>
      <c r="G210" s="13">
        <v>645000</v>
      </c>
      <c r="H210" s="13">
        <v>635000</v>
      </c>
      <c r="I210" s="29">
        <f t="shared" si="3"/>
        <v>313.42546890424484</v>
      </c>
      <c r="J210" s="11">
        <v>61597</v>
      </c>
      <c r="K210" s="11" t="s">
        <v>48</v>
      </c>
      <c r="L210" s="11" t="s">
        <v>584</v>
      </c>
      <c r="M210" s="15" t="s">
        <v>551</v>
      </c>
      <c r="N210" s="15">
        <v>85623</v>
      </c>
      <c r="O210" s="15">
        <v>32.594571000000002</v>
      </c>
      <c r="P210" s="15">
        <v>-110.90863400000001</v>
      </c>
      <c r="Q210" s="16">
        <v>2026</v>
      </c>
      <c r="R210" s="16">
        <v>2020</v>
      </c>
      <c r="S210" s="16">
        <v>3</v>
      </c>
      <c r="T210" s="17">
        <v>2.5</v>
      </c>
      <c r="U210" s="11" t="s">
        <v>41</v>
      </c>
      <c r="V210" s="16">
        <v>1</v>
      </c>
      <c r="W210" s="11" t="s">
        <v>585</v>
      </c>
      <c r="X210" s="11" t="s">
        <v>586</v>
      </c>
      <c r="Y210" s="15" t="s">
        <v>554</v>
      </c>
      <c r="Z210" s="11"/>
    </row>
    <row r="211" spans="1:26" x14ac:dyDescent="0.25">
      <c r="A211" s="16">
        <v>22524200</v>
      </c>
      <c r="B211" s="11">
        <v>45917</v>
      </c>
      <c r="C211" s="11">
        <v>46037</v>
      </c>
      <c r="D211" s="11">
        <v>46034</v>
      </c>
      <c r="E211" s="12" t="s">
        <v>37</v>
      </c>
      <c r="F211" s="13">
        <v>899000</v>
      </c>
      <c r="G211" s="13">
        <v>849000</v>
      </c>
      <c r="H211" s="13">
        <v>819497</v>
      </c>
      <c r="I211" s="29">
        <f t="shared" si="3"/>
        <v>276.67015530047263</v>
      </c>
      <c r="J211" s="11">
        <v>61851</v>
      </c>
      <c r="K211" s="11" t="s">
        <v>48</v>
      </c>
      <c r="L211" s="11" t="s">
        <v>587</v>
      </c>
      <c r="M211" s="15" t="s">
        <v>551</v>
      </c>
      <c r="N211" s="15">
        <v>85623</v>
      </c>
      <c r="O211" s="15">
        <v>32.593698000000003</v>
      </c>
      <c r="P211" s="15">
        <v>-110.90540799999999</v>
      </c>
      <c r="Q211" s="16">
        <v>2962</v>
      </c>
      <c r="R211" s="16">
        <v>2019</v>
      </c>
      <c r="S211" s="16">
        <v>3</v>
      </c>
      <c r="T211" s="17">
        <v>3.5</v>
      </c>
      <c r="U211" s="11" t="s">
        <v>41</v>
      </c>
      <c r="V211" s="16">
        <v>1</v>
      </c>
      <c r="W211" s="11" t="s">
        <v>588</v>
      </c>
      <c r="X211" s="11" t="s">
        <v>589</v>
      </c>
      <c r="Y211" s="15" t="s">
        <v>554</v>
      </c>
      <c r="Z211" s="11"/>
    </row>
    <row r="212" spans="1:26" x14ac:dyDescent="0.25">
      <c r="A212" s="16">
        <v>22518265</v>
      </c>
      <c r="B212" s="11">
        <v>45847</v>
      </c>
      <c r="C212" s="11">
        <v>46037</v>
      </c>
      <c r="D212" s="11">
        <v>46031</v>
      </c>
      <c r="E212" s="12" t="s">
        <v>37</v>
      </c>
      <c r="F212" s="13">
        <v>624900</v>
      </c>
      <c r="G212" s="13">
        <v>589000</v>
      </c>
      <c r="H212" s="13">
        <v>569000</v>
      </c>
      <c r="I212" s="29">
        <f t="shared" si="3"/>
        <v>304.44087747458536</v>
      </c>
      <c r="J212" s="11">
        <v>31301</v>
      </c>
      <c r="K212" s="11" t="s">
        <v>38</v>
      </c>
      <c r="L212" s="11" t="s">
        <v>590</v>
      </c>
      <c r="M212" s="15" t="s">
        <v>551</v>
      </c>
      <c r="N212" s="15">
        <v>85623</v>
      </c>
      <c r="O212" s="15">
        <v>32.592466999999999</v>
      </c>
      <c r="P212" s="15">
        <v>-110.91034500000001</v>
      </c>
      <c r="Q212" s="16">
        <v>1869</v>
      </c>
      <c r="R212" s="16">
        <v>2015</v>
      </c>
      <c r="S212" s="16">
        <v>2</v>
      </c>
      <c r="T212" s="17">
        <v>2.5</v>
      </c>
      <c r="U212" s="11" t="s">
        <v>41</v>
      </c>
      <c r="V212" s="16">
        <v>1</v>
      </c>
      <c r="W212" s="11" t="s">
        <v>591</v>
      </c>
      <c r="X212" s="11" t="s">
        <v>592</v>
      </c>
      <c r="Y212" s="15" t="s">
        <v>554</v>
      </c>
      <c r="Z212" s="11"/>
    </row>
    <row r="213" spans="1:26" x14ac:dyDescent="0.25">
      <c r="A213" s="16">
        <v>22600635</v>
      </c>
      <c r="B213" s="11">
        <v>46030</v>
      </c>
      <c r="C213" s="11">
        <v>46038</v>
      </c>
      <c r="D213" s="11">
        <v>46037</v>
      </c>
      <c r="E213" s="12" t="s">
        <v>37</v>
      </c>
      <c r="F213" s="13">
        <v>470000</v>
      </c>
      <c r="G213" s="13">
        <v>470000</v>
      </c>
      <c r="H213" s="13">
        <v>470000</v>
      </c>
      <c r="I213" s="29">
        <f t="shared" si="3"/>
        <v>252.82409897794514</v>
      </c>
      <c r="J213" s="11">
        <v>31226</v>
      </c>
      <c r="K213" s="11" t="s">
        <v>38</v>
      </c>
      <c r="L213" s="11" t="s">
        <v>593</v>
      </c>
      <c r="M213" s="15" t="s">
        <v>551</v>
      </c>
      <c r="N213" s="15">
        <v>85623</v>
      </c>
      <c r="O213" s="15">
        <v>32.593457999999998</v>
      </c>
      <c r="P213" s="15">
        <v>-110.909104</v>
      </c>
      <c r="Q213" s="16">
        <v>1859</v>
      </c>
      <c r="R213" s="16">
        <v>2017</v>
      </c>
      <c r="S213" s="16">
        <v>2</v>
      </c>
      <c r="T213" s="17">
        <v>2.5</v>
      </c>
      <c r="U213" s="11" t="s">
        <v>41</v>
      </c>
      <c r="V213" s="16">
        <v>1</v>
      </c>
      <c r="W213" s="11" t="s">
        <v>594</v>
      </c>
      <c r="X213" s="11" t="s">
        <v>595</v>
      </c>
      <c r="Y213" s="15" t="s">
        <v>554</v>
      </c>
      <c r="Z213" s="11"/>
    </row>
    <row r="214" spans="1:26" x14ac:dyDescent="0.25">
      <c r="A214" s="16">
        <v>22517159</v>
      </c>
      <c r="B214" s="11">
        <v>45832</v>
      </c>
      <c r="C214" s="11">
        <v>46044</v>
      </c>
      <c r="D214" s="11">
        <v>46019</v>
      </c>
      <c r="E214" s="12" t="s">
        <v>37</v>
      </c>
      <c r="F214" s="13">
        <v>639000</v>
      </c>
      <c r="G214" s="13">
        <v>639000</v>
      </c>
      <c r="H214" s="13">
        <v>620000</v>
      </c>
      <c r="I214" s="29">
        <f t="shared" si="3"/>
        <v>284.66483011937555</v>
      </c>
      <c r="J214" s="11">
        <v>61820</v>
      </c>
      <c r="K214" s="11" t="s">
        <v>48</v>
      </c>
      <c r="L214" s="11" t="s">
        <v>587</v>
      </c>
      <c r="M214" s="15" t="s">
        <v>551</v>
      </c>
      <c r="N214" s="15">
        <v>85623</v>
      </c>
      <c r="O214" s="15">
        <v>32.593197000000004</v>
      </c>
      <c r="P214" s="15">
        <v>-110.906285</v>
      </c>
      <c r="Q214" s="16">
        <v>2178</v>
      </c>
      <c r="R214" s="16">
        <v>2018</v>
      </c>
      <c r="S214" s="16">
        <v>2</v>
      </c>
      <c r="T214" s="17">
        <v>2.5</v>
      </c>
      <c r="U214" s="11" t="s">
        <v>41</v>
      </c>
      <c r="V214" s="16">
        <v>1</v>
      </c>
      <c r="W214" s="11" t="s">
        <v>596</v>
      </c>
      <c r="X214" s="11" t="s">
        <v>597</v>
      </c>
      <c r="Y214" s="15" t="s">
        <v>554</v>
      </c>
      <c r="Z214" s="11"/>
    </row>
    <row r="215" spans="1:26" x14ac:dyDescent="0.25">
      <c r="A215" s="22">
        <v>22602805</v>
      </c>
      <c r="B215" s="18">
        <v>46051</v>
      </c>
      <c r="C215" s="18">
        <v>46051</v>
      </c>
      <c r="D215" s="18">
        <v>46051</v>
      </c>
      <c r="E215" s="19" t="s">
        <v>37</v>
      </c>
      <c r="F215" s="20">
        <v>925000</v>
      </c>
      <c r="G215" s="13">
        <v>925000</v>
      </c>
      <c r="H215" s="20">
        <v>900000</v>
      </c>
      <c r="I215" s="29">
        <f t="shared" si="3"/>
        <v>362.90322580645159</v>
      </c>
      <c r="J215" s="18">
        <v>32570</v>
      </c>
      <c r="K215" s="18" t="s">
        <v>38</v>
      </c>
      <c r="L215" s="18" t="s">
        <v>555</v>
      </c>
      <c r="M215" s="21" t="s">
        <v>551</v>
      </c>
      <c r="N215" s="21">
        <v>85623</v>
      </c>
      <c r="O215" s="21">
        <v>32.580899000000002</v>
      </c>
      <c r="P215" s="21">
        <v>-110.930628</v>
      </c>
      <c r="Q215" s="22">
        <v>2480</v>
      </c>
      <c r="R215" s="19">
        <v>2021</v>
      </c>
      <c r="S215" s="22">
        <v>2</v>
      </c>
      <c r="T215" s="23">
        <v>2.5</v>
      </c>
      <c r="U215" s="18" t="s">
        <v>41</v>
      </c>
      <c r="V215" s="22">
        <v>1</v>
      </c>
      <c r="W215" s="18" t="s">
        <v>598</v>
      </c>
      <c r="X215" s="18" t="s">
        <v>599</v>
      </c>
      <c r="Y215" s="21" t="s">
        <v>554</v>
      </c>
      <c r="Z215" s="18"/>
    </row>
    <row r="216" spans="1:26" x14ac:dyDescent="0.25">
      <c r="A216" s="16">
        <v>22529020</v>
      </c>
      <c r="B216" s="11">
        <v>45968</v>
      </c>
      <c r="C216" s="11">
        <v>46056</v>
      </c>
      <c r="D216" s="11">
        <v>46030</v>
      </c>
      <c r="E216" s="12" t="s">
        <v>37</v>
      </c>
      <c r="F216" s="13">
        <v>635000</v>
      </c>
      <c r="G216" s="13">
        <v>597000</v>
      </c>
      <c r="H216" s="13">
        <v>590000</v>
      </c>
      <c r="I216" s="29">
        <f t="shared" si="3"/>
        <v>265.5265526552655</v>
      </c>
      <c r="J216" s="11">
        <v>60344</v>
      </c>
      <c r="K216" s="11" t="s">
        <v>48</v>
      </c>
      <c r="L216" s="11" t="s">
        <v>566</v>
      </c>
      <c r="M216" s="15" t="s">
        <v>551</v>
      </c>
      <c r="N216" s="15">
        <v>85623</v>
      </c>
      <c r="O216" s="15">
        <v>32.586089000000001</v>
      </c>
      <c r="P216" s="15">
        <v>-110.92221499999999</v>
      </c>
      <c r="Q216" s="16">
        <v>2222</v>
      </c>
      <c r="R216" s="16">
        <v>2011</v>
      </c>
      <c r="S216" s="16">
        <v>2</v>
      </c>
      <c r="T216" s="17">
        <v>2.5</v>
      </c>
      <c r="U216" s="11" t="s">
        <v>41</v>
      </c>
      <c r="V216" s="16">
        <v>1</v>
      </c>
      <c r="W216" s="11" t="s">
        <v>600</v>
      </c>
      <c r="X216" s="11" t="s">
        <v>601</v>
      </c>
      <c r="Y216" s="15" t="s">
        <v>554</v>
      </c>
      <c r="Z216" s="11"/>
    </row>
    <row r="217" spans="1:26" x14ac:dyDescent="0.25">
      <c r="A217" s="16">
        <v>22521902</v>
      </c>
      <c r="B217" s="11">
        <v>45890</v>
      </c>
      <c r="C217" s="11">
        <v>46064</v>
      </c>
      <c r="D217" s="11">
        <v>46063</v>
      </c>
      <c r="E217" s="12" t="s">
        <v>37</v>
      </c>
      <c r="F217" s="13">
        <v>825000</v>
      </c>
      <c r="G217" s="13">
        <v>815000</v>
      </c>
      <c r="H217" s="13">
        <v>800000</v>
      </c>
      <c r="I217" s="29">
        <f t="shared" si="3"/>
        <v>326.93093583980385</v>
      </c>
      <c r="J217" s="11">
        <v>61060</v>
      </c>
      <c r="K217" s="11" t="s">
        <v>48</v>
      </c>
      <c r="L217" s="11" t="s">
        <v>566</v>
      </c>
      <c r="M217" s="15" t="s">
        <v>551</v>
      </c>
      <c r="N217" s="15">
        <v>85623</v>
      </c>
      <c r="O217" s="15">
        <v>32.589882000000003</v>
      </c>
      <c r="P217" s="15">
        <v>-110.914434</v>
      </c>
      <c r="Q217" s="16">
        <v>2447</v>
      </c>
      <c r="R217" s="16">
        <v>2018</v>
      </c>
      <c r="S217" s="16">
        <v>2</v>
      </c>
      <c r="T217" s="17">
        <v>2.5</v>
      </c>
      <c r="U217" s="11" t="s">
        <v>41</v>
      </c>
      <c r="V217" s="16">
        <v>1</v>
      </c>
      <c r="W217" s="11" t="s">
        <v>602</v>
      </c>
      <c r="X217" s="11" t="s">
        <v>603</v>
      </c>
      <c r="Y217" s="15" t="s">
        <v>554</v>
      </c>
      <c r="Z217" s="11"/>
    </row>
    <row r="218" spans="1:26" x14ac:dyDescent="0.25">
      <c r="A218" s="16">
        <v>22526297</v>
      </c>
      <c r="B218" s="11">
        <v>45935</v>
      </c>
      <c r="C218" s="11">
        <v>46065</v>
      </c>
      <c r="D218" s="11">
        <v>46046</v>
      </c>
      <c r="E218" s="12" t="s">
        <v>37</v>
      </c>
      <c r="F218" s="13">
        <v>1090000</v>
      </c>
      <c r="G218" s="13">
        <v>999000</v>
      </c>
      <c r="H218" s="13">
        <v>940000</v>
      </c>
      <c r="I218" s="29">
        <f t="shared" si="3"/>
        <v>359.05271199388847</v>
      </c>
      <c r="J218" s="11">
        <v>31842</v>
      </c>
      <c r="K218" s="11" t="s">
        <v>38</v>
      </c>
      <c r="L218" s="11" t="s">
        <v>604</v>
      </c>
      <c r="M218" s="15" t="s">
        <v>551</v>
      </c>
      <c r="N218" s="15">
        <v>85623</v>
      </c>
      <c r="O218" s="15">
        <v>32.587240000000001</v>
      </c>
      <c r="P218" s="15">
        <v>-110.919307</v>
      </c>
      <c r="Q218" s="16">
        <v>2618</v>
      </c>
      <c r="R218" s="16">
        <v>2008</v>
      </c>
      <c r="S218" s="16">
        <v>3</v>
      </c>
      <c r="T218" s="17">
        <v>3.5</v>
      </c>
      <c r="U218" s="11" t="s">
        <v>41</v>
      </c>
      <c r="V218" s="16">
        <v>1</v>
      </c>
      <c r="W218" s="11" t="s">
        <v>605</v>
      </c>
      <c r="X218" s="11" t="s">
        <v>606</v>
      </c>
      <c r="Y218" s="15" t="s">
        <v>554</v>
      </c>
      <c r="Z218" s="11"/>
    </row>
    <row r="219" spans="1:26" x14ac:dyDescent="0.25">
      <c r="A219" s="16">
        <v>22531344</v>
      </c>
      <c r="B219" s="11">
        <v>45999</v>
      </c>
      <c r="C219" s="11">
        <v>46066</v>
      </c>
      <c r="D219" s="11">
        <v>46063</v>
      </c>
      <c r="E219" s="12" t="s">
        <v>37</v>
      </c>
      <c r="F219" s="13">
        <v>459000</v>
      </c>
      <c r="G219" s="13">
        <v>459000</v>
      </c>
      <c r="H219" s="13">
        <v>446000</v>
      </c>
      <c r="I219" s="29">
        <f t="shared" si="3"/>
        <v>301.75913396481729</v>
      </c>
      <c r="J219" s="11">
        <v>60647</v>
      </c>
      <c r="K219" s="11" t="s">
        <v>48</v>
      </c>
      <c r="L219" s="11" t="s">
        <v>607</v>
      </c>
      <c r="M219" s="15" t="s">
        <v>551</v>
      </c>
      <c r="N219" s="15">
        <v>85623</v>
      </c>
      <c r="O219" s="15">
        <v>32.584243999999998</v>
      </c>
      <c r="P219" s="15">
        <v>-110.918937</v>
      </c>
      <c r="Q219" s="16">
        <v>1478</v>
      </c>
      <c r="R219" s="16">
        <v>2011</v>
      </c>
      <c r="S219" s="16">
        <v>2</v>
      </c>
      <c r="T219" s="17">
        <v>2</v>
      </c>
      <c r="U219" s="11" t="s">
        <v>41</v>
      </c>
      <c r="V219" s="16">
        <v>1</v>
      </c>
      <c r="W219" s="11" t="s">
        <v>608</v>
      </c>
      <c r="X219" s="11" t="s">
        <v>609</v>
      </c>
      <c r="Y219" s="15" t="s">
        <v>554</v>
      </c>
      <c r="Z219" s="11"/>
    </row>
    <row r="220" spans="1:26" x14ac:dyDescent="0.25">
      <c r="A220" s="22">
        <v>22531693</v>
      </c>
      <c r="B220" s="18">
        <v>46003</v>
      </c>
      <c r="C220" s="18">
        <v>46070</v>
      </c>
      <c r="D220" s="18">
        <v>46056</v>
      </c>
      <c r="E220" s="19" t="s">
        <v>37</v>
      </c>
      <c r="F220" s="20">
        <v>929000</v>
      </c>
      <c r="G220" s="13">
        <v>929000</v>
      </c>
      <c r="H220" s="20">
        <v>925000</v>
      </c>
      <c r="I220" s="29">
        <f t="shared" si="3"/>
        <v>378.94305612453911</v>
      </c>
      <c r="J220" s="18">
        <v>32732</v>
      </c>
      <c r="K220" s="18" t="s">
        <v>38</v>
      </c>
      <c r="L220" s="18" t="s">
        <v>555</v>
      </c>
      <c r="M220" s="21" t="s">
        <v>551</v>
      </c>
      <c r="N220" s="21">
        <v>85623</v>
      </c>
      <c r="O220" s="21">
        <v>32.579042999999999</v>
      </c>
      <c r="P220" s="21">
        <v>-110.930584</v>
      </c>
      <c r="Q220" s="22">
        <v>2441</v>
      </c>
      <c r="R220" s="19">
        <v>2020</v>
      </c>
      <c r="S220" s="22">
        <v>2</v>
      </c>
      <c r="T220" s="23">
        <v>2.5</v>
      </c>
      <c r="U220" s="18" t="s">
        <v>41</v>
      </c>
      <c r="V220" s="22">
        <v>1</v>
      </c>
      <c r="W220" s="18" t="s">
        <v>610</v>
      </c>
      <c r="X220" s="18" t="s">
        <v>611</v>
      </c>
      <c r="Y220" s="21" t="s">
        <v>554</v>
      </c>
      <c r="Z220" s="18"/>
    </row>
    <row r="221" spans="1:26" x14ac:dyDescent="0.25">
      <c r="A221" s="16">
        <v>22528307</v>
      </c>
      <c r="B221" s="11">
        <v>45961</v>
      </c>
      <c r="C221" s="11">
        <v>46071</v>
      </c>
      <c r="D221" s="11">
        <v>46058</v>
      </c>
      <c r="E221" s="12" t="s">
        <v>37</v>
      </c>
      <c r="F221" s="13">
        <v>639000</v>
      </c>
      <c r="G221" s="13">
        <v>609000</v>
      </c>
      <c r="H221" s="13">
        <v>599000</v>
      </c>
      <c r="I221" s="29">
        <f t="shared" si="3"/>
        <v>287.01485385721134</v>
      </c>
      <c r="J221" s="11">
        <v>59799</v>
      </c>
      <c r="K221" s="11" t="s">
        <v>48</v>
      </c>
      <c r="L221" s="11" t="s">
        <v>612</v>
      </c>
      <c r="M221" s="15" t="s">
        <v>551</v>
      </c>
      <c r="N221" s="15">
        <v>85623</v>
      </c>
      <c r="O221" s="15">
        <v>32.592030999999999</v>
      </c>
      <c r="P221" s="15">
        <v>-110.927907</v>
      </c>
      <c r="Q221" s="16">
        <v>2087</v>
      </c>
      <c r="R221" s="16">
        <v>2019</v>
      </c>
      <c r="S221" s="16">
        <v>2</v>
      </c>
      <c r="T221" s="17">
        <v>2.5</v>
      </c>
      <c r="U221" s="11" t="s">
        <v>41</v>
      </c>
      <c r="V221" s="16">
        <v>1</v>
      </c>
      <c r="W221" s="11" t="s">
        <v>613</v>
      </c>
      <c r="X221" s="11" t="s">
        <v>614</v>
      </c>
      <c r="Y221" s="15" t="s">
        <v>554</v>
      </c>
      <c r="Z221" s="11"/>
    </row>
    <row r="222" spans="1:26" x14ac:dyDescent="0.25">
      <c r="A222" s="22">
        <v>22531472</v>
      </c>
      <c r="B222" s="18">
        <v>46001</v>
      </c>
      <c r="C222" s="18">
        <v>46052</v>
      </c>
      <c r="D222" s="18">
        <v>46045</v>
      </c>
      <c r="E222" s="19" t="s">
        <v>37</v>
      </c>
      <c r="F222" s="20">
        <v>639900</v>
      </c>
      <c r="G222" s="13">
        <v>639900</v>
      </c>
      <c r="H222" s="20">
        <v>630000</v>
      </c>
      <c r="I222" s="29">
        <f t="shared" si="3"/>
        <v>265.26315789473682</v>
      </c>
      <c r="J222" s="18">
        <v>61663</v>
      </c>
      <c r="K222" s="18" t="s">
        <v>48</v>
      </c>
      <c r="L222" s="18" t="s">
        <v>575</v>
      </c>
      <c r="M222" s="21" t="s">
        <v>551</v>
      </c>
      <c r="N222" s="21">
        <v>85623</v>
      </c>
      <c r="O222" s="21">
        <v>32.596947</v>
      </c>
      <c r="P222" s="21">
        <v>-110.907833</v>
      </c>
      <c r="Q222" s="22">
        <v>2375</v>
      </c>
      <c r="R222" s="19">
        <v>2021</v>
      </c>
      <c r="S222" s="22">
        <v>2</v>
      </c>
      <c r="T222" s="23">
        <v>2.5</v>
      </c>
      <c r="U222" s="18" t="s">
        <v>41</v>
      </c>
      <c r="V222" s="22">
        <v>1</v>
      </c>
      <c r="W222" s="18" t="s">
        <v>615</v>
      </c>
      <c r="X222" s="18" t="s">
        <v>616</v>
      </c>
      <c r="Y222" s="21" t="s">
        <v>554</v>
      </c>
      <c r="Z222" s="18"/>
    </row>
    <row r="223" spans="1:26" x14ac:dyDescent="0.25">
      <c r="A223" s="16">
        <v>22528087</v>
      </c>
      <c r="B223" s="11">
        <v>45959</v>
      </c>
      <c r="C223" s="11">
        <v>46073</v>
      </c>
      <c r="D223" s="11">
        <v>46058</v>
      </c>
      <c r="E223" s="12" t="s">
        <v>37</v>
      </c>
      <c r="F223" s="13">
        <v>675000</v>
      </c>
      <c r="G223" s="13">
        <v>655000</v>
      </c>
      <c r="H223" s="13">
        <v>610000</v>
      </c>
      <c r="I223" s="29">
        <f t="shared" si="3"/>
        <v>294.40154440154441</v>
      </c>
      <c r="J223" s="11">
        <v>32480</v>
      </c>
      <c r="K223" s="11" t="s">
        <v>38</v>
      </c>
      <c r="L223" s="11" t="s">
        <v>617</v>
      </c>
      <c r="M223" s="15" t="s">
        <v>551</v>
      </c>
      <c r="N223" s="15">
        <v>85623</v>
      </c>
      <c r="O223" s="15">
        <v>32.581806</v>
      </c>
      <c r="P223" s="15">
        <v>-110.927448</v>
      </c>
      <c r="Q223" s="16">
        <v>2072</v>
      </c>
      <c r="R223" s="16">
        <v>2013</v>
      </c>
      <c r="S223" s="16">
        <v>2</v>
      </c>
      <c r="T223" s="17">
        <v>2.5</v>
      </c>
      <c r="U223" s="11" t="s">
        <v>41</v>
      </c>
      <c r="V223" s="16">
        <v>1</v>
      </c>
      <c r="W223" s="11" t="s">
        <v>618</v>
      </c>
      <c r="X223" s="11" t="s">
        <v>619</v>
      </c>
      <c r="Y223" s="15" t="s">
        <v>554</v>
      </c>
      <c r="Z223" s="11"/>
    </row>
    <row r="224" spans="1:26" x14ac:dyDescent="0.25">
      <c r="A224" s="16">
        <v>22601844</v>
      </c>
      <c r="B224" s="11">
        <v>46042</v>
      </c>
      <c r="C224" s="11">
        <v>46076</v>
      </c>
      <c r="D224" s="11">
        <v>46049</v>
      </c>
      <c r="E224" s="12" t="s">
        <v>37</v>
      </c>
      <c r="F224" s="13">
        <v>681000</v>
      </c>
      <c r="G224" s="13">
        <v>681000</v>
      </c>
      <c r="H224" s="13">
        <v>639500</v>
      </c>
      <c r="I224" s="29">
        <f t="shared" si="3"/>
        <v>311.64717348927877</v>
      </c>
      <c r="J224" s="11">
        <v>61486</v>
      </c>
      <c r="K224" s="11" t="s">
        <v>48</v>
      </c>
      <c r="L224" s="11" t="s">
        <v>550</v>
      </c>
      <c r="M224" s="15" t="s">
        <v>551</v>
      </c>
      <c r="N224" s="15">
        <v>85623</v>
      </c>
      <c r="O224" s="15">
        <v>32.599057000000002</v>
      </c>
      <c r="P224" s="15">
        <v>-110.909621</v>
      </c>
      <c r="Q224" s="16">
        <v>2052</v>
      </c>
      <c r="R224" s="16">
        <v>2023</v>
      </c>
      <c r="S224" s="16">
        <v>2</v>
      </c>
      <c r="T224" s="17">
        <v>2.5</v>
      </c>
      <c r="U224" s="11" t="s">
        <v>41</v>
      </c>
      <c r="V224" s="16">
        <v>1</v>
      </c>
      <c r="W224" s="11" t="s">
        <v>620</v>
      </c>
      <c r="X224" s="11" t="s">
        <v>621</v>
      </c>
      <c r="Y224" s="15" t="s">
        <v>554</v>
      </c>
      <c r="Z224" s="11"/>
    </row>
    <row r="225" spans="1:26" x14ac:dyDescent="0.25">
      <c r="A225" s="16">
        <v>22528129</v>
      </c>
      <c r="B225" s="11">
        <v>45959</v>
      </c>
      <c r="C225" s="11">
        <v>46080</v>
      </c>
      <c r="D225" s="11">
        <v>46077</v>
      </c>
      <c r="E225" s="12" t="s">
        <v>37</v>
      </c>
      <c r="F225" s="13">
        <v>660000</v>
      </c>
      <c r="G225" s="13">
        <v>660000</v>
      </c>
      <c r="H225" s="13">
        <v>635000</v>
      </c>
      <c r="I225" s="29">
        <f t="shared" si="3"/>
        <v>298.26209488022545</v>
      </c>
      <c r="J225" s="11">
        <v>61202</v>
      </c>
      <c r="K225" s="11" t="s">
        <v>48</v>
      </c>
      <c r="L225" s="11" t="s">
        <v>587</v>
      </c>
      <c r="M225" s="15" t="s">
        <v>551</v>
      </c>
      <c r="N225" s="15">
        <v>85623</v>
      </c>
      <c r="O225" s="15">
        <v>32.593386000000002</v>
      </c>
      <c r="P225" s="15">
        <v>-110.912903</v>
      </c>
      <c r="Q225" s="16">
        <v>2129</v>
      </c>
      <c r="R225" s="16">
        <v>2016</v>
      </c>
      <c r="S225" s="16">
        <v>2</v>
      </c>
      <c r="T225" s="17">
        <v>2.5</v>
      </c>
      <c r="U225" s="11" t="s">
        <v>41</v>
      </c>
      <c r="V225" s="16">
        <v>1</v>
      </c>
      <c r="W225" s="11" t="s">
        <v>622</v>
      </c>
      <c r="X225" s="11" t="s">
        <v>623</v>
      </c>
      <c r="Y225" s="15" t="s">
        <v>554</v>
      </c>
      <c r="Z225" s="11"/>
    </row>
    <row r="226" spans="1:26" x14ac:dyDescent="0.25">
      <c r="A226" s="22">
        <v>22525942</v>
      </c>
      <c r="B226" s="18">
        <v>45935</v>
      </c>
      <c r="C226" s="18">
        <v>46080</v>
      </c>
      <c r="D226" s="18">
        <v>45986</v>
      </c>
      <c r="E226" s="19" t="s">
        <v>37</v>
      </c>
      <c r="F226" s="20">
        <v>549000</v>
      </c>
      <c r="G226" s="13">
        <v>549000</v>
      </c>
      <c r="H226" s="20">
        <v>535000</v>
      </c>
      <c r="I226" s="29">
        <f t="shared" si="3"/>
        <v>280.83989501312334</v>
      </c>
      <c r="J226" s="18">
        <v>60611</v>
      </c>
      <c r="K226" s="18" t="s">
        <v>48</v>
      </c>
      <c r="L226" s="18" t="s">
        <v>607</v>
      </c>
      <c r="M226" s="21" t="s">
        <v>551</v>
      </c>
      <c r="N226" s="21">
        <v>85623</v>
      </c>
      <c r="O226" s="21">
        <v>32.584296000000002</v>
      </c>
      <c r="P226" s="21">
        <v>-110.919327</v>
      </c>
      <c r="Q226" s="22">
        <v>1905</v>
      </c>
      <c r="R226" s="19">
        <v>2010</v>
      </c>
      <c r="S226" s="22">
        <v>2</v>
      </c>
      <c r="T226" s="23">
        <v>2</v>
      </c>
      <c r="U226" s="18" t="s">
        <v>41</v>
      </c>
      <c r="V226" s="22">
        <v>1</v>
      </c>
      <c r="W226" s="18" t="s">
        <v>624</v>
      </c>
      <c r="X226" s="18" t="s">
        <v>625</v>
      </c>
      <c r="Y226" s="21" t="s">
        <v>554</v>
      </c>
      <c r="Z226" s="18"/>
    </row>
    <row r="227" spans="1:26" x14ac:dyDescent="0.25">
      <c r="A227" s="22">
        <v>22526123</v>
      </c>
      <c r="B227" s="18">
        <v>45938</v>
      </c>
      <c r="C227" s="18">
        <v>46083</v>
      </c>
      <c r="D227" s="18">
        <v>46080</v>
      </c>
      <c r="E227" s="19" t="s">
        <v>37</v>
      </c>
      <c r="F227" s="20">
        <v>919950</v>
      </c>
      <c r="G227" s="13">
        <v>879950</v>
      </c>
      <c r="H227" s="20">
        <v>850000</v>
      </c>
      <c r="I227" s="29">
        <f t="shared" si="3"/>
        <v>353.43035343035342</v>
      </c>
      <c r="J227" s="18">
        <v>61935</v>
      </c>
      <c r="K227" s="18" t="s">
        <v>48</v>
      </c>
      <c r="L227" s="18" t="s">
        <v>626</v>
      </c>
      <c r="M227" s="21" t="s">
        <v>551</v>
      </c>
      <c r="N227" s="21">
        <v>85623</v>
      </c>
      <c r="O227" s="21">
        <v>32.601019999999998</v>
      </c>
      <c r="P227" s="21">
        <v>-110.905777</v>
      </c>
      <c r="Q227" s="22">
        <v>2405</v>
      </c>
      <c r="R227" s="19">
        <v>2024</v>
      </c>
      <c r="S227" s="22">
        <v>3</v>
      </c>
      <c r="T227" s="23">
        <v>3.5</v>
      </c>
      <c r="U227" s="18" t="s">
        <v>41</v>
      </c>
      <c r="V227" s="22">
        <v>1</v>
      </c>
      <c r="W227" s="18" t="s">
        <v>627</v>
      </c>
      <c r="X227" s="18" t="s">
        <v>628</v>
      </c>
      <c r="Y227" s="21" t="s">
        <v>554</v>
      </c>
      <c r="Z227" s="18"/>
    </row>
    <row r="228" spans="1:26" x14ac:dyDescent="0.25">
      <c r="A228" s="16">
        <v>22522865</v>
      </c>
      <c r="B228" s="11">
        <v>45903</v>
      </c>
      <c r="C228" s="11">
        <v>46086</v>
      </c>
      <c r="D228" s="11">
        <v>46085</v>
      </c>
      <c r="E228" s="12" t="s">
        <v>37</v>
      </c>
      <c r="F228" s="13">
        <v>999900</v>
      </c>
      <c r="G228" s="13">
        <v>999900</v>
      </c>
      <c r="H228" s="13">
        <v>940000</v>
      </c>
      <c r="I228" s="29">
        <f t="shared" si="3"/>
        <v>349.83252698176403</v>
      </c>
      <c r="J228" s="11">
        <v>61482</v>
      </c>
      <c r="K228" s="11" t="s">
        <v>48</v>
      </c>
      <c r="L228" s="11" t="s">
        <v>572</v>
      </c>
      <c r="M228" s="15" t="s">
        <v>551</v>
      </c>
      <c r="N228" s="15">
        <v>85623</v>
      </c>
      <c r="O228" s="15">
        <v>32.596662999999999</v>
      </c>
      <c r="P228" s="15">
        <v>-110.91007</v>
      </c>
      <c r="Q228" s="16">
        <v>2687</v>
      </c>
      <c r="R228" s="16">
        <v>2021</v>
      </c>
      <c r="S228" s="16">
        <v>2</v>
      </c>
      <c r="T228" s="17">
        <v>2.5</v>
      </c>
      <c r="U228" s="11" t="s">
        <v>41</v>
      </c>
      <c r="V228" s="16">
        <v>1</v>
      </c>
      <c r="W228" s="11" t="s">
        <v>629</v>
      </c>
      <c r="X228" s="11" t="s">
        <v>630</v>
      </c>
      <c r="Y228" s="15" t="s">
        <v>554</v>
      </c>
      <c r="Z228" s="11"/>
    </row>
    <row r="229" spans="1:26" x14ac:dyDescent="0.25">
      <c r="A229" s="16">
        <v>22600210</v>
      </c>
      <c r="B229" s="11">
        <v>46024</v>
      </c>
      <c r="C229" s="11">
        <v>46086</v>
      </c>
      <c r="D229" s="11">
        <v>46050</v>
      </c>
      <c r="E229" s="12" t="s">
        <v>37</v>
      </c>
      <c r="F229" s="13">
        <v>575000</v>
      </c>
      <c r="G229" s="13">
        <v>575000</v>
      </c>
      <c r="H229" s="13">
        <v>567500</v>
      </c>
      <c r="I229" s="29">
        <f t="shared" si="3"/>
        <v>272.57444764649375</v>
      </c>
      <c r="J229" s="11">
        <v>32936</v>
      </c>
      <c r="K229" s="11" t="s">
        <v>38</v>
      </c>
      <c r="L229" s="11" t="s">
        <v>617</v>
      </c>
      <c r="M229" s="15" t="s">
        <v>551</v>
      </c>
      <c r="N229" s="15">
        <v>85623</v>
      </c>
      <c r="O229" s="15">
        <v>32.577607</v>
      </c>
      <c r="P229" s="15">
        <v>-110.928461</v>
      </c>
      <c r="Q229" s="16">
        <v>2082</v>
      </c>
      <c r="R229" s="16">
        <v>2017</v>
      </c>
      <c r="S229" s="16">
        <v>3</v>
      </c>
      <c r="T229" s="17">
        <v>2.5</v>
      </c>
      <c r="U229" s="11" t="s">
        <v>41</v>
      </c>
      <c r="V229" s="16">
        <v>1</v>
      </c>
      <c r="W229" s="11" t="s">
        <v>631</v>
      </c>
      <c r="X229" s="11" t="s">
        <v>632</v>
      </c>
      <c r="Y229" s="15" t="s">
        <v>554</v>
      </c>
      <c r="Z229" s="11"/>
    </row>
    <row r="230" spans="1:26" x14ac:dyDescent="0.25">
      <c r="A230" s="16">
        <v>22522524</v>
      </c>
      <c r="B230" s="11">
        <v>45898</v>
      </c>
      <c r="C230" s="11">
        <v>46086</v>
      </c>
      <c r="D230" s="11">
        <v>46065</v>
      </c>
      <c r="E230" s="12" t="s">
        <v>37</v>
      </c>
      <c r="F230" s="13">
        <v>664000</v>
      </c>
      <c r="G230" s="13">
        <v>630000</v>
      </c>
      <c r="H230" s="13">
        <v>615000</v>
      </c>
      <c r="I230" s="29">
        <f t="shared" si="3"/>
        <v>295.95765158806546</v>
      </c>
      <c r="J230" s="11">
        <v>61879</v>
      </c>
      <c r="K230" s="11" t="s">
        <v>48</v>
      </c>
      <c r="L230" s="11" t="s">
        <v>633</v>
      </c>
      <c r="M230" s="15" t="s">
        <v>551</v>
      </c>
      <c r="N230" s="15">
        <v>85623</v>
      </c>
      <c r="O230" s="15">
        <v>32.601193000000002</v>
      </c>
      <c r="P230" s="15">
        <v>-110.90572299999999</v>
      </c>
      <c r="Q230" s="16">
        <v>2078</v>
      </c>
      <c r="R230" s="16">
        <v>2024</v>
      </c>
      <c r="S230" s="16">
        <v>2</v>
      </c>
      <c r="T230" s="17">
        <v>2.5</v>
      </c>
      <c r="U230" s="11" t="s">
        <v>41</v>
      </c>
      <c r="V230" s="16">
        <v>1</v>
      </c>
      <c r="W230" s="11" t="s">
        <v>634</v>
      </c>
      <c r="X230" s="11" t="s">
        <v>635</v>
      </c>
      <c r="Y230" s="15" t="s">
        <v>554</v>
      </c>
      <c r="Z230" s="11"/>
    </row>
    <row r="231" spans="1:26" x14ac:dyDescent="0.25">
      <c r="A231" s="16">
        <v>22529176</v>
      </c>
      <c r="B231" s="11">
        <v>45971</v>
      </c>
      <c r="C231" s="11">
        <v>46087</v>
      </c>
      <c r="D231" s="11">
        <v>46078</v>
      </c>
      <c r="E231" s="12" t="s">
        <v>37</v>
      </c>
      <c r="F231" s="13">
        <v>1050000</v>
      </c>
      <c r="G231" s="13">
        <v>1050000</v>
      </c>
      <c r="H231" s="13">
        <v>1020000</v>
      </c>
      <c r="I231" s="29">
        <f t="shared" si="3"/>
        <v>364.93738819320214</v>
      </c>
      <c r="J231" s="11">
        <v>61667</v>
      </c>
      <c r="K231" s="11" t="s">
        <v>48</v>
      </c>
      <c r="L231" s="11" t="s">
        <v>587</v>
      </c>
      <c r="M231" s="15" t="s">
        <v>551</v>
      </c>
      <c r="N231" s="15">
        <v>85623</v>
      </c>
      <c r="O231" s="15">
        <v>32.592212000000004</v>
      </c>
      <c r="P231" s="15">
        <v>-110.907646</v>
      </c>
      <c r="Q231" s="16">
        <v>2795</v>
      </c>
      <c r="R231" s="16">
        <v>2018</v>
      </c>
      <c r="S231" s="16">
        <v>2</v>
      </c>
      <c r="T231" s="17">
        <v>2.5</v>
      </c>
      <c r="U231" s="11" t="s">
        <v>41</v>
      </c>
      <c r="V231" s="16">
        <v>1</v>
      </c>
      <c r="W231" s="11" t="s">
        <v>636</v>
      </c>
      <c r="X231" s="11" t="s">
        <v>637</v>
      </c>
      <c r="Y231" s="15" t="s">
        <v>554</v>
      </c>
      <c r="Z231" s="11"/>
    </row>
    <row r="232" spans="1:26" x14ac:dyDescent="0.25">
      <c r="A232" s="16">
        <v>22525442</v>
      </c>
      <c r="B232" s="11">
        <v>45931</v>
      </c>
      <c r="C232" s="11">
        <v>46098</v>
      </c>
      <c r="D232" s="11">
        <v>46081</v>
      </c>
      <c r="E232" s="12" t="s">
        <v>37</v>
      </c>
      <c r="F232" s="13">
        <v>649000</v>
      </c>
      <c r="G232" s="13">
        <v>570000</v>
      </c>
      <c r="H232" s="13">
        <v>560000</v>
      </c>
      <c r="I232" s="29">
        <f t="shared" si="3"/>
        <v>277.3650321941555</v>
      </c>
      <c r="J232" s="11">
        <v>61670</v>
      </c>
      <c r="K232" s="11" t="s">
        <v>48</v>
      </c>
      <c r="L232" s="11" t="s">
        <v>584</v>
      </c>
      <c r="M232" s="15" t="s">
        <v>551</v>
      </c>
      <c r="N232" s="15">
        <v>85623</v>
      </c>
      <c r="O232" s="15">
        <v>32.595092999999999</v>
      </c>
      <c r="P232" s="15">
        <v>-110.90787400000001</v>
      </c>
      <c r="Q232" s="16">
        <v>2019</v>
      </c>
      <c r="R232" s="16">
        <v>2020</v>
      </c>
      <c r="S232" s="16">
        <v>2</v>
      </c>
      <c r="T232" s="17">
        <v>2.5</v>
      </c>
      <c r="U232" s="11" t="s">
        <v>41</v>
      </c>
      <c r="V232" s="16">
        <v>1</v>
      </c>
      <c r="W232" s="11" t="s">
        <v>638</v>
      </c>
      <c r="X232" s="11" t="s">
        <v>639</v>
      </c>
      <c r="Y232" s="15" t="s">
        <v>554</v>
      </c>
      <c r="Z232" s="11"/>
    </row>
    <row r="233" spans="1:26" x14ac:dyDescent="0.25">
      <c r="A233" s="16">
        <v>22602005</v>
      </c>
      <c r="B233" s="11">
        <v>46043</v>
      </c>
      <c r="C233" s="11">
        <v>46100</v>
      </c>
      <c r="D233" s="11">
        <v>46073</v>
      </c>
      <c r="E233" s="12" t="s">
        <v>37</v>
      </c>
      <c r="F233" s="13">
        <v>389000</v>
      </c>
      <c r="G233" s="13">
        <v>389000</v>
      </c>
      <c r="H233" s="13">
        <v>389000</v>
      </c>
      <c r="I233" s="29">
        <f t="shared" si="3"/>
        <v>248.40357598978289</v>
      </c>
      <c r="J233" s="11">
        <v>60437</v>
      </c>
      <c r="K233" s="11" t="s">
        <v>48</v>
      </c>
      <c r="L233" s="11" t="s">
        <v>607</v>
      </c>
      <c r="M233" s="15" t="s">
        <v>551</v>
      </c>
      <c r="N233" s="15">
        <v>85623</v>
      </c>
      <c r="O233" s="15">
        <v>32.584228000000003</v>
      </c>
      <c r="P233" s="15">
        <v>-110.921093</v>
      </c>
      <c r="Q233" s="16">
        <v>1566</v>
      </c>
      <c r="R233" s="16">
        <v>2017</v>
      </c>
      <c r="S233" s="16">
        <v>2</v>
      </c>
      <c r="T233" s="17">
        <v>2</v>
      </c>
      <c r="U233" s="11" t="s">
        <v>41</v>
      </c>
      <c r="V233" s="16">
        <v>1</v>
      </c>
      <c r="W233" s="11" t="s">
        <v>640</v>
      </c>
      <c r="X233" s="11" t="s">
        <v>641</v>
      </c>
      <c r="Y233" s="15" t="s">
        <v>554</v>
      </c>
      <c r="Z233" s="11"/>
    </row>
    <row r="234" spans="1:26" x14ac:dyDescent="0.25">
      <c r="A234" s="16">
        <v>22601828</v>
      </c>
      <c r="B234" s="11">
        <v>46041</v>
      </c>
      <c r="C234" s="11">
        <v>46101</v>
      </c>
      <c r="D234" s="11">
        <v>46099</v>
      </c>
      <c r="E234" s="12" t="s">
        <v>37</v>
      </c>
      <c r="F234" s="13">
        <v>957880</v>
      </c>
      <c r="G234" s="13">
        <v>957880</v>
      </c>
      <c r="H234" s="13">
        <v>941500</v>
      </c>
      <c r="I234" s="29">
        <f t="shared" si="3"/>
        <v>319.80298913043481</v>
      </c>
      <c r="J234" s="11">
        <v>61868</v>
      </c>
      <c r="K234" s="11" t="s">
        <v>48</v>
      </c>
      <c r="L234" s="11" t="s">
        <v>550</v>
      </c>
      <c r="M234" s="15" t="s">
        <v>551</v>
      </c>
      <c r="N234" s="15">
        <v>85623</v>
      </c>
      <c r="O234" s="15">
        <v>32.598717000000001</v>
      </c>
      <c r="P234" s="15">
        <v>-110.905427</v>
      </c>
      <c r="Q234" s="16">
        <v>2944</v>
      </c>
      <c r="R234" s="16">
        <v>2022</v>
      </c>
      <c r="S234" s="16">
        <v>2</v>
      </c>
      <c r="T234" s="17">
        <v>2.5</v>
      </c>
      <c r="U234" s="11" t="s">
        <v>41</v>
      </c>
      <c r="V234" s="16">
        <v>1</v>
      </c>
      <c r="W234" s="11" t="s">
        <v>642</v>
      </c>
      <c r="X234" s="11" t="s">
        <v>643</v>
      </c>
      <c r="Y234" s="15" t="s">
        <v>554</v>
      </c>
      <c r="Z234" s="11"/>
    </row>
    <row r="235" spans="1:26" x14ac:dyDescent="0.25">
      <c r="A235" s="16">
        <v>22510368</v>
      </c>
      <c r="B235" s="11">
        <v>45761</v>
      </c>
      <c r="C235" s="11">
        <v>46094</v>
      </c>
      <c r="D235" s="11">
        <v>46080</v>
      </c>
      <c r="E235" s="12" t="s">
        <v>37</v>
      </c>
      <c r="F235" s="13">
        <v>375000</v>
      </c>
      <c r="G235" s="13">
        <v>358000</v>
      </c>
      <c r="H235" s="13">
        <v>348000</v>
      </c>
      <c r="I235" s="29">
        <f t="shared" si="3"/>
        <v>247.68683274021353</v>
      </c>
      <c r="J235" s="11">
        <v>61078</v>
      </c>
      <c r="K235" s="11" t="s">
        <v>48</v>
      </c>
      <c r="L235" s="11" t="s">
        <v>572</v>
      </c>
      <c r="M235" s="15" t="s">
        <v>551</v>
      </c>
      <c r="N235" s="15">
        <v>85623</v>
      </c>
      <c r="O235" s="15">
        <v>32.594757999999999</v>
      </c>
      <c r="P235" s="15">
        <v>-110.91423500000001</v>
      </c>
      <c r="Q235" s="16">
        <v>1405</v>
      </c>
      <c r="R235" s="16">
        <v>2017</v>
      </c>
      <c r="S235" s="16">
        <v>2</v>
      </c>
      <c r="T235" s="17">
        <v>2</v>
      </c>
      <c r="U235" s="11" t="s">
        <v>41</v>
      </c>
      <c r="V235" s="16">
        <v>1</v>
      </c>
      <c r="W235" s="11" t="s">
        <v>644</v>
      </c>
      <c r="X235" s="11" t="s">
        <v>645</v>
      </c>
      <c r="Y235" s="15" t="s">
        <v>554</v>
      </c>
      <c r="Z235" s="11"/>
    </row>
    <row r="236" spans="1:26" x14ac:dyDescent="0.25">
      <c r="A236" s="16">
        <v>22606477</v>
      </c>
      <c r="B236" s="11">
        <v>46091</v>
      </c>
      <c r="C236" s="11">
        <v>46112</v>
      </c>
      <c r="D236" s="11">
        <v>46106</v>
      </c>
      <c r="E236" s="12" t="s">
        <v>37</v>
      </c>
      <c r="F236" s="13">
        <v>485000</v>
      </c>
      <c r="G236" s="13">
        <v>485000</v>
      </c>
      <c r="H236" s="13">
        <v>380500</v>
      </c>
      <c r="I236" s="29">
        <f t="shared" si="3"/>
        <v>210.33720287451629</v>
      </c>
      <c r="J236" s="11">
        <v>60019</v>
      </c>
      <c r="K236" s="11" t="s">
        <v>48</v>
      </c>
      <c r="L236" s="11" t="s">
        <v>646</v>
      </c>
      <c r="M236" s="15" t="s">
        <v>551</v>
      </c>
      <c r="N236" s="15">
        <v>85623</v>
      </c>
      <c r="O236" s="15">
        <v>32.590749000000002</v>
      </c>
      <c r="P236" s="15">
        <v>-110.925436</v>
      </c>
      <c r="Q236" s="16">
        <v>1809</v>
      </c>
      <c r="R236" s="16">
        <v>2018</v>
      </c>
      <c r="S236" s="16">
        <v>2</v>
      </c>
      <c r="T236" s="17">
        <v>2.5</v>
      </c>
      <c r="U236" s="11" t="s">
        <v>41</v>
      </c>
      <c r="V236" s="16">
        <v>1</v>
      </c>
      <c r="W236" s="11" t="s">
        <v>647</v>
      </c>
      <c r="X236" s="11" t="s">
        <v>648</v>
      </c>
      <c r="Y236" s="15" t="s">
        <v>554</v>
      </c>
      <c r="Z236" s="11"/>
    </row>
    <row r="237" spans="1:26" x14ac:dyDescent="0.25">
      <c r="A237" s="16">
        <v>22603666</v>
      </c>
      <c r="B237" s="11">
        <v>46060</v>
      </c>
      <c r="C237" s="11">
        <v>46112</v>
      </c>
      <c r="D237" s="11">
        <v>46074</v>
      </c>
      <c r="E237" s="12" t="s">
        <v>37</v>
      </c>
      <c r="F237" s="13">
        <v>945000</v>
      </c>
      <c r="G237" s="13">
        <v>945000</v>
      </c>
      <c r="H237" s="13">
        <v>935000</v>
      </c>
      <c r="I237" s="29">
        <f t="shared" si="3"/>
        <v>393.51851851851853</v>
      </c>
      <c r="J237" s="11">
        <v>32205</v>
      </c>
      <c r="K237" s="11" t="s">
        <v>38</v>
      </c>
      <c r="L237" s="11" t="s">
        <v>555</v>
      </c>
      <c r="M237" s="15" t="s">
        <v>551</v>
      </c>
      <c r="N237" s="15">
        <v>85623</v>
      </c>
      <c r="O237" s="15">
        <v>32.584274000000001</v>
      </c>
      <c r="P237" s="15">
        <v>-110.93008</v>
      </c>
      <c r="Q237" s="16">
        <v>2376</v>
      </c>
      <c r="R237" s="16">
        <v>2020</v>
      </c>
      <c r="S237" s="16">
        <v>2</v>
      </c>
      <c r="T237" s="17">
        <v>2.5</v>
      </c>
      <c r="U237" s="11" t="s">
        <v>41</v>
      </c>
      <c r="V237" s="16">
        <v>1</v>
      </c>
      <c r="W237" s="11" t="s">
        <v>649</v>
      </c>
      <c r="X237" s="11" t="s">
        <v>650</v>
      </c>
      <c r="Y237" s="15" t="s">
        <v>554</v>
      </c>
      <c r="Z237" s="11"/>
    </row>
    <row r="238" spans="1:26" x14ac:dyDescent="0.25">
      <c r="A238" s="16">
        <v>22532554</v>
      </c>
      <c r="B238" s="11">
        <v>46021</v>
      </c>
      <c r="C238" s="11">
        <v>46115</v>
      </c>
      <c r="D238" s="11">
        <v>46114</v>
      </c>
      <c r="E238" s="12" t="s">
        <v>37</v>
      </c>
      <c r="F238" s="13">
        <v>749900</v>
      </c>
      <c r="G238" s="13">
        <v>749900</v>
      </c>
      <c r="H238" s="13">
        <v>710000</v>
      </c>
      <c r="I238" s="29">
        <f t="shared" si="3"/>
        <v>342.66409266409266</v>
      </c>
      <c r="J238" s="11">
        <v>32312</v>
      </c>
      <c r="K238" s="11" t="s">
        <v>38</v>
      </c>
      <c r="L238" s="11" t="s">
        <v>651</v>
      </c>
      <c r="M238" s="15" t="s">
        <v>551</v>
      </c>
      <c r="N238" s="15">
        <v>85623</v>
      </c>
      <c r="O238" s="15">
        <v>32.583539999999999</v>
      </c>
      <c r="P238" s="15">
        <v>-110.921054</v>
      </c>
      <c r="Q238" s="16">
        <v>2072</v>
      </c>
      <c r="R238" s="16">
        <v>2011</v>
      </c>
      <c r="S238" s="16">
        <v>2</v>
      </c>
      <c r="T238" s="17">
        <v>2.5</v>
      </c>
      <c r="U238" s="11" t="s">
        <v>41</v>
      </c>
      <c r="V238" s="16">
        <v>1</v>
      </c>
      <c r="W238" s="11" t="s">
        <v>652</v>
      </c>
      <c r="X238" s="11" t="s">
        <v>653</v>
      </c>
      <c r="Y238" s="15" t="s">
        <v>554</v>
      </c>
      <c r="Z238" s="11"/>
    </row>
    <row r="239" spans="1:26" x14ac:dyDescent="0.25">
      <c r="A239" s="22">
        <v>22604355</v>
      </c>
      <c r="B239" s="18">
        <v>46069</v>
      </c>
      <c r="C239" s="18">
        <v>46118</v>
      </c>
      <c r="D239" s="18">
        <v>46077</v>
      </c>
      <c r="E239" s="19" t="s">
        <v>37</v>
      </c>
      <c r="F239" s="20">
        <v>449000</v>
      </c>
      <c r="G239" s="13">
        <v>449000</v>
      </c>
      <c r="H239" s="20">
        <v>449000</v>
      </c>
      <c r="I239" s="29">
        <f t="shared" si="3"/>
        <v>274.11477411477409</v>
      </c>
      <c r="J239" s="18">
        <v>61216</v>
      </c>
      <c r="K239" s="18" t="s">
        <v>48</v>
      </c>
      <c r="L239" s="18" t="s">
        <v>572</v>
      </c>
      <c r="M239" s="21" t="s">
        <v>551</v>
      </c>
      <c r="N239" s="21">
        <v>85623</v>
      </c>
      <c r="O239" s="21">
        <v>32.595269000000002</v>
      </c>
      <c r="P239" s="21">
        <v>-110.91260200000001</v>
      </c>
      <c r="Q239" s="22">
        <v>1638</v>
      </c>
      <c r="R239" s="19">
        <v>2020</v>
      </c>
      <c r="S239" s="22">
        <v>2</v>
      </c>
      <c r="T239" s="23">
        <v>2</v>
      </c>
      <c r="U239" s="18" t="s">
        <v>41</v>
      </c>
      <c r="V239" s="22">
        <v>1</v>
      </c>
      <c r="W239" s="18" t="s">
        <v>654</v>
      </c>
      <c r="X239" s="18" t="s">
        <v>655</v>
      </c>
      <c r="Y239" s="21" t="s">
        <v>554</v>
      </c>
      <c r="Z239" s="18"/>
    </row>
    <row r="240" spans="1:26" x14ac:dyDescent="0.25">
      <c r="A240" s="22">
        <v>22531765</v>
      </c>
      <c r="B240" s="18">
        <v>46006</v>
      </c>
      <c r="C240" s="18">
        <v>46122</v>
      </c>
      <c r="D240" s="18">
        <v>46111</v>
      </c>
      <c r="E240" s="19" t="s">
        <v>37</v>
      </c>
      <c r="F240" s="20">
        <v>589000</v>
      </c>
      <c r="G240" s="13">
        <v>569000</v>
      </c>
      <c r="H240" s="20">
        <v>569000</v>
      </c>
      <c r="I240" s="29">
        <f t="shared" si="3"/>
        <v>279.19528949950933</v>
      </c>
      <c r="J240" s="18">
        <v>61672</v>
      </c>
      <c r="K240" s="18" t="s">
        <v>48</v>
      </c>
      <c r="L240" s="18" t="s">
        <v>575</v>
      </c>
      <c r="M240" s="21" t="s">
        <v>551</v>
      </c>
      <c r="N240" s="21">
        <v>85623</v>
      </c>
      <c r="O240" s="21">
        <v>32.597403</v>
      </c>
      <c r="P240" s="21">
        <v>-110.90763699999999</v>
      </c>
      <c r="Q240" s="22">
        <v>2038</v>
      </c>
      <c r="R240" s="19">
        <v>2022</v>
      </c>
      <c r="S240" s="22">
        <v>2</v>
      </c>
      <c r="T240" s="23">
        <v>2.5</v>
      </c>
      <c r="U240" s="18" t="s">
        <v>41</v>
      </c>
      <c r="V240" s="22">
        <v>1</v>
      </c>
      <c r="W240" s="18" t="s">
        <v>656</v>
      </c>
      <c r="X240" s="18" t="s">
        <v>657</v>
      </c>
      <c r="Y240" s="21" t="s">
        <v>554</v>
      </c>
      <c r="Z240" s="18"/>
    </row>
    <row r="241" spans="1:26" x14ac:dyDescent="0.25">
      <c r="A241" s="16">
        <v>22603245</v>
      </c>
      <c r="B241" s="11">
        <v>46058</v>
      </c>
      <c r="C241" s="11">
        <v>46122</v>
      </c>
      <c r="D241" s="11">
        <v>46121</v>
      </c>
      <c r="E241" s="12" t="s">
        <v>37</v>
      </c>
      <c r="F241" s="13">
        <v>549000</v>
      </c>
      <c r="G241" s="13">
        <v>549000</v>
      </c>
      <c r="H241" s="13">
        <v>549000</v>
      </c>
      <c r="I241" s="29">
        <f t="shared" si="3"/>
        <v>274.22577422577422</v>
      </c>
      <c r="J241" s="11">
        <v>60520</v>
      </c>
      <c r="K241" s="11" t="s">
        <v>48</v>
      </c>
      <c r="L241" s="11" t="s">
        <v>607</v>
      </c>
      <c r="M241" s="15" t="s">
        <v>551</v>
      </c>
      <c r="N241" s="15">
        <v>85623</v>
      </c>
      <c r="O241" s="15">
        <v>32.584673000000002</v>
      </c>
      <c r="P241" s="15">
        <v>-110.920354</v>
      </c>
      <c r="Q241" s="16">
        <v>2002</v>
      </c>
      <c r="R241" s="16">
        <v>2013</v>
      </c>
      <c r="S241" s="16">
        <v>2</v>
      </c>
      <c r="T241" s="17">
        <v>2</v>
      </c>
      <c r="U241" s="11" t="s">
        <v>41</v>
      </c>
      <c r="V241" s="16">
        <v>1</v>
      </c>
      <c r="W241" s="11" t="s">
        <v>658</v>
      </c>
      <c r="X241" s="11" t="s">
        <v>659</v>
      </c>
      <c r="Y241" s="15" t="s">
        <v>554</v>
      </c>
      <c r="Z241" s="11"/>
    </row>
    <row r="242" spans="1:26" x14ac:dyDescent="0.25">
      <c r="A242" s="16">
        <v>22606600</v>
      </c>
      <c r="B242" s="11">
        <v>46091</v>
      </c>
      <c r="C242" s="11">
        <v>46127</v>
      </c>
      <c r="D242" s="11">
        <v>46112</v>
      </c>
      <c r="E242" s="12" t="s">
        <v>37</v>
      </c>
      <c r="F242" s="13">
        <v>899000</v>
      </c>
      <c r="G242" s="13">
        <v>899000</v>
      </c>
      <c r="H242" s="13">
        <v>889000</v>
      </c>
      <c r="I242" s="29">
        <f t="shared" si="3"/>
        <v>374.15824915824913</v>
      </c>
      <c r="J242" s="11">
        <v>32376</v>
      </c>
      <c r="K242" s="11" t="s">
        <v>38</v>
      </c>
      <c r="L242" s="11" t="s">
        <v>555</v>
      </c>
      <c r="M242" s="15" t="s">
        <v>551</v>
      </c>
      <c r="N242" s="15">
        <v>85623</v>
      </c>
      <c r="O242" s="15">
        <v>32.58267</v>
      </c>
      <c r="P242" s="15">
        <v>-110.930609</v>
      </c>
      <c r="Q242" s="16">
        <v>2376</v>
      </c>
      <c r="R242" s="16">
        <v>2020</v>
      </c>
      <c r="S242" s="16">
        <v>2</v>
      </c>
      <c r="T242" s="17">
        <v>2.5</v>
      </c>
      <c r="U242" s="11" t="s">
        <v>41</v>
      </c>
      <c r="V242" s="16">
        <v>1</v>
      </c>
      <c r="W242" s="11" t="s">
        <v>660</v>
      </c>
      <c r="X242" s="11" t="s">
        <v>661</v>
      </c>
      <c r="Y242" s="15" t="s">
        <v>554</v>
      </c>
      <c r="Z242" s="11"/>
    </row>
    <row r="243" spans="1:26" x14ac:dyDescent="0.25">
      <c r="A243" s="16">
        <v>22601741</v>
      </c>
      <c r="B243" s="11">
        <v>46028</v>
      </c>
      <c r="C243" s="11">
        <v>46127</v>
      </c>
      <c r="D243" s="11">
        <v>46121</v>
      </c>
      <c r="E243" s="12" t="s">
        <v>37</v>
      </c>
      <c r="F243" s="13">
        <v>648000</v>
      </c>
      <c r="G243" s="13">
        <v>575000</v>
      </c>
      <c r="H243" s="13">
        <v>558000</v>
      </c>
      <c r="I243" s="29">
        <f t="shared" si="3"/>
        <v>277.88844621513942</v>
      </c>
      <c r="J243" s="11">
        <v>61504</v>
      </c>
      <c r="K243" s="11" t="s">
        <v>48</v>
      </c>
      <c r="L243" s="11" t="s">
        <v>550</v>
      </c>
      <c r="M243" s="15" t="s">
        <v>551</v>
      </c>
      <c r="N243" s="15">
        <v>85623</v>
      </c>
      <c r="O243" s="15">
        <v>32.599057999999999</v>
      </c>
      <c r="P243" s="15">
        <v>-110.909419</v>
      </c>
      <c r="Q243" s="16">
        <v>2008</v>
      </c>
      <c r="R243" s="16">
        <v>2022</v>
      </c>
      <c r="S243" s="16">
        <v>2</v>
      </c>
      <c r="T243" s="17">
        <v>2.5</v>
      </c>
      <c r="U243" s="11" t="s">
        <v>41</v>
      </c>
      <c r="V243" s="16">
        <v>1</v>
      </c>
      <c r="W243" s="11" t="s">
        <v>662</v>
      </c>
      <c r="X243" s="11" t="s">
        <v>663</v>
      </c>
      <c r="Y243" s="15" t="s">
        <v>554</v>
      </c>
      <c r="Z243" s="11"/>
    </row>
    <row r="244" spans="1:26" x14ac:dyDescent="0.25">
      <c r="A244" s="16">
        <v>22610076</v>
      </c>
      <c r="B244" s="11">
        <v>46129</v>
      </c>
      <c r="C244" s="11">
        <v>46129</v>
      </c>
      <c r="D244" s="11">
        <v>46129</v>
      </c>
      <c r="E244" s="12" t="s">
        <v>37</v>
      </c>
      <c r="F244" s="13">
        <v>715000</v>
      </c>
      <c r="G244" s="13">
        <v>715000</v>
      </c>
      <c r="H244" s="13">
        <v>715000</v>
      </c>
      <c r="I244" s="29">
        <f t="shared" si="3"/>
        <v>300.79932688262517</v>
      </c>
      <c r="J244" s="11">
        <v>61438</v>
      </c>
      <c r="K244" s="11" t="s">
        <v>48</v>
      </c>
      <c r="L244" s="11" t="s">
        <v>572</v>
      </c>
      <c r="M244" s="15" t="s">
        <v>551</v>
      </c>
      <c r="N244" s="15">
        <v>85623</v>
      </c>
      <c r="O244" s="15">
        <v>32.59646</v>
      </c>
      <c r="P244" s="15">
        <v>-110.910464</v>
      </c>
      <c r="Q244" s="16">
        <v>2377</v>
      </c>
      <c r="R244" s="16">
        <v>2021</v>
      </c>
      <c r="S244" s="16">
        <v>0</v>
      </c>
      <c r="T244" s="17">
        <v>0</v>
      </c>
      <c r="U244" s="11" t="s">
        <v>41</v>
      </c>
      <c r="V244" s="16">
        <v>1</v>
      </c>
      <c r="W244" s="11" t="s">
        <v>664</v>
      </c>
      <c r="X244" s="11" t="s">
        <v>665</v>
      </c>
      <c r="Y244" s="15" t="s">
        <v>554</v>
      </c>
      <c r="Z244" s="11"/>
    </row>
    <row r="245" spans="1:26" x14ac:dyDescent="0.25">
      <c r="A245" s="16">
        <v>22600084</v>
      </c>
      <c r="B245" s="11">
        <v>46024</v>
      </c>
      <c r="C245" s="11">
        <v>46141</v>
      </c>
      <c r="D245" s="11">
        <v>46114</v>
      </c>
      <c r="E245" s="12" t="s">
        <v>37</v>
      </c>
      <c r="F245" s="13">
        <v>949000</v>
      </c>
      <c r="G245" s="13">
        <v>899000</v>
      </c>
      <c r="H245" s="13">
        <v>890000</v>
      </c>
      <c r="I245" s="29">
        <f t="shared" si="3"/>
        <v>376.48054145516073</v>
      </c>
      <c r="J245" s="11">
        <v>59894</v>
      </c>
      <c r="K245" s="11" t="s">
        <v>48</v>
      </c>
      <c r="L245" s="11" t="s">
        <v>666</v>
      </c>
      <c r="M245" s="15" t="s">
        <v>551</v>
      </c>
      <c r="N245" s="15">
        <v>85623</v>
      </c>
      <c r="O245" s="15">
        <v>32.592008</v>
      </c>
      <c r="P245" s="15">
        <v>-110.926991</v>
      </c>
      <c r="Q245" s="16">
        <v>2364</v>
      </c>
      <c r="R245" s="16">
        <v>2019</v>
      </c>
      <c r="S245" s="16">
        <v>2</v>
      </c>
      <c r="T245" s="17">
        <v>2.5</v>
      </c>
      <c r="U245" s="11" t="s">
        <v>41</v>
      </c>
      <c r="V245" s="16">
        <v>1</v>
      </c>
      <c r="W245" s="11" t="s">
        <v>667</v>
      </c>
      <c r="X245" s="11" t="s">
        <v>668</v>
      </c>
      <c r="Y245" s="15" t="s">
        <v>554</v>
      </c>
      <c r="Z245" s="11"/>
    </row>
    <row r="246" spans="1:26" x14ac:dyDescent="0.25">
      <c r="A246" s="16">
        <v>22600895</v>
      </c>
      <c r="B246" s="11">
        <v>46032</v>
      </c>
      <c r="C246" s="11">
        <v>46142</v>
      </c>
      <c r="D246" s="11">
        <v>46139</v>
      </c>
      <c r="E246" s="12" t="s">
        <v>37</v>
      </c>
      <c r="F246" s="13">
        <v>695000</v>
      </c>
      <c r="G246" s="13">
        <v>668888</v>
      </c>
      <c r="H246" s="13">
        <v>649000</v>
      </c>
      <c r="I246" s="29">
        <f t="shared" si="3"/>
        <v>289.4736842105263</v>
      </c>
      <c r="J246" s="11">
        <v>32408</v>
      </c>
      <c r="K246" s="11" t="s">
        <v>38</v>
      </c>
      <c r="L246" s="11" t="s">
        <v>617</v>
      </c>
      <c r="M246" s="15" t="s">
        <v>551</v>
      </c>
      <c r="N246" s="15">
        <v>85623</v>
      </c>
      <c r="O246" s="15">
        <v>32.582579000000003</v>
      </c>
      <c r="P246" s="15">
        <v>-110.92703</v>
      </c>
      <c r="Q246" s="16">
        <v>2242</v>
      </c>
      <c r="R246" s="16">
        <v>2014</v>
      </c>
      <c r="S246" s="16">
        <v>2</v>
      </c>
      <c r="T246" s="17">
        <v>2.5</v>
      </c>
      <c r="U246" s="11" t="s">
        <v>41</v>
      </c>
      <c r="V246" s="16">
        <v>1</v>
      </c>
      <c r="W246" s="11" t="s">
        <v>669</v>
      </c>
      <c r="X246" s="11" t="s">
        <v>670</v>
      </c>
      <c r="Y246" s="15" t="s">
        <v>554</v>
      </c>
      <c r="Z246" s="11"/>
    </row>
    <row r="247" spans="1:26" x14ac:dyDescent="0.25">
      <c r="A247" s="16">
        <v>22604354</v>
      </c>
      <c r="B247" s="11">
        <v>46069</v>
      </c>
      <c r="C247" s="11">
        <v>46146</v>
      </c>
      <c r="D247" s="11">
        <v>46104</v>
      </c>
      <c r="E247" s="12" t="s">
        <v>37</v>
      </c>
      <c r="F247" s="13">
        <v>759000</v>
      </c>
      <c r="G247" s="13">
        <v>759000</v>
      </c>
      <c r="H247" s="13">
        <v>750000</v>
      </c>
      <c r="I247" s="29">
        <f t="shared" si="3"/>
        <v>319.14893617021278</v>
      </c>
      <c r="J247" s="11">
        <v>30564</v>
      </c>
      <c r="K247" s="11" t="s">
        <v>38</v>
      </c>
      <c r="L247" s="11" t="s">
        <v>671</v>
      </c>
      <c r="M247" s="15" t="s">
        <v>551</v>
      </c>
      <c r="N247" s="15">
        <v>85623</v>
      </c>
      <c r="O247" s="15">
        <v>32.598840000000003</v>
      </c>
      <c r="P247" s="15">
        <v>-110.90433899999999</v>
      </c>
      <c r="Q247" s="16">
        <v>2350</v>
      </c>
      <c r="R247" s="16">
        <v>2021</v>
      </c>
      <c r="S247" s="16">
        <v>2</v>
      </c>
      <c r="T247" s="17">
        <v>2.5</v>
      </c>
      <c r="U247" s="11" t="s">
        <v>41</v>
      </c>
      <c r="V247" s="16">
        <v>1</v>
      </c>
      <c r="W247" s="11" t="s">
        <v>672</v>
      </c>
      <c r="X247" s="11" t="s">
        <v>673</v>
      </c>
      <c r="Y247" s="15" t="s">
        <v>554</v>
      </c>
      <c r="Z247" s="11"/>
    </row>
    <row r="248" spans="1:26" x14ac:dyDescent="0.25">
      <c r="A248" s="16">
        <v>22602220</v>
      </c>
      <c r="B248" s="11">
        <v>46045</v>
      </c>
      <c r="C248" s="11">
        <v>46146</v>
      </c>
      <c r="D248" s="11">
        <v>46101</v>
      </c>
      <c r="E248" s="12" t="s">
        <v>37</v>
      </c>
      <c r="F248" s="13">
        <v>639000</v>
      </c>
      <c r="G248" s="13">
        <v>639000</v>
      </c>
      <c r="H248" s="13">
        <v>630000</v>
      </c>
      <c r="I248" s="29">
        <f t="shared" si="3"/>
        <v>327.95419052576784</v>
      </c>
      <c r="J248" s="11">
        <v>60685</v>
      </c>
      <c r="K248" s="11" t="s">
        <v>48</v>
      </c>
      <c r="L248" s="11" t="s">
        <v>607</v>
      </c>
      <c r="M248" s="15" t="s">
        <v>551</v>
      </c>
      <c r="N248" s="15">
        <v>85623</v>
      </c>
      <c r="O248" s="15">
        <v>32.584201</v>
      </c>
      <c r="P248" s="15">
        <v>-110.918544</v>
      </c>
      <c r="Q248" s="16">
        <v>1921</v>
      </c>
      <c r="R248" s="16">
        <v>2011</v>
      </c>
      <c r="S248" s="16">
        <v>2</v>
      </c>
      <c r="T248" s="17">
        <v>2.5</v>
      </c>
      <c r="U248" s="11" t="s">
        <v>41</v>
      </c>
      <c r="V248" s="16">
        <v>1</v>
      </c>
      <c r="W248" s="11" t="s">
        <v>674</v>
      </c>
      <c r="X248" s="11" t="s">
        <v>675</v>
      </c>
      <c r="Y248" s="15" t="s">
        <v>554</v>
      </c>
      <c r="Z248" s="11"/>
    </row>
    <row r="249" spans="1:26" x14ac:dyDescent="0.25">
      <c r="A249" s="16">
        <v>22605876</v>
      </c>
      <c r="B249" s="11">
        <v>46085</v>
      </c>
      <c r="C249" s="11">
        <v>46135</v>
      </c>
      <c r="D249" s="11">
        <v>46104</v>
      </c>
      <c r="E249" s="12" t="s">
        <v>37</v>
      </c>
      <c r="F249" s="13">
        <v>399900</v>
      </c>
      <c r="G249" s="13">
        <v>399900</v>
      </c>
      <c r="H249" s="13">
        <v>399900</v>
      </c>
      <c r="I249" s="29">
        <f t="shared" si="3"/>
        <v>241.63141993957703</v>
      </c>
      <c r="J249" s="11">
        <v>30679</v>
      </c>
      <c r="K249" s="11" t="s">
        <v>38</v>
      </c>
      <c r="L249" s="11" t="s">
        <v>676</v>
      </c>
      <c r="M249" s="15" t="s">
        <v>551</v>
      </c>
      <c r="N249" s="15">
        <v>85623</v>
      </c>
      <c r="O249" s="15">
        <v>32.597881000000001</v>
      </c>
      <c r="P249" s="15">
        <v>-110.900111</v>
      </c>
      <c r="Q249" s="16">
        <v>1655</v>
      </c>
      <c r="R249" s="16">
        <v>2025</v>
      </c>
      <c r="S249" s="16">
        <v>2</v>
      </c>
      <c r="T249" s="17">
        <v>2</v>
      </c>
      <c r="U249" s="11" t="s">
        <v>510</v>
      </c>
      <c r="V249" s="16">
        <v>1</v>
      </c>
      <c r="W249" s="11" t="s">
        <v>677</v>
      </c>
      <c r="X249" s="11" t="s">
        <v>678</v>
      </c>
      <c r="Y249" s="15" t="s">
        <v>554</v>
      </c>
      <c r="Z249" s="11"/>
    </row>
    <row r="250" spans="1:26" x14ac:dyDescent="0.25">
      <c r="A250" s="16">
        <v>22530499</v>
      </c>
      <c r="B250" s="11">
        <v>45986</v>
      </c>
      <c r="C250" s="11">
        <v>46154</v>
      </c>
      <c r="D250" s="11">
        <v>46149</v>
      </c>
      <c r="E250" s="12" t="s">
        <v>37</v>
      </c>
      <c r="F250" s="13">
        <v>479900</v>
      </c>
      <c r="G250" s="13">
        <v>449000</v>
      </c>
      <c r="H250" s="13">
        <v>449000</v>
      </c>
      <c r="I250" s="29">
        <f t="shared" si="3"/>
        <v>248.34070796460176</v>
      </c>
      <c r="J250" s="11">
        <v>61386</v>
      </c>
      <c r="K250" s="11" t="s">
        <v>48</v>
      </c>
      <c r="L250" s="11" t="s">
        <v>679</v>
      </c>
      <c r="M250" s="15" t="s">
        <v>551</v>
      </c>
      <c r="N250" s="15">
        <v>85623</v>
      </c>
      <c r="O250" s="15">
        <v>32.594746999999998</v>
      </c>
      <c r="P250" s="15">
        <v>-110.910982</v>
      </c>
      <c r="Q250" s="16">
        <v>1808</v>
      </c>
      <c r="R250" s="16">
        <v>2020</v>
      </c>
      <c r="S250" s="16">
        <v>2</v>
      </c>
      <c r="T250" s="17">
        <v>2</v>
      </c>
      <c r="U250" s="11" t="s">
        <v>41</v>
      </c>
      <c r="V250" s="16">
        <v>1</v>
      </c>
      <c r="W250" s="11" t="s">
        <v>680</v>
      </c>
      <c r="X250" s="11" t="s">
        <v>681</v>
      </c>
      <c r="Y250" s="15" t="s">
        <v>554</v>
      </c>
      <c r="Z250" s="11"/>
    </row>
    <row r="251" spans="1:26" x14ac:dyDescent="0.25">
      <c r="A251" s="16">
        <v>22607048</v>
      </c>
      <c r="B251" s="11">
        <v>46097</v>
      </c>
      <c r="C251" s="11">
        <v>46156</v>
      </c>
      <c r="D251" s="11">
        <v>46144</v>
      </c>
      <c r="E251" s="12" t="s">
        <v>37</v>
      </c>
      <c r="F251" s="13">
        <v>759000</v>
      </c>
      <c r="G251" s="13">
        <v>759000</v>
      </c>
      <c r="H251" s="13">
        <v>750000</v>
      </c>
      <c r="I251" s="29">
        <f t="shared" si="3"/>
        <v>329.81530343007915</v>
      </c>
      <c r="J251" s="11">
        <v>30641</v>
      </c>
      <c r="K251" s="11" t="s">
        <v>38</v>
      </c>
      <c r="L251" s="11" t="s">
        <v>671</v>
      </c>
      <c r="M251" s="15" t="s">
        <v>551</v>
      </c>
      <c r="N251" s="15">
        <v>85623</v>
      </c>
      <c r="O251" s="15">
        <v>32.598374</v>
      </c>
      <c r="P251" s="15">
        <v>-110.903386</v>
      </c>
      <c r="Q251" s="16">
        <v>2274</v>
      </c>
      <c r="R251" s="16">
        <v>2021</v>
      </c>
      <c r="S251" s="16">
        <v>2</v>
      </c>
      <c r="T251" s="17">
        <v>2.5</v>
      </c>
      <c r="U251" s="11" t="s">
        <v>41</v>
      </c>
      <c r="V251" s="16">
        <v>1</v>
      </c>
      <c r="W251" s="11" t="s">
        <v>682</v>
      </c>
      <c r="X251" s="11" t="s">
        <v>683</v>
      </c>
      <c r="Y251" s="15" t="s">
        <v>554</v>
      </c>
      <c r="Z251" s="11"/>
    </row>
    <row r="252" spans="1:26" x14ac:dyDescent="0.25">
      <c r="A252" s="22">
        <v>22600385</v>
      </c>
      <c r="B252" s="18">
        <v>46027</v>
      </c>
      <c r="C252" s="18">
        <v>46157</v>
      </c>
      <c r="D252" s="18">
        <v>46144</v>
      </c>
      <c r="E252" s="19" t="s">
        <v>37</v>
      </c>
      <c r="F252" s="20">
        <v>645000</v>
      </c>
      <c r="G252" s="13">
        <v>599000</v>
      </c>
      <c r="H252" s="20">
        <v>580000</v>
      </c>
      <c r="I252" s="29">
        <f t="shared" si="3"/>
        <v>297.2834443874936</v>
      </c>
      <c r="J252" s="18">
        <v>61841</v>
      </c>
      <c r="K252" s="18" t="s">
        <v>48</v>
      </c>
      <c r="L252" s="18" t="s">
        <v>633</v>
      </c>
      <c r="M252" s="21" t="s">
        <v>551</v>
      </c>
      <c r="N252" s="21">
        <v>85623</v>
      </c>
      <c r="O252" s="21">
        <v>32.601356000000003</v>
      </c>
      <c r="P252" s="21">
        <v>-110.906071</v>
      </c>
      <c r="Q252" s="22">
        <v>1951</v>
      </c>
      <c r="R252" s="19">
        <v>2025</v>
      </c>
      <c r="S252" s="22">
        <v>2</v>
      </c>
      <c r="T252" s="23">
        <v>2.5</v>
      </c>
      <c r="U252" s="18" t="s">
        <v>41</v>
      </c>
      <c r="V252" s="22">
        <v>1</v>
      </c>
      <c r="W252" s="18" t="s">
        <v>684</v>
      </c>
      <c r="X252" s="18" t="s">
        <v>685</v>
      </c>
      <c r="Y252" s="21" t="s">
        <v>554</v>
      </c>
      <c r="Z252" s="18"/>
    </row>
    <row r="253" spans="1:26" x14ac:dyDescent="0.25">
      <c r="A253" s="16">
        <v>22606007</v>
      </c>
      <c r="B253" s="11">
        <v>46086</v>
      </c>
      <c r="C253" s="11">
        <v>46168</v>
      </c>
      <c r="D253" s="11">
        <v>46126</v>
      </c>
      <c r="E253" s="12" t="s">
        <v>37</v>
      </c>
      <c r="F253" s="13">
        <v>584900</v>
      </c>
      <c r="G253" s="13">
        <v>584900</v>
      </c>
      <c r="H253" s="13">
        <v>563900</v>
      </c>
      <c r="I253" s="29">
        <f t="shared" si="3"/>
        <v>274.80506822612085</v>
      </c>
      <c r="J253" s="11">
        <v>62084</v>
      </c>
      <c r="K253" s="11" t="s">
        <v>48</v>
      </c>
      <c r="L253" s="11" t="s">
        <v>686</v>
      </c>
      <c r="M253" s="15" t="s">
        <v>551</v>
      </c>
      <c r="N253" s="15">
        <v>85623</v>
      </c>
      <c r="O253" s="15">
        <v>32.602415000000001</v>
      </c>
      <c r="P253" s="15">
        <v>-110.904256</v>
      </c>
      <c r="Q253" s="16">
        <v>2052</v>
      </c>
      <c r="R253" s="16">
        <v>2025</v>
      </c>
      <c r="S253" s="16">
        <v>2</v>
      </c>
      <c r="T253" s="17">
        <v>2.5</v>
      </c>
      <c r="U253" s="11" t="s">
        <v>510</v>
      </c>
      <c r="V253" s="16">
        <v>1</v>
      </c>
      <c r="W253" s="11" t="s">
        <v>687</v>
      </c>
      <c r="X253" s="11" t="s">
        <v>688</v>
      </c>
      <c r="Y253" s="15" t="s">
        <v>554</v>
      </c>
      <c r="Z253" s="11"/>
    </row>
    <row r="254" spans="1:26" x14ac:dyDescent="0.25">
      <c r="A254" s="16">
        <v>22600886</v>
      </c>
      <c r="B254" s="11">
        <v>46031</v>
      </c>
      <c r="C254" s="11">
        <v>46169</v>
      </c>
      <c r="D254" s="11">
        <v>46168</v>
      </c>
      <c r="E254" s="12" t="s">
        <v>37</v>
      </c>
      <c r="F254" s="13">
        <v>624950</v>
      </c>
      <c r="G254" s="13">
        <v>624950</v>
      </c>
      <c r="H254" s="13">
        <v>600000</v>
      </c>
      <c r="I254" s="29">
        <f t="shared" si="3"/>
        <v>307.53459764223476</v>
      </c>
      <c r="J254" s="11">
        <v>30967</v>
      </c>
      <c r="K254" s="11" t="s">
        <v>38</v>
      </c>
      <c r="L254" s="11" t="s">
        <v>689</v>
      </c>
      <c r="M254" s="15" t="s">
        <v>551</v>
      </c>
      <c r="N254" s="15">
        <v>85623</v>
      </c>
      <c r="O254" s="15">
        <v>32.595343</v>
      </c>
      <c r="P254" s="15">
        <v>-110.90967999999999</v>
      </c>
      <c r="Q254" s="16">
        <v>1951</v>
      </c>
      <c r="R254" s="16">
        <v>2021</v>
      </c>
      <c r="S254" s="16">
        <v>2</v>
      </c>
      <c r="T254" s="17">
        <v>2.5</v>
      </c>
      <c r="U254" s="11" t="s">
        <v>41</v>
      </c>
      <c r="V254" s="16">
        <v>1</v>
      </c>
      <c r="W254" s="11" t="s">
        <v>690</v>
      </c>
      <c r="X254" s="11" t="s">
        <v>691</v>
      </c>
      <c r="Y254" s="15" t="s">
        <v>554</v>
      </c>
      <c r="Z254" s="11"/>
    </row>
    <row r="255" spans="1:26" x14ac:dyDescent="0.25">
      <c r="A255" s="16">
        <v>22606871</v>
      </c>
      <c r="B255" s="11">
        <v>46091</v>
      </c>
      <c r="C255" s="11">
        <v>46170</v>
      </c>
      <c r="D255" s="11">
        <v>46163</v>
      </c>
      <c r="E255" s="12" t="s">
        <v>37</v>
      </c>
      <c r="F255" s="13">
        <v>795000</v>
      </c>
      <c r="G255" s="13">
        <v>795000</v>
      </c>
      <c r="H255" s="13">
        <v>780000</v>
      </c>
      <c r="I255" s="29">
        <f t="shared" si="3"/>
        <v>308.78859857482183</v>
      </c>
      <c r="J255" s="11">
        <v>59900</v>
      </c>
      <c r="K255" s="11" t="s">
        <v>48</v>
      </c>
      <c r="L255" s="11" t="s">
        <v>692</v>
      </c>
      <c r="M255" s="15" t="s">
        <v>551</v>
      </c>
      <c r="N255" s="15">
        <v>85623</v>
      </c>
      <c r="O255" s="15">
        <v>32.587409999999998</v>
      </c>
      <c r="P255" s="15">
        <v>-110.92712400000001</v>
      </c>
      <c r="Q255" s="16">
        <v>2526</v>
      </c>
      <c r="R255" s="16">
        <v>2013</v>
      </c>
      <c r="S255" s="16">
        <v>2</v>
      </c>
      <c r="T255" s="17">
        <v>2.5</v>
      </c>
      <c r="U255" s="11" t="s">
        <v>41</v>
      </c>
      <c r="V255" s="16">
        <v>1</v>
      </c>
      <c r="W255" s="11" t="s">
        <v>693</v>
      </c>
      <c r="X255" s="11" t="s">
        <v>694</v>
      </c>
      <c r="Y255" s="15" t="s">
        <v>554</v>
      </c>
      <c r="Z255" s="11"/>
    </row>
    <row r="256" spans="1:26" x14ac:dyDescent="0.25">
      <c r="A256" s="16">
        <v>22608334</v>
      </c>
      <c r="B256" s="11">
        <v>46113</v>
      </c>
      <c r="C256" s="11">
        <v>46170</v>
      </c>
      <c r="D256" s="11">
        <v>46169</v>
      </c>
      <c r="E256" s="12" t="s">
        <v>37</v>
      </c>
      <c r="F256" s="13">
        <v>587500</v>
      </c>
      <c r="G256" s="13">
        <v>587500</v>
      </c>
      <c r="H256" s="13">
        <v>570000</v>
      </c>
      <c r="I256" s="29">
        <f t="shared" si="3"/>
        <v>309.1106290672451</v>
      </c>
      <c r="J256" s="11">
        <v>32905</v>
      </c>
      <c r="K256" s="11" t="s">
        <v>38</v>
      </c>
      <c r="L256" s="11" t="s">
        <v>695</v>
      </c>
      <c r="M256" s="15" t="s">
        <v>551</v>
      </c>
      <c r="N256" s="15">
        <v>85623</v>
      </c>
      <c r="O256" s="15">
        <v>32.577640000000002</v>
      </c>
      <c r="P256" s="15">
        <v>-110.929186</v>
      </c>
      <c r="Q256" s="16">
        <v>1844</v>
      </c>
      <c r="R256" s="16">
        <v>2016</v>
      </c>
      <c r="S256" s="16">
        <v>2</v>
      </c>
      <c r="T256" s="17">
        <v>2.5</v>
      </c>
      <c r="U256" s="11" t="s">
        <v>510</v>
      </c>
      <c r="V256" s="16">
        <v>1</v>
      </c>
      <c r="W256" s="11" t="s">
        <v>696</v>
      </c>
      <c r="X256" s="11" t="s">
        <v>697</v>
      </c>
      <c r="Y256" s="15" t="s">
        <v>554</v>
      </c>
      <c r="Z256" s="11"/>
    </row>
    <row r="257" spans="1:26" x14ac:dyDescent="0.25">
      <c r="A257" s="22">
        <v>22531929</v>
      </c>
      <c r="B257" s="18">
        <v>46008</v>
      </c>
      <c r="C257" s="18">
        <v>46170</v>
      </c>
      <c r="D257" s="18">
        <v>46157</v>
      </c>
      <c r="E257" s="19" t="s">
        <v>37</v>
      </c>
      <c r="F257" s="20">
        <v>529000</v>
      </c>
      <c r="G257" s="13">
        <v>498888</v>
      </c>
      <c r="H257" s="20">
        <v>496000</v>
      </c>
      <c r="I257" s="29">
        <f t="shared" si="3"/>
        <v>291.59318048206939</v>
      </c>
      <c r="J257" s="18">
        <v>31655</v>
      </c>
      <c r="K257" s="18" t="s">
        <v>38</v>
      </c>
      <c r="L257" s="18" t="s">
        <v>698</v>
      </c>
      <c r="M257" s="21" t="s">
        <v>551</v>
      </c>
      <c r="N257" s="21">
        <v>85623</v>
      </c>
      <c r="O257" s="21">
        <v>32.589227000000001</v>
      </c>
      <c r="P257" s="21">
        <v>-110.928788</v>
      </c>
      <c r="Q257" s="22">
        <v>1701</v>
      </c>
      <c r="R257" s="19">
        <v>2018</v>
      </c>
      <c r="S257" s="22">
        <v>2</v>
      </c>
      <c r="T257" s="23">
        <v>2</v>
      </c>
      <c r="U257" s="18" t="s">
        <v>41</v>
      </c>
      <c r="V257" s="22">
        <v>1</v>
      </c>
      <c r="W257" s="18" t="s">
        <v>699</v>
      </c>
      <c r="X257" s="18" t="s">
        <v>700</v>
      </c>
      <c r="Y257" s="21" t="s">
        <v>554</v>
      </c>
      <c r="Z257" s="18"/>
    </row>
    <row r="258" spans="1:26" x14ac:dyDescent="0.25">
      <c r="A258" s="16">
        <v>22603331</v>
      </c>
      <c r="B258" s="11">
        <v>46057</v>
      </c>
      <c r="C258" s="11">
        <v>46171</v>
      </c>
      <c r="D258" s="11">
        <v>46156</v>
      </c>
      <c r="E258" s="12" t="s">
        <v>37</v>
      </c>
      <c r="F258" s="13">
        <v>624900</v>
      </c>
      <c r="G258" s="13">
        <v>610000</v>
      </c>
      <c r="H258" s="13">
        <v>610000</v>
      </c>
      <c r="I258" s="29">
        <f t="shared" ref="I258:I321" si="4">H258/Q258</f>
        <v>307.61472516389307</v>
      </c>
      <c r="J258" s="11">
        <v>62237</v>
      </c>
      <c r="K258" s="11" t="s">
        <v>48</v>
      </c>
      <c r="L258" s="11" t="s">
        <v>584</v>
      </c>
      <c r="M258" s="15" t="s">
        <v>551</v>
      </c>
      <c r="N258" s="15">
        <v>85623</v>
      </c>
      <c r="O258" s="15">
        <v>32.596141000000003</v>
      </c>
      <c r="P258" s="15">
        <v>-110.901768</v>
      </c>
      <c r="Q258" s="16">
        <v>1983</v>
      </c>
      <c r="R258" s="16">
        <v>2021</v>
      </c>
      <c r="S258" s="16">
        <v>2</v>
      </c>
      <c r="T258" s="17">
        <v>2.5</v>
      </c>
      <c r="U258" s="11" t="s">
        <v>41</v>
      </c>
      <c r="V258" s="16">
        <v>1</v>
      </c>
      <c r="W258" s="11" t="s">
        <v>701</v>
      </c>
      <c r="X258" s="11" t="s">
        <v>702</v>
      </c>
      <c r="Y258" s="15" t="s">
        <v>554</v>
      </c>
      <c r="Z258" s="11"/>
    </row>
    <row r="259" spans="1:26" x14ac:dyDescent="0.25">
      <c r="A259" s="16">
        <v>22529301</v>
      </c>
      <c r="B259" s="11">
        <v>45971</v>
      </c>
      <c r="C259" s="11">
        <v>46171</v>
      </c>
      <c r="D259" s="11">
        <v>46170</v>
      </c>
      <c r="E259" s="12" t="s">
        <v>37</v>
      </c>
      <c r="F259" s="13">
        <v>949950</v>
      </c>
      <c r="G259" s="13">
        <v>939950</v>
      </c>
      <c r="H259" s="13">
        <v>939000</v>
      </c>
      <c r="I259" s="29">
        <f t="shared" si="4"/>
        <v>358.26020602823348</v>
      </c>
      <c r="J259" s="11">
        <v>31634</v>
      </c>
      <c r="K259" s="11" t="s">
        <v>38</v>
      </c>
      <c r="L259" s="11" t="s">
        <v>703</v>
      </c>
      <c r="M259" s="15" t="s">
        <v>551</v>
      </c>
      <c r="N259" s="15">
        <v>85623</v>
      </c>
      <c r="O259" s="15">
        <v>32.589069000000002</v>
      </c>
      <c r="P259" s="15">
        <v>-110.917056</v>
      </c>
      <c r="Q259" s="16">
        <v>2621</v>
      </c>
      <c r="R259" s="16">
        <v>2015</v>
      </c>
      <c r="S259" s="16">
        <v>2</v>
      </c>
      <c r="T259" s="17">
        <v>2.5</v>
      </c>
      <c r="U259" s="11" t="s">
        <v>41</v>
      </c>
      <c r="V259" s="16">
        <v>1</v>
      </c>
      <c r="W259" s="11" t="s">
        <v>704</v>
      </c>
      <c r="X259" s="11" t="s">
        <v>705</v>
      </c>
      <c r="Y259" s="15" t="s">
        <v>554</v>
      </c>
      <c r="Z259" s="11"/>
    </row>
    <row r="260" spans="1:26" x14ac:dyDescent="0.25">
      <c r="A260" s="16">
        <v>22530167</v>
      </c>
      <c r="B260" s="11">
        <v>45980</v>
      </c>
      <c r="C260" s="11">
        <v>46037</v>
      </c>
      <c r="D260" s="11">
        <v>45997</v>
      </c>
      <c r="E260" s="12" t="s">
        <v>37</v>
      </c>
      <c r="F260" s="13">
        <v>397500</v>
      </c>
      <c r="G260" s="13">
        <v>397500</v>
      </c>
      <c r="H260" s="13">
        <v>390000</v>
      </c>
      <c r="I260" s="29">
        <f t="shared" si="4"/>
        <v>269.52315134761574</v>
      </c>
      <c r="J260" s="11">
        <v>981</v>
      </c>
      <c r="K260" s="11" t="s">
        <v>706</v>
      </c>
      <c r="L260" s="11" t="s">
        <v>707</v>
      </c>
      <c r="M260" s="15" t="s">
        <v>708</v>
      </c>
      <c r="N260" s="15">
        <v>85614</v>
      </c>
      <c r="O260" s="15">
        <v>31.883959000000001</v>
      </c>
      <c r="P260" s="15">
        <v>-110.947896</v>
      </c>
      <c r="Q260" s="16">
        <v>1447</v>
      </c>
      <c r="R260" s="16">
        <v>2016</v>
      </c>
      <c r="S260" s="16">
        <v>2</v>
      </c>
      <c r="T260" s="17">
        <v>2</v>
      </c>
      <c r="U260" s="11" t="s">
        <v>41</v>
      </c>
      <c r="V260" s="16">
        <v>1</v>
      </c>
      <c r="W260" s="11" t="s">
        <v>709</v>
      </c>
      <c r="X260" s="11" t="s">
        <v>710</v>
      </c>
      <c r="Y260" s="15" t="s">
        <v>711</v>
      </c>
      <c r="Z260" s="11"/>
    </row>
    <row r="261" spans="1:26" x14ac:dyDescent="0.25">
      <c r="A261" s="16">
        <v>22605427</v>
      </c>
      <c r="B261" s="11">
        <v>46080</v>
      </c>
      <c r="C261" s="11">
        <v>46154</v>
      </c>
      <c r="D261" s="11">
        <v>46111</v>
      </c>
      <c r="E261" s="12" t="s">
        <v>37</v>
      </c>
      <c r="F261" s="13">
        <v>639000</v>
      </c>
      <c r="G261" s="13">
        <v>639000</v>
      </c>
      <c r="H261" s="13">
        <v>625000</v>
      </c>
      <c r="I261" s="29">
        <f t="shared" si="4"/>
        <v>328.94736842105266</v>
      </c>
      <c r="J261" s="11">
        <v>1605</v>
      </c>
      <c r="K261" s="11" t="s">
        <v>48</v>
      </c>
      <c r="L261" s="11" t="s">
        <v>712</v>
      </c>
      <c r="M261" s="15" t="s">
        <v>708</v>
      </c>
      <c r="N261" s="15">
        <v>85614</v>
      </c>
      <c r="O261" s="15">
        <v>31.898104</v>
      </c>
      <c r="P261" s="15">
        <v>-110.952016</v>
      </c>
      <c r="Q261" s="16">
        <v>1900</v>
      </c>
      <c r="R261" s="16">
        <v>2023</v>
      </c>
      <c r="S261" s="16">
        <v>2</v>
      </c>
      <c r="T261" s="17">
        <v>2.5</v>
      </c>
      <c r="U261" s="11" t="s">
        <v>41</v>
      </c>
      <c r="V261" s="16">
        <v>1</v>
      </c>
      <c r="W261" s="11" t="s">
        <v>713</v>
      </c>
      <c r="X261" s="11" t="s">
        <v>714</v>
      </c>
      <c r="Y261" s="15" t="s">
        <v>711</v>
      </c>
      <c r="Z261" s="11"/>
    </row>
    <row r="262" spans="1:26" x14ac:dyDescent="0.25">
      <c r="A262" s="16">
        <v>22524767</v>
      </c>
      <c r="B262" s="11">
        <v>45923</v>
      </c>
      <c r="C262" s="11">
        <v>46014</v>
      </c>
      <c r="D262" s="11">
        <v>45997</v>
      </c>
      <c r="E262" s="12" t="s">
        <v>37</v>
      </c>
      <c r="F262" s="13">
        <v>579900</v>
      </c>
      <c r="G262" s="13">
        <v>579900</v>
      </c>
      <c r="H262" s="13">
        <v>545000</v>
      </c>
      <c r="I262" s="29">
        <f t="shared" si="4"/>
        <v>298.46659364731653</v>
      </c>
      <c r="J262" s="11">
        <v>551</v>
      </c>
      <c r="K262" s="11" t="s">
        <v>706</v>
      </c>
      <c r="L262" s="11" t="s">
        <v>715</v>
      </c>
      <c r="M262" s="15" t="s">
        <v>708</v>
      </c>
      <c r="N262" s="15">
        <v>85614</v>
      </c>
      <c r="O262" s="15">
        <v>31.878356</v>
      </c>
      <c r="P262" s="15">
        <v>-110.92948</v>
      </c>
      <c r="Q262" s="16">
        <v>1826</v>
      </c>
      <c r="R262" s="16">
        <v>2007</v>
      </c>
      <c r="S262" s="16">
        <v>3</v>
      </c>
      <c r="T262" s="17">
        <v>3</v>
      </c>
      <c r="U262" s="11" t="s">
        <v>41</v>
      </c>
      <c r="V262" s="16">
        <v>1</v>
      </c>
      <c r="W262" s="11" t="s">
        <v>716</v>
      </c>
      <c r="X262" s="11" t="s">
        <v>717</v>
      </c>
      <c r="Y262" s="15" t="s">
        <v>711</v>
      </c>
      <c r="Z262" s="11"/>
    </row>
    <row r="263" spans="1:26" x14ac:dyDescent="0.25">
      <c r="A263" s="16">
        <v>22527856</v>
      </c>
      <c r="B263" s="11">
        <v>45957</v>
      </c>
      <c r="C263" s="11">
        <v>46042</v>
      </c>
      <c r="D263" s="11">
        <v>46038</v>
      </c>
      <c r="E263" s="12" t="s">
        <v>37</v>
      </c>
      <c r="F263" s="13">
        <v>340000</v>
      </c>
      <c r="G263" s="13">
        <v>340000</v>
      </c>
      <c r="H263" s="13">
        <v>340000</v>
      </c>
      <c r="I263" s="29">
        <f t="shared" si="4"/>
        <v>264.38569206842925</v>
      </c>
      <c r="J263" s="11">
        <v>844</v>
      </c>
      <c r="K263" s="11"/>
      <c r="L263" s="11" t="s">
        <v>707</v>
      </c>
      <c r="M263" s="15" t="s">
        <v>708</v>
      </c>
      <c r="N263" s="15">
        <v>85614</v>
      </c>
      <c r="O263" s="15">
        <v>31.882217000000001</v>
      </c>
      <c r="P263" s="15">
        <v>-110.94409400000001</v>
      </c>
      <c r="Q263" s="16">
        <v>1286</v>
      </c>
      <c r="R263" s="16">
        <v>2016</v>
      </c>
      <c r="S263" s="16">
        <v>2</v>
      </c>
      <c r="T263" s="17">
        <v>2</v>
      </c>
      <c r="U263" s="11" t="s">
        <v>41</v>
      </c>
      <c r="V263" s="16">
        <v>1</v>
      </c>
      <c r="W263" s="11" t="s">
        <v>718</v>
      </c>
      <c r="X263" s="11" t="s">
        <v>719</v>
      </c>
      <c r="Y263" s="15" t="s">
        <v>711</v>
      </c>
      <c r="Z263" s="11"/>
    </row>
    <row r="264" spans="1:26" x14ac:dyDescent="0.25">
      <c r="A264" s="16">
        <v>22500815</v>
      </c>
      <c r="B264" s="11">
        <v>45640</v>
      </c>
      <c r="C264" s="11">
        <v>46010</v>
      </c>
      <c r="D264" s="11">
        <v>46010</v>
      </c>
      <c r="E264" s="12" t="s">
        <v>37</v>
      </c>
      <c r="F264" s="13">
        <v>489000</v>
      </c>
      <c r="G264" s="13">
        <v>420000</v>
      </c>
      <c r="H264" s="13">
        <v>435000</v>
      </c>
      <c r="I264" s="29">
        <f t="shared" si="4"/>
        <v>218.15446339017052</v>
      </c>
      <c r="J264" s="11">
        <v>2435</v>
      </c>
      <c r="K264" s="11" t="s">
        <v>48</v>
      </c>
      <c r="L264" s="11" t="s">
        <v>720</v>
      </c>
      <c r="M264" s="15" t="s">
        <v>708</v>
      </c>
      <c r="N264" s="15">
        <v>85614</v>
      </c>
      <c r="O264" s="15">
        <v>31.882697</v>
      </c>
      <c r="P264" s="15">
        <v>-110.935316</v>
      </c>
      <c r="Q264" s="16">
        <v>1994</v>
      </c>
      <c r="R264" s="16">
        <v>2005</v>
      </c>
      <c r="S264" s="16">
        <v>2</v>
      </c>
      <c r="T264" s="17">
        <v>2</v>
      </c>
      <c r="U264" s="11" t="s">
        <v>41</v>
      </c>
      <c r="V264" s="16">
        <v>1</v>
      </c>
      <c r="W264" s="11" t="s">
        <v>721</v>
      </c>
      <c r="X264" s="11" t="s">
        <v>722</v>
      </c>
      <c r="Y264" s="15" t="s">
        <v>711</v>
      </c>
      <c r="Z264" s="11"/>
    </row>
    <row r="265" spans="1:26" x14ac:dyDescent="0.25">
      <c r="A265" s="22">
        <v>22610301</v>
      </c>
      <c r="B265" s="18">
        <v>46132</v>
      </c>
      <c r="C265" s="18">
        <v>46169</v>
      </c>
      <c r="D265" s="18">
        <v>46155</v>
      </c>
      <c r="E265" s="19" t="s">
        <v>37</v>
      </c>
      <c r="F265" s="20">
        <v>375000</v>
      </c>
      <c r="G265" s="13">
        <v>375000</v>
      </c>
      <c r="H265" s="20">
        <v>375000</v>
      </c>
      <c r="I265" s="29">
        <f t="shared" si="4"/>
        <v>261.87150837988827</v>
      </c>
      <c r="J265" s="18">
        <v>826</v>
      </c>
      <c r="K265" s="18" t="s">
        <v>706</v>
      </c>
      <c r="L265" s="18" t="s">
        <v>723</v>
      </c>
      <c r="M265" s="21" t="s">
        <v>708</v>
      </c>
      <c r="N265" s="21">
        <v>85614</v>
      </c>
      <c r="O265" s="21">
        <v>31.882742</v>
      </c>
      <c r="P265" s="21">
        <v>-110.938787</v>
      </c>
      <c r="Q265" s="22">
        <v>1432</v>
      </c>
      <c r="R265" s="19">
        <v>2006</v>
      </c>
      <c r="S265" s="22">
        <v>2</v>
      </c>
      <c r="T265" s="23">
        <v>2</v>
      </c>
      <c r="U265" s="18" t="s">
        <v>41</v>
      </c>
      <c r="V265" s="22">
        <v>1</v>
      </c>
      <c r="W265" s="18" t="s">
        <v>724</v>
      </c>
      <c r="X265" s="18" t="s">
        <v>725</v>
      </c>
      <c r="Y265" s="21" t="s">
        <v>711</v>
      </c>
      <c r="Z265" s="18"/>
    </row>
    <row r="266" spans="1:26" x14ac:dyDescent="0.25">
      <c r="A266" s="16">
        <v>22601213</v>
      </c>
      <c r="B266" s="11">
        <v>46035</v>
      </c>
      <c r="C266" s="11">
        <v>46080</v>
      </c>
      <c r="D266" s="11">
        <v>46079</v>
      </c>
      <c r="E266" s="12" t="s">
        <v>37</v>
      </c>
      <c r="F266" s="13">
        <v>329900</v>
      </c>
      <c r="G266" s="13">
        <v>329900</v>
      </c>
      <c r="H266" s="13">
        <v>321000</v>
      </c>
      <c r="I266" s="29">
        <f t="shared" si="4"/>
        <v>193.1407942238267</v>
      </c>
      <c r="J266" s="11">
        <v>1963</v>
      </c>
      <c r="K266" s="11" t="s">
        <v>48</v>
      </c>
      <c r="L266" s="11" t="s">
        <v>726</v>
      </c>
      <c r="M266" s="15" t="s">
        <v>708</v>
      </c>
      <c r="N266" s="15">
        <v>85614</v>
      </c>
      <c r="O266" s="15">
        <v>31.885498999999999</v>
      </c>
      <c r="P266" s="15">
        <v>-110.944714</v>
      </c>
      <c r="Q266" s="16">
        <v>1662</v>
      </c>
      <c r="R266" s="16">
        <v>2002</v>
      </c>
      <c r="S266" s="16">
        <v>2</v>
      </c>
      <c r="T266" s="17">
        <v>2</v>
      </c>
      <c r="U266" s="11" t="s">
        <v>41</v>
      </c>
      <c r="V266" s="16">
        <v>1</v>
      </c>
      <c r="W266" s="11" t="s">
        <v>727</v>
      </c>
      <c r="X266" s="11" t="s">
        <v>728</v>
      </c>
      <c r="Y266" s="15" t="s">
        <v>711</v>
      </c>
      <c r="Z266" s="11"/>
    </row>
    <row r="267" spans="1:26" x14ac:dyDescent="0.25">
      <c r="A267" s="16">
        <v>22527807</v>
      </c>
      <c r="B267" s="11">
        <v>45955</v>
      </c>
      <c r="C267" s="11">
        <v>46107</v>
      </c>
      <c r="D267" s="11">
        <v>46094</v>
      </c>
      <c r="E267" s="12" t="s">
        <v>37</v>
      </c>
      <c r="F267" s="13">
        <v>472000</v>
      </c>
      <c r="G267" s="13">
        <v>472000</v>
      </c>
      <c r="H267" s="13">
        <v>450000</v>
      </c>
      <c r="I267" s="29">
        <f t="shared" si="4"/>
        <v>246.44030668127053</v>
      </c>
      <c r="J267" s="11">
        <v>1821</v>
      </c>
      <c r="K267" s="11" t="s">
        <v>48</v>
      </c>
      <c r="L267" s="11" t="s">
        <v>729</v>
      </c>
      <c r="M267" s="15" t="s">
        <v>708</v>
      </c>
      <c r="N267" s="15">
        <v>85614</v>
      </c>
      <c r="O267" s="15">
        <v>31.890626000000001</v>
      </c>
      <c r="P267" s="15">
        <v>-110.94776</v>
      </c>
      <c r="Q267" s="16">
        <v>1826</v>
      </c>
      <c r="R267" s="16">
        <v>2002</v>
      </c>
      <c r="S267" s="16">
        <v>2</v>
      </c>
      <c r="T267" s="17">
        <v>2</v>
      </c>
      <c r="U267" s="11" t="s">
        <v>41</v>
      </c>
      <c r="V267" s="16">
        <v>1</v>
      </c>
      <c r="W267" s="11" t="s">
        <v>730</v>
      </c>
      <c r="X267" s="11" t="s">
        <v>731</v>
      </c>
      <c r="Y267" s="15" t="s">
        <v>711</v>
      </c>
      <c r="Z267" s="11"/>
    </row>
    <row r="268" spans="1:26" x14ac:dyDescent="0.25">
      <c r="A268" s="16">
        <v>22523537</v>
      </c>
      <c r="B268" s="11">
        <v>45909</v>
      </c>
      <c r="C268" s="11">
        <v>46101</v>
      </c>
      <c r="D268" s="11">
        <v>46100</v>
      </c>
      <c r="E268" s="12" t="s">
        <v>37</v>
      </c>
      <c r="F268" s="13">
        <v>385000</v>
      </c>
      <c r="G268" s="13">
        <v>329000</v>
      </c>
      <c r="H268" s="13">
        <v>330000</v>
      </c>
      <c r="I268" s="29">
        <f t="shared" si="4"/>
        <v>230.44692737430168</v>
      </c>
      <c r="J268" s="11">
        <v>1781</v>
      </c>
      <c r="K268" s="11" t="s">
        <v>48</v>
      </c>
      <c r="L268" s="11" t="s">
        <v>729</v>
      </c>
      <c r="M268" s="15" t="s">
        <v>708</v>
      </c>
      <c r="N268" s="15">
        <v>85614</v>
      </c>
      <c r="O268" s="15">
        <v>31.891141000000001</v>
      </c>
      <c r="P268" s="15">
        <v>-110.948553</v>
      </c>
      <c r="Q268" s="16">
        <v>1432</v>
      </c>
      <c r="R268" s="16">
        <v>2002</v>
      </c>
      <c r="S268" s="16">
        <v>2</v>
      </c>
      <c r="T268" s="17">
        <v>2</v>
      </c>
      <c r="U268" s="11" t="s">
        <v>41</v>
      </c>
      <c r="V268" s="16">
        <v>1</v>
      </c>
      <c r="W268" s="11" t="s">
        <v>732</v>
      </c>
      <c r="X268" s="11" t="s">
        <v>733</v>
      </c>
      <c r="Y268" s="15" t="s">
        <v>711</v>
      </c>
      <c r="Z268" s="11"/>
    </row>
    <row r="269" spans="1:26" x14ac:dyDescent="0.25">
      <c r="A269" s="16">
        <v>22521391</v>
      </c>
      <c r="B269" s="11">
        <v>45884</v>
      </c>
      <c r="C269" s="11">
        <v>46008</v>
      </c>
      <c r="D269" s="11">
        <v>46008</v>
      </c>
      <c r="E269" s="12" t="s">
        <v>37</v>
      </c>
      <c r="F269" s="13">
        <v>349900</v>
      </c>
      <c r="G269" s="13">
        <v>339900</v>
      </c>
      <c r="H269" s="13">
        <v>330000</v>
      </c>
      <c r="I269" s="29">
        <f t="shared" si="4"/>
        <v>255.41795665634675</v>
      </c>
      <c r="J269" s="11">
        <v>1892</v>
      </c>
      <c r="K269" s="11" t="s">
        <v>48</v>
      </c>
      <c r="L269" s="11" t="s">
        <v>734</v>
      </c>
      <c r="M269" s="15" t="s">
        <v>708</v>
      </c>
      <c r="N269" s="15">
        <v>85614</v>
      </c>
      <c r="O269" s="15">
        <v>31.891551</v>
      </c>
      <c r="P269" s="15">
        <v>-110.946613</v>
      </c>
      <c r="Q269" s="16">
        <v>1292</v>
      </c>
      <c r="R269" s="16">
        <v>2002</v>
      </c>
      <c r="S269" s="16">
        <v>2</v>
      </c>
      <c r="T269" s="17">
        <v>2</v>
      </c>
      <c r="U269" s="11" t="s">
        <v>41</v>
      </c>
      <c r="V269" s="16">
        <v>1</v>
      </c>
      <c r="W269" s="11" t="s">
        <v>735</v>
      </c>
      <c r="X269" s="11" t="s">
        <v>736</v>
      </c>
      <c r="Y269" s="15" t="s">
        <v>711</v>
      </c>
      <c r="Z269" s="11"/>
    </row>
    <row r="270" spans="1:26" x14ac:dyDescent="0.25">
      <c r="A270" s="16">
        <v>22603088</v>
      </c>
      <c r="B270" s="11">
        <v>46055</v>
      </c>
      <c r="C270" s="11">
        <v>46129</v>
      </c>
      <c r="D270" s="11">
        <v>46128</v>
      </c>
      <c r="E270" s="12" t="s">
        <v>37</v>
      </c>
      <c r="F270" s="13">
        <v>310000</v>
      </c>
      <c r="G270" s="13">
        <v>310000</v>
      </c>
      <c r="H270" s="13">
        <v>305700</v>
      </c>
      <c r="I270" s="29">
        <f t="shared" si="4"/>
        <v>238.828125</v>
      </c>
      <c r="J270" s="11">
        <v>1955</v>
      </c>
      <c r="K270" s="11" t="s">
        <v>48</v>
      </c>
      <c r="L270" s="11" t="s">
        <v>734</v>
      </c>
      <c r="M270" s="15" t="s">
        <v>708</v>
      </c>
      <c r="N270" s="15">
        <v>85614</v>
      </c>
      <c r="O270" s="15">
        <v>31.891846999999999</v>
      </c>
      <c r="P270" s="15">
        <v>-110.94527100000001</v>
      </c>
      <c r="Q270" s="16">
        <v>1280</v>
      </c>
      <c r="R270" s="16">
        <v>2002</v>
      </c>
      <c r="S270" s="16">
        <v>2</v>
      </c>
      <c r="T270" s="17">
        <v>2</v>
      </c>
      <c r="U270" s="11" t="s">
        <v>41</v>
      </c>
      <c r="V270" s="16">
        <v>1</v>
      </c>
      <c r="W270" s="11" t="s">
        <v>737</v>
      </c>
      <c r="X270" s="11" t="s">
        <v>738</v>
      </c>
      <c r="Y270" s="15" t="s">
        <v>711</v>
      </c>
      <c r="Z270" s="11"/>
    </row>
    <row r="271" spans="1:26" x14ac:dyDescent="0.25">
      <c r="A271" s="16">
        <v>22604842</v>
      </c>
      <c r="B271" s="11">
        <v>46073</v>
      </c>
      <c r="C271" s="11">
        <v>46112</v>
      </c>
      <c r="D271" s="11">
        <v>46111</v>
      </c>
      <c r="E271" s="12" t="s">
        <v>37</v>
      </c>
      <c r="F271" s="13">
        <v>335000</v>
      </c>
      <c r="G271" s="13">
        <v>335000</v>
      </c>
      <c r="H271" s="13">
        <v>324000</v>
      </c>
      <c r="I271" s="29">
        <f t="shared" si="4"/>
        <v>206.50095602294456</v>
      </c>
      <c r="J271" s="11">
        <v>1860</v>
      </c>
      <c r="K271" s="11" t="s">
        <v>48</v>
      </c>
      <c r="L271" s="11" t="s">
        <v>739</v>
      </c>
      <c r="M271" s="15" t="s">
        <v>708</v>
      </c>
      <c r="N271" s="15">
        <v>85614</v>
      </c>
      <c r="O271" s="15">
        <v>31.892187</v>
      </c>
      <c r="P271" s="15">
        <v>-110.947086</v>
      </c>
      <c r="Q271" s="16">
        <v>1569</v>
      </c>
      <c r="R271" s="16">
        <v>2003</v>
      </c>
      <c r="S271" s="16">
        <v>2</v>
      </c>
      <c r="T271" s="17">
        <v>2</v>
      </c>
      <c r="U271" s="11" t="s">
        <v>41</v>
      </c>
      <c r="V271" s="16">
        <v>1</v>
      </c>
      <c r="W271" s="11" t="s">
        <v>740</v>
      </c>
      <c r="X271" s="11" t="s">
        <v>741</v>
      </c>
      <c r="Y271" s="15" t="s">
        <v>711</v>
      </c>
      <c r="Z271" s="11"/>
    </row>
    <row r="272" spans="1:26" x14ac:dyDescent="0.25">
      <c r="A272" s="16">
        <v>22607642</v>
      </c>
      <c r="B272" s="11">
        <v>46104</v>
      </c>
      <c r="C272" s="11">
        <v>46128</v>
      </c>
      <c r="D272" s="11">
        <v>46127</v>
      </c>
      <c r="E272" s="12" t="s">
        <v>37</v>
      </c>
      <c r="F272" s="13">
        <v>335000</v>
      </c>
      <c r="G272" s="13">
        <v>335000</v>
      </c>
      <c r="H272" s="13">
        <v>361000</v>
      </c>
      <c r="I272" s="29">
        <f t="shared" si="4"/>
        <v>227.32997481108313</v>
      </c>
      <c r="J272" s="11">
        <v>1510</v>
      </c>
      <c r="K272" s="11" t="s">
        <v>706</v>
      </c>
      <c r="L272" s="11" t="s">
        <v>742</v>
      </c>
      <c r="M272" s="15" t="s">
        <v>708</v>
      </c>
      <c r="N272" s="15">
        <v>85614</v>
      </c>
      <c r="O272" s="15">
        <v>31.892458000000001</v>
      </c>
      <c r="P272" s="15">
        <v>-110.95003699999999</v>
      </c>
      <c r="Q272" s="16">
        <v>1588</v>
      </c>
      <c r="R272" s="16">
        <v>1999</v>
      </c>
      <c r="S272" s="16">
        <v>2</v>
      </c>
      <c r="T272" s="17">
        <v>2</v>
      </c>
      <c r="U272" s="11" t="s">
        <v>41</v>
      </c>
      <c r="V272" s="16">
        <v>1</v>
      </c>
      <c r="W272" s="11" t="s">
        <v>743</v>
      </c>
      <c r="X272" s="11" t="s">
        <v>744</v>
      </c>
      <c r="Y272" s="15" t="s">
        <v>711</v>
      </c>
      <c r="Z272" s="11"/>
    </row>
    <row r="273" spans="1:26" x14ac:dyDescent="0.25">
      <c r="A273" s="16">
        <v>22526056</v>
      </c>
      <c r="B273" s="11">
        <v>45937</v>
      </c>
      <c r="C273" s="11">
        <v>46076</v>
      </c>
      <c r="D273" s="11">
        <v>46062</v>
      </c>
      <c r="E273" s="12" t="s">
        <v>37</v>
      </c>
      <c r="F273" s="13">
        <v>400000</v>
      </c>
      <c r="G273" s="13">
        <v>367500</v>
      </c>
      <c r="H273" s="13">
        <v>365000</v>
      </c>
      <c r="I273" s="29">
        <f t="shared" si="4"/>
        <v>242.0424403183024</v>
      </c>
      <c r="J273" s="11">
        <v>1496</v>
      </c>
      <c r="K273" s="11" t="s">
        <v>48</v>
      </c>
      <c r="L273" s="11" t="s">
        <v>745</v>
      </c>
      <c r="M273" s="15" t="s">
        <v>708</v>
      </c>
      <c r="N273" s="15">
        <v>85614</v>
      </c>
      <c r="O273" s="15">
        <v>31.894019</v>
      </c>
      <c r="P273" s="15">
        <v>-110.954695</v>
      </c>
      <c r="Q273" s="16">
        <v>1508</v>
      </c>
      <c r="R273" s="16">
        <v>2023</v>
      </c>
      <c r="S273" s="16">
        <v>2</v>
      </c>
      <c r="T273" s="17">
        <v>2</v>
      </c>
      <c r="U273" s="11" t="s">
        <v>41</v>
      </c>
      <c r="V273" s="16">
        <v>1</v>
      </c>
      <c r="W273" s="11" t="s">
        <v>746</v>
      </c>
      <c r="X273" s="11" t="s">
        <v>747</v>
      </c>
      <c r="Y273" s="15" t="s">
        <v>711</v>
      </c>
      <c r="Z273" s="11"/>
    </row>
    <row r="274" spans="1:26" x14ac:dyDescent="0.25">
      <c r="A274" s="16">
        <v>22605607</v>
      </c>
      <c r="B274" s="11">
        <v>46082</v>
      </c>
      <c r="C274" s="11">
        <v>46147</v>
      </c>
      <c r="D274" s="11">
        <v>46146</v>
      </c>
      <c r="E274" s="12" t="s">
        <v>37</v>
      </c>
      <c r="F274" s="13">
        <v>460000</v>
      </c>
      <c r="G274" s="13">
        <v>445000</v>
      </c>
      <c r="H274" s="13">
        <v>445000</v>
      </c>
      <c r="I274" s="29">
        <f t="shared" si="4"/>
        <v>202.91837665298678</v>
      </c>
      <c r="J274" s="11">
        <v>1894</v>
      </c>
      <c r="K274" s="11" t="s">
        <v>48</v>
      </c>
      <c r="L274" s="11" t="s">
        <v>748</v>
      </c>
      <c r="M274" s="15" t="s">
        <v>708</v>
      </c>
      <c r="N274" s="15">
        <v>85614</v>
      </c>
      <c r="O274" s="15">
        <v>31.894269999999999</v>
      </c>
      <c r="P274" s="15">
        <v>-110.946456</v>
      </c>
      <c r="Q274" s="16">
        <v>2193</v>
      </c>
      <c r="R274" s="16">
        <v>2001</v>
      </c>
      <c r="S274" s="16">
        <v>2</v>
      </c>
      <c r="T274" s="17">
        <v>2.5</v>
      </c>
      <c r="U274" s="11" t="s">
        <v>41</v>
      </c>
      <c r="V274" s="16">
        <v>1</v>
      </c>
      <c r="W274" s="11" t="s">
        <v>749</v>
      </c>
      <c r="X274" s="11" t="s">
        <v>750</v>
      </c>
      <c r="Y274" s="15" t="s">
        <v>711</v>
      </c>
      <c r="Z274" s="11"/>
    </row>
    <row r="275" spans="1:26" x14ac:dyDescent="0.25">
      <c r="A275" s="16">
        <v>22609297</v>
      </c>
      <c r="B275" s="11">
        <v>46122</v>
      </c>
      <c r="C275" s="11">
        <v>46149</v>
      </c>
      <c r="D275" s="11">
        <v>46149</v>
      </c>
      <c r="E275" s="12" t="s">
        <v>37</v>
      </c>
      <c r="F275" s="13">
        <v>399000</v>
      </c>
      <c r="G275" s="13">
        <v>399000</v>
      </c>
      <c r="H275" s="13">
        <v>360000</v>
      </c>
      <c r="I275" s="29">
        <f t="shared" si="4"/>
        <v>164.00911161731207</v>
      </c>
      <c r="J275" s="11">
        <v>1917</v>
      </c>
      <c r="K275" s="11" t="s">
        <v>48</v>
      </c>
      <c r="L275" s="11" t="s">
        <v>751</v>
      </c>
      <c r="M275" s="15" t="s">
        <v>708</v>
      </c>
      <c r="N275" s="15">
        <v>85614</v>
      </c>
      <c r="O275" s="15">
        <v>31.895935000000001</v>
      </c>
      <c r="P275" s="15">
        <v>-110.945874</v>
      </c>
      <c r="Q275" s="16">
        <v>2195</v>
      </c>
      <c r="R275" s="16">
        <v>2004</v>
      </c>
      <c r="S275" s="16">
        <v>2</v>
      </c>
      <c r="T275" s="17">
        <v>2</v>
      </c>
      <c r="U275" s="11" t="s">
        <v>41</v>
      </c>
      <c r="V275" s="16">
        <v>1</v>
      </c>
      <c r="W275" s="11" t="s">
        <v>752</v>
      </c>
      <c r="X275" s="11" t="s">
        <v>753</v>
      </c>
      <c r="Y275" s="15" t="s">
        <v>711</v>
      </c>
      <c r="Z275" s="11"/>
    </row>
    <row r="276" spans="1:26" x14ac:dyDescent="0.25">
      <c r="A276" s="16">
        <v>22528858</v>
      </c>
      <c r="B276" s="11">
        <v>45967</v>
      </c>
      <c r="C276" s="11">
        <v>46141</v>
      </c>
      <c r="D276" s="11">
        <v>46141</v>
      </c>
      <c r="E276" s="12" t="s">
        <v>37</v>
      </c>
      <c r="F276" s="13">
        <v>487000</v>
      </c>
      <c r="G276" s="13">
        <v>472000</v>
      </c>
      <c r="H276" s="13">
        <v>460000</v>
      </c>
      <c r="I276" s="29">
        <f t="shared" si="4"/>
        <v>282.20858895705521</v>
      </c>
      <c r="J276" s="11">
        <v>1930</v>
      </c>
      <c r="K276" s="11" t="s">
        <v>706</v>
      </c>
      <c r="L276" s="11" t="s">
        <v>651</v>
      </c>
      <c r="M276" s="15" t="s">
        <v>708</v>
      </c>
      <c r="N276" s="15">
        <v>85614</v>
      </c>
      <c r="O276" s="15">
        <v>31.898316999999999</v>
      </c>
      <c r="P276" s="15">
        <v>-110.95769799999999</v>
      </c>
      <c r="Q276" s="16">
        <v>1630</v>
      </c>
      <c r="R276" s="16">
        <v>2021</v>
      </c>
      <c r="S276" s="16">
        <v>2</v>
      </c>
      <c r="T276" s="17">
        <v>2</v>
      </c>
      <c r="U276" s="11" t="s">
        <v>41</v>
      </c>
      <c r="V276" s="16">
        <v>1</v>
      </c>
      <c r="W276" s="11" t="s">
        <v>754</v>
      </c>
      <c r="X276" s="11" t="s">
        <v>755</v>
      </c>
      <c r="Y276" s="15" t="s">
        <v>711</v>
      </c>
      <c r="Z276" s="11"/>
    </row>
    <row r="277" spans="1:26" x14ac:dyDescent="0.25">
      <c r="A277" s="16">
        <v>22600424</v>
      </c>
      <c r="B277" s="11">
        <v>46028</v>
      </c>
      <c r="C277" s="11">
        <v>46112</v>
      </c>
      <c r="D277" s="11">
        <v>46087</v>
      </c>
      <c r="E277" s="12" t="s">
        <v>37</v>
      </c>
      <c r="F277" s="13">
        <v>685000</v>
      </c>
      <c r="G277" s="13">
        <v>685000</v>
      </c>
      <c r="H277" s="13">
        <v>661000</v>
      </c>
      <c r="I277" s="29">
        <f t="shared" si="4"/>
        <v>319.47800869985502</v>
      </c>
      <c r="J277" s="11">
        <v>2460</v>
      </c>
      <c r="K277" s="11" t="s">
        <v>48</v>
      </c>
      <c r="L277" s="11" t="s">
        <v>756</v>
      </c>
      <c r="M277" s="15" t="s">
        <v>708</v>
      </c>
      <c r="N277" s="15">
        <v>85614</v>
      </c>
      <c r="O277" s="15">
        <v>31.898513999999999</v>
      </c>
      <c r="P277" s="15">
        <v>-110.934285</v>
      </c>
      <c r="Q277" s="16">
        <v>2069</v>
      </c>
      <c r="R277" s="16">
        <v>2023</v>
      </c>
      <c r="S277" s="16">
        <v>2</v>
      </c>
      <c r="T277" s="17">
        <v>2.5</v>
      </c>
      <c r="U277" s="11" t="s">
        <v>41</v>
      </c>
      <c r="V277" s="16">
        <v>1</v>
      </c>
      <c r="W277" s="11" t="s">
        <v>757</v>
      </c>
      <c r="X277" s="11" t="s">
        <v>758</v>
      </c>
      <c r="Y277" s="15" t="s">
        <v>711</v>
      </c>
      <c r="Z277" s="11"/>
    </row>
    <row r="278" spans="1:26" x14ac:dyDescent="0.25">
      <c r="A278" s="16">
        <v>22524156</v>
      </c>
      <c r="B278" s="11">
        <v>45916</v>
      </c>
      <c r="C278" s="11">
        <v>46072</v>
      </c>
      <c r="D278" s="11">
        <v>46060</v>
      </c>
      <c r="E278" s="12" t="s">
        <v>37</v>
      </c>
      <c r="F278" s="13">
        <v>615000</v>
      </c>
      <c r="G278" s="13">
        <v>569000</v>
      </c>
      <c r="H278" s="13">
        <v>560000</v>
      </c>
      <c r="I278" s="29">
        <f t="shared" si="4"/>
        <v>297.23991507430998</v>
      </c>
      <c r="J278" s="11">
        <v>2605</v>
      </c>
      <c r="K278" s="11" t="s">
        <v>48</v>
      </c>
      <c r="L278" s="11" t="s">
        <v>759</v>
      </c>
      <c r="M278" s="15" t="s">
        <v>708</v>
      </c>
      <c r="N278" s="15">
        <v>85614</v>
      </c>
      <c r="O278" s="15">
        <v>31.876591999999999</v>
      </c>
      <c r="P278" s="15">
        <v>-110.930881</v>
      </c>
      <c r="Q278" s="16">
        <v>1884</v>
      </c>
      <c r="R278" s="16">
        <v>2019</v>
      </c>
      <c r="S278" s="16">
        <v>2</v>
      </c>
      <c r="T278" s="17">
        <v>2.5</v>
      </c>
      <c r="U278" s="11" t="s">
        <v>41</v>
      </c>
      <c r="V278" s="16">
        <v>1</v>
      </c>
      <c r="W278" s="11" t="s">
        <v>760</v>
      </c>
      <c r="X278" s="11" t="s">
        <v>761</v>
      </c>
      <c r="Y278" s="15" t="s">
        <v>762</v>
      </c>
      <c r="Z278" s="11"/>
    </row>
    <row r="279" spans="1:26" x14ac:dyDescent="0.25">
      <c r="A279" s="16">
        <v>22528336</v>
      </c>
      <c r="B279" s="11">
        <v>45976</v>
      </c>
      <c r="C279" s="11">
        <v>46112</v>
      </c>
      <c r="D279" s="11">
        <v>46098</v>
      </c>
      <c r="E279" s="12" t="s">
        <v>37</v>
      </c>
      <c r="F279" s="13">
        <v>710000</v>
      </c>
      <c r="G279" s="13">
        <v>710000</v>
      </c>
      <c r="H279" s="13">
        <v>715000</v>
      </c>
      <c r="I279" s="29">
        <f t="shared" si="4"/>
        <v>316.09195402298849</v>
      </c>
      <c r="J279" s="11">
        <v>759</v>
      </c>
      <c r="K279" s="11" t="s">
        <v>706</v>
      </c>
      <c r="L279" s="11" t="s">
        <v>763</v>
      </c>
      <c r="M279" s="15" t="s">
        <v>708</v>
      </c>
      <c r="N279" s="15">
        <v>85614</v>
      </c>
      <c r="O279" s="15">
        <v>31.881281000000001</v>
      </c>
      <c r="P279" s="15">
        <v>-110.929649</v>
      </c>
      <c r="Q279" s="16">
        <v>2262</v>
      </c>
      <c r="R279" s="16">
        <v>2006</v>
      </c>
      <c r="S279" s="16">
        <v>3</v>
      </c>
      <c r="T279" s="17">
        <v>3</v>
      </c>
      <c r="U279" s="11" t="s">
        <v>41</v>
      </c>
      <c r="V279" s="16">
        <v>1</v>
      </c>
      <c r="W279" s="11" t="s">
        <v>764</v>
      </c>
      <c r="X279" s="11" t="s">
        <v>765</v>
      </c>
      <c r="Y279" s="15" t="s">
        <v>762</v>
      </c>
      <c r="Z279" s="11"/>
    </row>
    <row r="280" spans="1:26" x14ac:dyDescent="0.25">
      <c r="A280" s="16">
        <v>22523391</v>
      </c>
      <c r="B280" s="11">
        <v>45908</v>
      </c>
      <c r="C280" s="11">
        <v>46031</v>
      </c>
      <c r="D280" s="11">
        <v>46021</v>
      </c>
      <c r="E280" s="12" t="s">
        <v>37</v>
      </c>
      <c r="F280" s="13">
        <v>585000</v>
      </c>
      <c r="G280" s="13">
        <v>565000</v>
      </c>
      <c r="H280" s="13">
        <v>560000</v>
      </c>
      <c r="I280" s="29">
        <f t="shared" si="4"/>
        <v>257.11662075298437</v>
      </c>
      <c r="J280" s="11">
        <v>758</v>
      </c>
      <c r="K280" s="11" t="s">
        <v>706</v>
      </c>
      <c r="L280" s="11" t="s">
        <v>766</v>
      </c>
      <c r="M280" s="15" t="s">
        <v>708</v>
      </c>
      <c r="N280" s="15">
        <v>85614</v>
      </c>
      <c r="O280" s="15">
        <v>31.881620999999999</v>
      </c>
      <c r="P280" s="15">
        <v>-110.929238</v>
      </c>
      <c r="Q280" s="16">
        <v>2178</v>
      </c>
      <c r="R280" s="16">
        <v>2007</v>
      </c>
      <c r="S280" s="16">
        <v>2</v>
      </c>
      <c r="T280" s="17">
        <v>2.5</v>
      </c>
      <c r="U280" s="11" t="s">
        <v>41</v>
      </c>
      <c r="V280" s="16">
        <v>1</v>
      </c>
      <c r="W280" s="11" t="s">
        <v>767</v>
      </c>
      <c r="X280" s="11" t="s">
        <v>768</v>
      </c>
      <c r="Y280" s="15" t="s">
        <v>762</v>
      </c>
      <c r="Z280" s="11"/>
    </row>
    <row r="281" spans="1:26" x14ac:dyDescent="0.25">
      <c r="A281" s="16">
        <v>22529397</v>
      </c>
      <c r="B281" s="11">
        <v>45973</v>
      </c>
      <c r="C281" s="11">
        <v>46113</v>
      </c>
      <c r="D281" s="11">
        <v>46113</v>
      </c>
      <c r="E281" s="12" t="s">
        <v>37</v>
      </c>
      <c r="F281" s="13">
        <v>465900</v>
      </c>
      <c r="G281" s="13">
        <v>449000</v>
      </c>
      <c r="H281" s="13">
        <v>449000</v>
      </c>
      <c r="I281" s="29">
        <f t="shared" si="4"/>
        <v>262.26635514018693</v>
      </c>
      <c r="J281" s="11">
        <v>1094</v>
      </c>
      <c r="K281" s="11" t="s">
        <v>706</v>
      </c>
      <c r="L281" s="11" t="s">
        <v>769</v>
      </c>
      <c r="M281" s="15" t="s">
        <v>708</v>
      </c>
      <c r="N281" s="15">
        <v>85614</v>
      </c>
      <c r="O281" s="15">
        <v>31.886395</v>
      </c>
      <c r="P281" s="15">
        <v>-110.94766799999999</v>
      </c>
      <c r="Q281" s="16">
        <v>1712</v>
      </c>
      <c r="R281" s="16">
        <v>2009</v>
      </c>
      <c r="S281" s="16">
        <v>2</v>
      </c>
      <c r="T281" s="17">
        <v>2</v>
      </c>
      <c r="U281" s="11" t="s">
        <v>41</v>
      </c>
      <c r="V281" s="16">
        <v>1</v>
      </c>
      <c r="W281" s="11" t="s">
        <v>770</v>
      </c>
      <c r="X281" s="11" t="s">
        <v>771</v>
      </c>
      <c r="Y281" s="15" t="s">
        <v>762</v>
      </c>
      <c r="Z281" s="11"/>
    </row>
    <row r="282" spans="1:26" x14ac:dyDescent="0.25">
      <c r="A282" s="16">
        <v>22604213</v>
      </c>
      <c r="B282" s="11">
        <v>46066</v>
      </c>
      <c r="C282" s="11">
        <v>46115</v>
      </c>
      <c r="D282" s="11">
        <v>46108</v>
      </c>
      <c r="E282" s="12" t="s">
        <v>37</v>
      </c>
      <c r="F282" s="13">
        <v>355000</v>
      </c>
      <c r="G282" s="13">
        <v>340000</v>
      </c>
      <c r="H282" s="13">
        <v>333000</v>
      </c>
      <c r="I282" s="29">
        <f t="shared" si="4"/>
        <v>238.02716225875625</v>
      </c>
      <c r="J282" s="11">
        <v>1427</v>
      </c>
      <c r="K282" s="11" t="s">
        <v>48</v>
      </c>
      <c r="L282" s="11" t="s">
        <v>772</v>
      </c>
      <c r="M282" s="15" t="s">
        <v>708</v>
      </c>
      <c r="N282" s="15">
        <v>85614</v>
      </c>
      <c r="O282" s="15">
        <v>31.894445000000001</v>
      </c>
      <c r="P282" s="15">
        <v>-110.955603</v>
      </c>
      <c r="Q282" s="16">
        <v>1399</v>
      </c>
      <c r="R282" s="16">
        <v>2021</v>
      </c>
      <c r="S282" s="16">
        <v>2</v>
      </c>
      <c r="T282" s="17">
        <v>2</v>
      </c>
      <c r="U282" s="11" t="s">
        <v>41</v>
      </c>
      <c r="V282" s="16">
        <v>1</v>
      </c>
      <c r="W282" s="11" t="s">
        <v>773</v>
      </c>
      <c r="X282" s="11" t="s">
        <v>774</v>
      </c>
      <c r="Y282" s="15" t="s">
        <v>762</v>
      </c>
      <c r="Z282" s="11"/>
    </row>
    <row r="283" spans="1:26" x14ac:dyDescent="0.25">
      <c r="A283" s="16">
        <v>22600161</v>
      </c>
      <c r="B283" s="11">
        <v>46024</v>
      </c>
      <c r="C283" s="11">
        <v>46077</v>
      </c>
      <c r="D283" s="11">
        <v>46073</v>
      </c>
      <c r="E283" s="12" t="s">
        <v>37</v>
      </c>
      <c r="F283" s="13">
        <v>650000</v>
      </c>
      <c r="G283" s="13">
        <v>650000</v>
      </c>
      <c r="H283" s="13">
        <v>630000</v>
      </c>
      <c r="I283" s="29">
        <f t="shared" si="4"/>
        <v>278.51458885941645</v>
      </c>
      <c r="J283" s="11">
        <v>1748</v>
      </c>
      <c r="K283" s="11" t="s">
        <v>706</v>
      </c>
      <c r="L283" s="11" t="s">
        <v>775</v>
      </c>
      <c r="M283" s="15" t="s">
        <v>708</v>
      </c>
      <c r="N283" s="15">
        <v>85614</v>
      </c>
      <c r="O283" s="15">
        <v>31.895651000000001</v>
      </c>
      <c r="P283" s="15">
        <v>-110.942857</v>
      </c>
      <c r="Q283" s="16">
        <v>2262</v>
      </c>
      <c r="R283" s="16">
        <v>2006</v>
      </c>
      <c r="S283" s="16">
        <v>3</v>
      </c>
      <c r="T283" s="17">
        <v>3</v>
      </c>
      <c r="U283" s="11" t="s">
        <v>41</v>
      </c>
      <c r="V283" s="16">
        <v>1</v>
      </c>
      <c r="W283" s="11" t="s">
        <v>776</v>
      </c>
      <c r="X283" s="11" t="s">
        <v>777</v>
      </c>
      <c r="Y283" s="15" t="s">
        <v>762</v>
      </c>
      <c r="Z283" s="11"/>
    </row>
    <row r="284" spans="1:26" x14ac:dyDescent="0.25">
      <c r="A284" s="16">
        <v>22531828</v>
      </c>
      <c r="B284" s="11">
        <v>46007</v>
      </c>
      <c r="C284" s="11">
        <v>46122</v>
      </c>
      <c r="D284" s="11">
        <v>46121</v>
      </c>
      <c r="E284" s="12" t="s">
        <v>37</v>
      </c>
      <c r="F284" s="13">
        <v>415000</v>
      </c>
      <c r="G284" s="13">
        <v>415000</v>
      </c>
      <c r="H284" s="13">
        <v>403000</v>
      </c>
      <c r="I284" s="29">
        <f t="shared" si="4"/>
        <v>267.24137931034483</v>
      </c>
      <c r="J284" s="11">
        <v>1297</v>
      </c>
      <c r="K284" s="11" t="s">
        <v>48</v>
      </c>
      <c r="L284" s="11" t="s">
        <v>778</v>
      </c>
      <c r="M284" s="15" t="s">
        <v>708</v>
      </c>
      <c r="N284" s="15">
        <v>85614</v>
      </c>
      <c r="O284" s="15">
        <v>31.895862999999999</v>
      </c>
      <c r="P284" s="15">
        <v>-110.957916</v>
      </c>
      <c r="Q284" s="16">
        <v>1508</v>
      </c>
      <c r="R284" s="16">
        <v>2023</v>
      </c>
      <c r="S284" s="16">
        <v>2</v>
      </c>
      <c r="T284" s="17">
        <v>2</v>
      </c>
      <c r="U284" s="11" t="s">
        <v>41</v>
      </c>
      <c r="V284" s="16">
        <v>1</v>
      </c>
      <c r="W284" s="11" t="s">
        <v>779</v>
      </c>
      <c r="X284" s="11" t="s">
        <v>780</v>
      </c>
      <c r="Y284" s="15" t="s">
        <v>762</v>
      </c>
      <c r="Z284" s="11"/>
    </row>
    <row r="285" spans="1:26" x14ac:dyDescent="0.25">
      <c r="A285" s="22">
        <v>22532281</v>
      </c>
      <c r="B285" s="18">
        <v>46014</v>
      </c>
      <c r="C285" s="18">
        <v>46085</v>
      </c>
      <c r="D285" s="18">
        <v>46064</v>
      </c>
      <c r="E285" s="19" t="s">
        <v>37</v>
      </c>
      <c r="F285" s="20">
        <v>675000</v>
      </c>
      <c r="G285" s="13">
        <v>675000</v>
      </c>
      <c r="H285" s="20">
        <v>660000</v>
      </c>
      <c r="I285" s="29">
        <f t="shared" si="4"/>
        <v>338.46153846153845</v>
      </c>
      <c r="J285" s="18">
        <v>2419</v>
      </c>
      <c r="K285" s="18" t="s">
        <v>48</v>
      </c>
      <c r="L285" s="18" t="s">
        <v>781</v>
      </c>
      <c r="M285" s="21" t="s">
        <v>708</v>
      </c>
      <c r="N285" s="21">
        <v>85614</v>
      </c>
      <c r="O285" s="21">
        <v>31.89771</v>
      </c>
      <c r="P285" s="21">
        <v>-110.935553</v>
      </c>
      <c r="Q285" s="22">
        <v>1950</v>
      </c>
      <c r="R285" s="19">
        <v>2021</v>
      </c>
      <c r="S285" s="22">
        <v>2</v>
      </c>
      <c r="T285" s="23">
        <v>2.5</v>
      </c>
      <c r="U285" s="18" t="s">
        <v>41</v>
      </c>
      <c r="V285" s="22">
        <v>1</v>
      </c>
      <c r="W285" s="18" t="s">
        <v>782</v>
      </c>
      <c r="X285" s="18" t="s">
        <v>783</v>
      </c>
      <c r="Y285" s="21" t="s">
        <v>762</v>
      </c>
      <c r="Z285" s="18"/>
    </row>
    <row r="286" spans="1:26" x14ac:dyDescent="0.25">
      <c r="A286" s="16">
        <v>22528923</v>
      </c>
      <c r="B286" s="11">
        <v>45967</v>
      </c>
      <c r="C286" s="11">
        <v>46037</v>
      </c>
      <c r="D286" s="11">
        <v>46036</v>
      </c>
      <c r="E286" s="12" t="s">
        <v>37</v>
      </c>
      <c r="F286" s="13">
        <v>365000</v>
      </c>
      <c r="G286" s="13">
        <v>365000</v>
      </c>
      <c r="H286" s="13">
        <v>365000</v>
      </c>
      <c r="I286" s="29">
        <f t="shared" si="4"/>
        <v>254.88826815642457</v>
      </c>
      <c r="J286" s="11">
        <v>906</v>
      </c>
      <c r="K286" s="11" t="s">
        <v>706</v>
      </c>
      <c r="L286" s="11" t="s">
        <v>784</v>
      </c>
      <c r="M286" s="15" t="s">
        <v>708</v>
      </c>
      <c r="N286" s="15">
        <v>85614</v>
      </c>
      <c r="O286" s="15">
        <v>31.883286999999999</v>
      </c>
      <c r="P286" s="15">
        <v>-110.941104</v>
      </c>
      <c r="Q286" s="16">
        <v>1432</v>
      </c>
      <c r="R286" s="16">
        <v>2007</v>
      </c>
      <c r="S286" s="16">
        <v>2</v>
      </c>
      <c r="T286" s="17">
        <v>2</v>
      </c>
      <c r="U286" s="11" t="s">
        <v>41</v>
      </c>
      <c r="V286" s="16">
        <v>1</v>
      </c>
      <c r="W286" s="11" t="s">
        <v>785</v>
      </c>
      <c r="X286" s="11" t="s">
        <v>786</v>
      </c>
      <c r="Y286" s="15" t="s">
        <v>787</v>
      </c>
      <c r="Z286" s="11"/>
    </row>
    <row r="287" spans="1:26" x14ac:dyDescent="0.25">
      <c r="A287" s="16">
        <v>22522170</v>
      </c>
      <c r="B287" s="11">
        <v>45894</v>
      </c>
      <c r="C287" s="11">
        <v>46135</v>
      </c>
      <c r="D287" s="11">
        <v>46123</v>
      </c>
      <c r="E287" s="12" t="s">
        <v>37</v>
      </c>
      <c r="F287" s="13">
        <v>359900</v>
      </c>
      <c r="G287" s="13">
        <v>347000</v>
      </c>
      <c r="H287" s="13">
        <v>325000</v>
      </c>
      <c r="I287" s="29">
        <f t="shared" si="4"/>
        <v>212.55722694571617</v>
      </c>
      <c r="J287" s="11">
        <v>1819</v>
      </c>
      <c r="K287" s="11" t="s">
        <v>48</v>
      </c>
      <c r="L287" s="11" t="s">
        <v>788</v>
      </c>
      <c r="M287" s="15" t="s">
        <v>708</v>
      </c>
      <c r="N287" s="15">
        <v>85614</v>
      </c>
      <c r="O287" s="15">
        <v>31.884702999999998</v>
      </c>
      <c r="P287" s="15">
        <v>-110.948249</v>
      </c>
      <c r="Q287" s="16">
        <v>1529</v>
      </c>
      <c r="R287" s="16">
        <v>2015</v>
      </c>
      <c r="S287" s="16">
        <v>2</v>
      </c>
      <c r="T287" s="17">
        <v>2</v>
      </c>
      <c r="U287" s="11" t="s">
        <v>41</v>
      </c>
      <c r="V287" s="16">
        <v>1</v>
      </c>
      <c r="W287" s="11" t="s">
        <v>789</v>
      </c>
      <c r="X287" s="11" t="s">
        <v>790</v>
      </c>
      <c r="Y287" s="15" t="s">
        <v>787</v>
      </c>
      <c r="Z287" s="11"/>
    </row>
    <row r="288" spans="1:26" x14ac:dyDescent="0.25">
      <c r="A288" s="22">
        <v>22521556</v>
      </c>
      <c r="B288" s="18">
        <v>45885</v>
      </c>
      <c r="C288" s="18">
        <v>46127</v>
      </c>
      <c r="D288" s="18">
        <v>46125</v>
      </c>
      <c r="E288" s="19" t="s">
        <v>37</v>
      </c>
      <c r="F288" s="20">
        <v>359900</v>
      </c>
      <c r="G288" s="13">
        <v>333000</v>
      </c>
      <c r="H288" s="20">
        <v>325000</v>
      </c>
      <c r="I288" s="29">
        <f t="shared" si="4"/>
        <v>232.30879199428162</v>
      </c>
      <c r="J288" s="18">
        <v>1762</v>
      </c>
      <c r="K288" s="18" t="s">
        <v>48</v>
      </c>
      <c r="L288" s="18" t="s">
        <v>791</v>
      </c>
      <c r="M288" s="21" t="s">
        <v>708</v>
      </c>
      <c r="N288" s="21">
        <v>85614</v>
      </c>
      <c r="O288" s="21">
        <v>31.885922000000001</v>
      </c>
      <c r="P288" s="21">
        <v>-110.94977299999999</v>
      </c>
      <c r="Q288" s="22">
        <v>1399</v>
      </c>
      <c r="R288" s="19">
        <v>2017</v>
      </c>
      <c r="S288" s="22">
        <v>2</v>
      </c>
      <c r="T288" s="23">
        <v>2</v>
      </c>
      <c r="U288" s="18" t="s">
        <v>41</v>
      </c>
      <c r="V288" s="22">
        <v>1</v>
      </c>
      <c r="W288" s="18" t="s">
        <v>792</v>
      </c>
      <c r="X288" s="18" t="s">
        <v>793</v>
      </c>
      <c r="Y288" s="21" t="s">
        <v>787</v>
      </c>
      <c r="Z288" s="18"/>
    </row>
    <row r="289" spans="1:26" x14ac:dyDescent="0.25">
      <c r="A289" s="22">
        <v>22523892</v>
      </c>
      <c r="B289" s="18">
        <v>45912</v>
      </c>
      <c r="C289" s="18">
        <v>46078</v>
      </c>
      <c r="D289" s="18">
        <v>46066</v>
      </c>
      <c r="E289" s="19" t="s">
        <v>37</v>
      </c>
      <c r="F289" s="20">
        <v>449000</v>
      </c>
      <c r="G289" s="13">
        <v>429000</v>
      </c>
      <c r="H289" s="20">
        <v>429000</v>
      </c>
      <c r="I289" s="29">
        <f t="shared" si="4"/>
        <v>220</v>
      </c>
      <c r="J289" s="18">
        <v>1329</v>
      </c>
      <c r="K289" s="18" t="s">
        <v>706</v>
      </c>
      <c r="L289" s="18" t="s">
        <v>794</v>
      </c>
      <c r="M289" s="21" t="s">
        <v>708</v>
      </c>
      <c r="N289" s="21">
        <v>85614</v>
      </c>
      <c r="O289" s="21">
        <v>31.889551999999998</v>
      </c>
      <c r="P289" s="21">
        <v>-110.94504499999999</v>
      </c>
      <c r="Q289" s="22">
        <v>1950</v>
      </c>
      <c r="R289" s="19">
        <v>2003</v>
      </c>
      <c r="S289" s="22">
        <v>2</v>
      </c>
      <c r="T289" s="23">
        <v>2</v>
      </c>
      <c r="U289" s="18" t="s">
        <v>41</v>
      </c>
      <c r="V289" s="22">
        <v>1</v>
      </c>
      <c r="W289" s="18" t="s">
        <v>795</v>
      </c>
      <c r="X289" s="18" t="s">
        <v>796</v>
      </c>
      <c r="Y289" s="21" t="s">
        <v>787</v>
      </c>
      <c r="Z289" s="18"/>
    </row>
    <row r="290" spans="1:26" x14ac:dyDescent="0.25">
      <c r="A290" s="16">
        <v>22520987</v>
      </c>
      <c r="B290" s="11">
        <v>45881</v>
      </c>
      <c r="C290" s="11">
        <v>46052</v>
      </c>
      <c r="D290" s="11">
        <v>46043</v>
      </c>
      <c r="E290" s="12" t="s">
        <v>37</v>
      </c>
      <c r="F290" s="13">
        <v>389000</v>
      </c>
      <c r="G290" s="13">
        <v>389000</v>
      </c>
      <c r="H290" s="13">
        <v>369000</v>
      </c>
      <c r="I290" s="29">
        <f t="shared" si="4"/>
        <v>263.75982844889205</v>
      </c>
      <c r="J290" s="11">
        <v>1477</v>
      </c>
      <c r="K290" s="11" t="s">
        <v>48</v>
      </c>
      <c r="L290" s="11" t="s">
        <v>778</v>
      </c>
      <c r="M290" s="15" t="s">
        <v>708</v>
      </c>
      <c r="N290" s="15">
        <v>85614</v>
      </c>
      <c r="O290" s="15">
        <v>31.895112000000001</v>
      </c>
      <c r="P290" s="15">
        <v>-110.95495</v>
      </c>
      <c r="Q290" s="16">
        <v>1399</v>
      </c>
      <c r="R290" s="16">
        <v>2021</v>
      </c>
      <c r="S290" s="16">
        <v>2</v>
      </c>
      <c r="T290" s="17">
        <v>2</v>
      </c>
      <c r="U290" s="11" t="s">
        <v>41</v>
      </c>
      <c r="V290" s="16">
        <v>1</v>
      </c>
      <c r="W290" s="11" t="s">
        <v>797</v>
      </c>
      <c r="X290" s="11" t="s">
        <v>798</v>
      </c>
      <c r="Y290" s="15" t="s">
        <v>787</v>
      </c>
      <c r="Z290" s="11"/>
    </row>
    <row r="291" spans="1:26" x14ac:dyDescent="0.25">
      <c r="A291" s="16">
        <v>22605551</v>
      </c>
      <c r="B291" s="11">
        <v>46081</v>
      </c>
      <c r="C291" s="11">
        <v>46127</v>
      </c>
      <c r="D291" s="11">
        <v>46107</v>
      </c>
      <c r="E291" s="12" t="s">
        <v>37</v>
      </c>
      <c r="F291" s="13">
        <v>439000</v>
      </c>
      <c r="G291" s="13">
        <v>439000</v>
      </c>
      <c r="H291" s="13">
        <v>439000</v>
      </c>
      <c r="I291" s="29">
        <f t="shared" si="4"/>
        <v>186.01694915254237</v>
      </c>
      <c r="J291" s="11">
        <v>2344</v>
      </c>
      <c r="K291" s="11" t="s">
        <v>48</v>
      </c>
      <c r="L291" s="11" t="s">
        <v>799</v>
      </c>
      <c r="M291" s="15" t="s">
        <v>708</v>
      </c>
      <c r="N291" s="15">
        <v>85614</v>
      </c>
      <c r="O291" s="15">
        <v>31.884231</v>
      </c>
      <c r="P291" s="15">
        <v>-110.936571</v>
      </c>
      <c r="Q291" s="16">
        <v>2360</v>
      </c>
      <c r="R291" s="16">
        <v>2003</v>
      </c>
      <c r="S291" s="16">
        <v>3</v>
      </c>
      <c r="T291" s="17">
        <v>2</v>
      </c>
      <c r="U291" s="11" t="s">
        <v>41</v>
      </c>
      <c r="V291" s="16">
        <v>1</v>
      </c>
      <c r="W291" s="11" t="s">
        <v>800</v>
      </c>
      <c r="X291" s="11" t="s">
        <v>801</v>
      </c>
      <c r="Y291" s="15" t="s">
        <v>802</v>
      </c>
      <c r="Z291" s="11"/>
    </row>
    <row r="292" spans="1:26" x14ac:dyDescent="0.25">
      <c r="A292" s="16">
        <v>22525429</v>
      </c>
      <c r="B292" s="11">
        <v>45931</v>
      </c>
      <c r="C292" s="11">
        <v>46031</v>
      </c>
      <c r="D292" s="11">
        <v>46030</v>
      </c>
      <c r="E292" s="12" t="s">
        <v>37</v>
      </c>
      <c r="F292" s="13">
        <v>450000</v>
      </c>
      <c r="G292" s="13">
        <v>450000</v>
      </c>
      <c r="H292" s="13">
        <v>450000</v>
      </c>
      <c r="I292" s="29">
        <f t="shared" si="4"/>
        <v>190.59720457433292</v>
      </c>
      <c r="J292" s="11">
        <v>2414</v>
      </c>
      <c r="K292" s="11" t="s">
        <v>48</v>
      </c>
      <c r="L292" s="11" t="s">
        <v>799</v>
      </c>
      <c r="M292" s="15" t="s">
        <v>708</v>
      </c>
      <c r="N292" s="15">
        <v>85614</v>
      </c>
      <c r="O292" s="15">
        <v>31.884322000000001</v>
      </c>
      <c r="P292" s="15">
        <v>-110.935002</v>
      </c>
      <c r="Q292" s="16">
        <v>2361</v>
      </c>
      <c r="R292" s="16">
        <v>2005</v>
      </c>
      <c r="S292" s="16">
        <v>3</v>
      </c>
      <c r="T292" s="17">
        <v>2</v>
      </c>
      <c r="U292" s="11" t="s">
        <v>41</v>
      </c>
      <c r="V292" s="16">
        <v>1</v>
      </c>
      <c r="W292" s="11" t="s">
        <v>803</v>
      </c>
      <c r="X292" s="11" t="s">
        <v>804</v>
      </c>
      <c r="Y292" s="15" t="s">
        <v>802</v>
      </c>
      <c r="Z292" s="11"/>
    </row>
    <row r="293" spans="1:26" x14ac:dyDescent="0.25">
      <c r="A293" s="16">
        <v>22523945</v>
      </c>
      <c r="B293" s="11">
        <v>45913</v>
      </c>
      <c r="C293" s="11">
        <v>46010</v>
      </c>
      <c r="D293" s="11">
        <v>46010</v>
      </c>
      <c r="E293" s="12" t="s">
        <v>37</v>
      </c>
      <c r="F293" s="13">
        <v>399000</v>
      </c>
      <c r="G293" s="13">
        <v>399000</v>
      </c>
      <c r="H293" s="13">
        <v>380000</v>
      </c>
      <c r="I293" s="29">
        <f t="shared" si="4"/>
        <v>173.12072892938497</v>
      </c>
      <c r="J293" s="11">
        <v>2426</v>
      </c>
      <c r="K293" s="11" t="s">
        <v>48</v>
      </c>
      <c r="L293" s="11" t="s">
        <v>805</v>
      </c>
      <c r="M293" s="15" t="s">
        <v>708</v>
      </c>
      <c r="N293" s="15">
        <v>85614</v>
      </c>
      <c r="O293" s="15">
        <v>31.885096000000001</v>
      </c>
      <c r="P293" s="15">
        <v>-110.934674</v>
      </c>
      <c r="Q293" s="16">
        <v>2195</v>
      </c>
      <c r="R293" s="16">
        <v>2002</v>
      </c>
      <c r="S293" s="16">
        <v>2</v>
      </c>
      <c r="T293" s="17">
        <v>2</v>
      </c>
      <c r="U293" s="11" t="s">
        <v>41</v>
      </c>
      <c r="V293" s="16">
        <v>1</v>
      </c>
      <c r="W293" s="11" t="s">
        <v>806</v>
      </c>
      <c r="X293" s="11" t="s">
        <v>807</v>
      </c>
      <c r="Y293" s="15" t="s">
        <v>802</v>
      </c>
      <c r="Z293" s="11"/>
    </row>
    <row r="294" spans="1:26" x14ac:dyDescent="0.25">
      <c r="A294" s="16">
        <v>22527658</v>
      </c>
      <c r="B294" s="11">
        <v>45954</v>
      </c>
      <c r="C294" s="11">
        <v>46002</v>
      </c>
      <c r="D294" s="11">
        <v>45999</v>
      </c>
      <c r="E294" s="12" t="s">
        <v>37</v>
      </c>
      <c r="F294" s="13">
        <v>585000</v>
      </c>
      <c r="G294" s="13">
        <v>585000</v>
      </c>
      <c r="H294" s="13">
        <v>575000</v>
      </c>
      <c r="I294" s="29">
        <f t="shared" si="4"/>
        <v>248.48746758859119</v>
      </c>
      <c r="J294" s="11">
        <v>2436</v>
      </c>
      <c r="K294" s="11" t="s">
        <v>48</v>
      </c>
      <c r="L294" s="11" t="s">
        <v>805</v>
      </c>
      <c r="M294" s="15" t="s">
        <v>708</v>
      </c>
      <c r="N294" s="15">
        <v>85614</v>
      </c>
      <c r="O294" s="15">
        <v>31.885099</v>
      </c>
      <c r="P294" s="15">
        <v>-110.934411</v>
      </c>
      <c r="Q294" s="16">
        <v>2314</v>
      </c>
      <c r="R294" s="16">
        <v>2004</v>
      </c>
      <c r="S294" s="16">
        <v>3</v>
      </c>
      <c r="T294" s="17">
        <v>3</v>
      </c>
      <c r="U294" s="11" t="s">
        <v>41</v>
      </c>
      <c r="V294" s="16">
        <v>1</v>
      </c>
      <c r="W294" s="11" t="s">
        <v>808</v>
      </c>
      <c r="X294" s="11" t="s">
        <v>809</v>
      </c>
      <c r="Y294" s="15" t="s">
        <v>802</v>
      </c>
      <c r="Z294" s="11"/>
    </row>
    <row r="295" spans="1:26" x14ac:dyDescent="0.25">
      <c r="A295" s="16">
        <v>22527203</v>
      </c>
      <c r="B295" s="11">
        <v>45948</v>
      </c>
      <c r="C295" s="11">
        <v>45996</v>
      </c>
      <c r="D295" s="11">
        <v>45996</v>
      </c>
      <c r="E295" s="12" t="s">
        <v>37</v>
      </c>
      <c r="F295" s="13">
        <v>525000</v>
      </c>
      <c r="G295" s="13">
        <v>518900</v>
      </c>
      <c r="H295" s="13">
        <v>500000</v>
      </c>
      <c r="I295" s="29">
        <f t="shared" si="4"/>
        <v>273.82256297918951</v>
      </c>
      <c r="J295" s="11">
        <v>1950</v>
      </c>
      <c r="K295" s="11" t="s">
        <v>48</v>
      </c>
      <c r="L295" s="11" t="s">
        <v>726</v>
      </c>
      <c r="M295" s="15" t="s">
        <v>708</v>
      </c>
      <c r="N295" s="15">
        <v>85614</v>
      </c>
      <c r="O295" s="15">
        <v>31.885649000000001</v>
      </c>
      <c r="P295" s="15">
        <v>-110.945379</v>
      </c>
      <c r="Q295" s="16">
        <v>1826</v>
      </c>
      <c r="R295" s="16">
        <v>2002</v>
      </c>
      <c r="S295" s="16">
        <v>2</v>
      </c>
      <c r="T295" s="17">
        <v>2</v>
      </c>
      <c r="U295" s="11" t="s">
        <v>41</v>
      </c>
      <c r="V295" s="16">
        <v>1</v>
      </c>
      <c r="W295" s="11" t="s">
        <v>810</v>
      </c>
      <c r="X295" s="11" t="s">
        <v>811</v>
      </c>
      <c r="Y295" s="15" t="s">
        <v>802</v>
      </c>
      <c r="Z295" s="11"/>
    </row>
    <row r="296" spans="1:26" x14ac:dyDescent="0.25">
      <c r="A296" s="16">
        <v>22601803</v>
      </c>
      <c r="B296" s="11">
        <v>46041</v>
      </c>
      <c r="C296" s="11">
        <v>46119</v>
      </c>
      <c r="D296" s="11">
        <v>46088</v>
      </c>
      <c r="E296" s="12" t="s">
        <v>37</v>
      </c>
      <c r="F296" s="13">
        <v>369000</v>
      </c>
      <c r="G296" s="13">
        <v>369000</v>
      </c>
      <c r="H296" s="13">
        <v>328360</v>
      </c>
      <c r="I296" s="29">
        <f t="shared" si="4"/>
        <v>179.82475355969331</v>
      </c>
      <c r="J296" s="11">
        <v>1047</v>
      </c>
      <c r="K296" s="11" t="s">
        <v>706</v>
      </c>
      <c r="L296" s="11" t="s">
        <v>812</v>
      </c>
      <c r="M296" s="15" t="s">
        <v>708</v>
      </c>
      <c r="N296" s="15">
        <v>85614</v>
      </c>
      <c r="O296" s="15">
        <v>31.885811</v>
      </c>
      <c r="P296" s="15">
        <v>-110.937611</v>
      </c>
      <c r="Q296" s="16">
        <v>1826</v>
      </c>
      <c r="R296" s="16">
        <v>2002</v>
      </c>
      <c r="S296" s="16">
        <v>2</v>
      </c>
      <c r="T296" s="17">
        <v>2</v>
      </c>
      <c r="U296" s="11" t="s">
        <v>41</v>
      </c>
      <c r="V296" s="16">
        <v>1</v>
      </c>
      <c r="W296" s="11" t="s">
        <v>813</v>
      </c>
      <c r="X296" s="11" t="s">
        <v>814</v>
      </c>
      <c r="Y296" s="15" t="s">
        <v>802</v>
      </c>
      <c r="Z296" s="11"/>
    </row>
    <row r="297" spans="1:26" x14ac:dyDescent="0.25">
      <c r="A297" s="16">
        <v>22601815</v>
      </c>
      <c r="B297" s="11">
        <v>46042</v>
      </c>
      <c r="C297" s="11">
        <v>46073</v>
      </c>
      <c r="D297" s="11">
        <v>46046</v>
      </c>
      <c r="E297" s="12" t="s">
        <v>37</v>
      </c>
      <c r="F297" s="13">
        <v>444000</v>
      </c>
      <c r="G297" s="13">
        <v>444000</v>
      </c>
      <c r="H297" s="13">
        <v>444000</v>
      </c>
      <c r="I297" s="29">
        <f t="shared" si="4"/>
        <v>243.15443592552026</v>
      </c>
      <c r="J297" s="11">
        <v>1109</v>
      </c>
      <c r="K297" s="11" t="s">
        <v>706</v>
      </c>
      <c r="L297" s="11" t="s">
        <v>815</v>
      </c>
      <c r="M297" s="15" t="s">
        <v>708</v>
      </c>
      <c r="N297" s="15">
        <v>85614</v>
      </c>
      <c r="O297" s="15">
        <v>31.886735000000002</v>
      </c>
      <c r="P297" s="15">
        <v>-110.94020999999999</v>
      </c>
      <c r="Q297" s="16">
        <v>1826</v>
      </c>
      <c r="R297" s="16">
        <v>2001</v>
      </c>
      <c r="S297" s="16">
        <v>3</v>
      </c>
      <c r="T297" s="17">
        <v>2</v>
      </c>
      <c r="U297" s="11" t="s">
        <v>41</v>
      </c>
      <c r="V297" s="16">
        <v>1</v>
      </c>
      <c r="W297" s="11" t="s">
        <v>816</v>
      </c>
      <c r="X297" s="11" t="s">
        <v>817</v>
      </c>
      <c r="Y297" s="15" t="s">
        <v>802</v>
      </c>
      <c r="Z297" s="11"/>
    </row>
    <row r="298" spans="1:26" x14ac:dyDescent="0.25">
      <c r="A298" s="22">
        <v>22603980</v>
      </c>
      <c r="B298" s="18">
        <v>46065</v>
      </c>
      <c r="C298" s="18">
        <v>46112</v>
      </c>
      <c r="D298" s="18">
        <v>46094</v>
      </c>
      <c r="E298" s="19" t="s">
        <v>37</v>
      </c>
      <c r="F298" s="20">
        <v>589000</v>
      </c>
      <c r="G298" s="13">
        <v>589000</v>
      </c>
      <c r="H298" s="20">
        <v>579000</v>
      </c>
      <c r="I298" s="29">
        <f t="shared" si="4"/>
        <v>182.30478589420656</v>
      </c>
      <c r="J298" s="18">
        <v>2225</v>
      </c>
      <c r="K298" s="18" t="s">
        <v>48</v>
      </c>
      <c r="L298" s="18" t="s">
        <v>805</v>
      </c>
      <c r="M298" s="21" t="s">
        <v>708</v>
      </c>
      <c r="N298" s="21">
        <v>85614</v>
      </c>
      <c r="O298" s="21">
        <v>31.888131999999999</v>
      </c>
      <c r="P298" s="21">
        <v>-110.938924</v>
      </c>
      <c r="Q298" s="22">
        <v>3176</v>
      </c>
      <c r="R298" s="19">
        <v>2002</v>
      </c>
      <c r="S298" s="22">
        <v>3</v>
      </c>
      <c r="T298" s="23">
        <v>2.5</v>
      </c>
      <c r="U298" s="18" t="s">
        <v>41</v>
      </c>
      <c r="V298" s="22">
        <v>2</v>
      </c>
      <c r="W298" s="18" t="s">
        <v>818</v>
      </c>
      <c r="X298" s="18" t="s">
        <v>819</v>
      </c>
      <c r="Y298" s="21" t="s">
        <v>802</v>
      </c>
      <c r="Z298" s="18"/>
    </row>
    <row r="299" spans="1:26" x14ac:dyDescent="0.25">
      <c r="A299" s="16">
        <v>22526520</v>
      </c>
      <c r="B299" s="11">
        <v>45941</v>
      </c>
      <c r="C299" s="11">
        <v>45996</v>
      </c>
      <c r="D299" s="11">
        <v>45994</v>
      </c>
      <c r="E299" s="12" t="s">
        <v>37</v>
      </c>
      <c r="F299" s="13">
        <v>435000</v>
      </c>
      <c r="G299" s="13">
        <v>435000</v>
      </c>
      <c r="H299" s="13">
        <v>425000</v>
      </c>
      <c r="I299" s="29">
        <f t="shared" si="4"/>
        <v>200.18841262364577</v>
      </c>
      <c r="J299" s="11">
        <v>1837</v>
      </c>
      <c r="K299" s="11" t="s">
        <v>48</v>
      </c>
      <c r="L299" s="11" t="s">
        <v>751</v>
      </c>
      <c r="M299" s="15" t="s">
        <v>708</v>
      </c>
      <c r="N299" s="15">
        <v>85614</v>
      </c>
      <c r="O299" s="15">
        <v>31.89648</v>
      </c>
      <c r="P299" s="15">
        <v>-110.947637</v>
      </c>
      <c r="Q299" s="16">
        <v>2123</v>
      </c>
      <c r="R299" s="16">
        <v>2004</v>
      </c>
      <c r="S299" s="16">
        <v>2</v>
      </c>
      <c r="T299" s="17">
        <v>2</v>
      </c>
      <c r="U299" s="11" t="s">
        <v>41</v>
      </c>
      <c r="V299" s="16">
        <v>1</v>
      </c>
      <c r="W299" s="11" t="s">
        <v>820</v>
      </c>
      <c r="X299" s="11" t="s">
        <v>821</v>
      </c>
      <c r="Y299" s="15" t="s">
        <v>802</v>
      </c>
      <c r="Z299" s="11"/>
    </row>
    <row r="300" spans="1:26" x14ac:dyDescent="0.25">
      <c r="A300" s="16">
        <v>22531118</v>
      </c>
      <c r="B300" s="11">
        <v>45996</v>
      </c>
      <c r="C300" s="11">
        <v>46072</v>
      </c>
      <c r="D300" s="11">
        <v>46048</v>
      </c>
      <c r="E300" s="12" t="s">
        <v>37</v>
      </c>
      <c r="F300" s="13">
        <v>389000</v>
      </c>
      <c r="G300" s="13">
        <v>389000</v>
      </c>
      <c r="H300" s="13">
        <v>378000</v>
      </c>
      <c r="I300" s="29">
        <f t="shared" si="4"/>
        <v>270.19299499642602</v>
      </c>
      <c r="J300" s="11">
        <v>883</v>
      </c>
      <c r="K300" s="11" t="s">
        <v>706</v>
      </c>
      <c r="L300" s="11" t="s">
        <v>707</v>
      </c>
      <c r="M300" s="15" t="s">
        <v>708</v>
      </c>
      <c r="N300" s="15">
        <v>85614</v>
      </c>
      <c r="O300" s="15">
        <v>31.882693</v>
      </c>
      <c r="P300" s="15">
        <v>-110.945116</v>
      </c>
      <c r="Q300" s="16">
        <v>1399</v>
      </c>
      <c r="R300" s="16">
        <v>2017</v>
      </c>
      <c r="S300" s="16">
        <v>2</v>
      </c>
      <c r="T300" s="17">
        <v>2</v>
      </c>
      <c r="U300" s="11" t="s">
        <v>41</v>
      </c>
      <c r="V300" s="16">
        <v>1</v>
      </c>
      <c r="W300" s="11" t="s">
        <v>822</v>
      </c>
      <c r="X300" s="11" t="s">
        <v>823</v>
      </c>
      <c r="Y300" s="15" t="s">
        <v>824</v>
      </c>
      <c r="Z300" s="11"/>
    </row>
    <row r="301" spans="1:26" x14ac:dyDescent="0.25">
      <c r="A301" s="16">
        <v>22603983</v>
      </c>
      <c r="B301" s="11">
        <v>46065</v>
      </c>
      <c r="C301" s="11">
        <v>46134</v>
      </c>
      <c r="D301" s="11">
        <v>46134</v>
      </c>
      <c r="E301" s="12" t="s">
        <v>37</v>
      </c>
      <c r="F301" s="13">
        <v>658000</v>
      </c>
      <c r="G301" s="13">
        <v>658000</v>
      </c>
      <c r="H301" s="13">
        <v>650000</v>
      </c>
      <c r="I301" s="29">
        <f t="shared" si="4"/>
        <v>331.63265306122452</v>
      </c>
      <c r="J301" s="11">
        <v>2502</v>
      </c>
      <c r="K301" s="11" t="s">
        <v>48</v>
      </c>
      <c r="L301" s="11" t="s">
        <v>825</v>
      </c>
      <c r="M301" s="15" t="s">
        <v>708</v>
      </c>
      <c r="N301" s="15">
        <v>85614</v>
      </c>
      <c r="O301" s="15">
        <v>31.886984999999999</v>
      </c>
      <c r="P301" s="15">
        <v>-110.933455</v>
      </c>
      <c r="Q301" s="16">
        <v>1960</v>
      </c>
      <c r="R301" s="16">
        <v>2009</v>
      </c>
      <c r="S301" s="16">
        <v>4</v>
      </c>
      <c r="T301" s="17">
        <v>3</v>
      </c>
      <c r="U301" s="11" t="s">
        <v>41</v>
      </c>
      <c r="V301" s="16">
        <v>1</v>
      </c>
      <c r="W301" s="11" t="s">
        <v>826</v>
      </c>
      <c r="X301" s="11" t="s">
        <v>827</v>
      </c>
      <c r="Y301" s="15" t="s">
        <v>828</v>
      </c>
      <c r="Z301" s="11"/>
    </row>
    <row r="302" spans="1:26" x14ac:dyDescent="0.25">
      <c r="A302" s="16">
        <v>22600969</v>
      </c>
      <c r="B302" s="11">
        <v>46034</v>
      </c>
      <c r="C302" s="11">
        <v>46070</v>
      </c>
      <c r="D302" s="11">
        <v>46065</v>
      </c>
      <c r="E302" s="12" t="s">
        <v>37</v>
      </c>
      <c r="F302" s="13">
        <v>510000</v>
      </c>
      <c r="G302" s="13">
        <v>510000</v>
      </c>
      <c r="H302" s="13">
        <v>510000</v>
      </c>
      <c r="I302" s="29">
        <f t="shared" si="4"/>
        <v>259.14634146341461</v>
      </c>
      <c r="J302" s="11">
        <v>1190</v>
      </c>
      <c r="K302" s="11" t="s">
        <v>706</v>
      </c>
      <c r="L302" s="11" t="s">
        <v>829</v>
      </c>
      <c r="M302" s="15" t="s">
        <v>708</v>
      </c>
      <c r="N302" s="15">
        <v>85614</v>
      </c>
      <c r="O302" s="15">
        <v>31.887685999999999</v>
      </c>
      <c r="P302" s="15">
        <v>-110.92946000000001</v>
      </c>
      <c r="Q302" s="16">
        <v>1968</v>
      </c>
      <c r="R302" s="16">
        <v>2005</v>
      </c>
      <c r="S302" s="16">
        <v>2</v>
      </c>
      <c r="T302" s="17">
        <v>2</v>
      </c>
      <c r="U302" s="11" t="s">
        <v>41</v>
      </c>
      <c r="V302" s="16">
        <v>1</v>
      </c>
      <c r="W302" s="11" t="s">
        <v>830</v>
      </c>
      <c r="X302" s="11" t="s">
        <v>831</v>
      </c>
      <c r="Y302" s="15" t="s">
        <v>832</v>
      </c>
      <c r="Z302" s="11"/>
    </row>
    <row r="303" spans="1:26" x14ac:dyDescent="0.25">
      <c r="A303" s="16">
        <v>22527264</v>
      </c>
      <c r="B303" s="11">
        <v>45949</v>
      </c>
      <c r="C303" s="11">
        <v>46171</v>
      </c>
      <c r="D303" s="11">
        <v>46171</v>
      </c>
      <c r="E303" s="12" t="s">
        <v>37</v>
      </c>
      <c r="F303" s="13">
        <v>565000</v>
      </c>
      <c r="G303" s="13">
        <v>535000</v>
      </c>
      <c r="H303" s="13">
        <v>520000</v>
      </c>
      <c r="I303" s="29">
        <f t="shared" si="4"/>
        <v>227.07423580786025</v>
      </c>
      <c r="J303" s="11">
        <v>2646</v>
      </c>
      <c r="K303" s="11" t="s">
        <v>48</v>
      </c>
      <c r="L303" s="11" t="s">
        <v>833</v>
      </c>
      <c r="M303" s="15" t="s">
        <v>708</v>
      </c>
      <c r="N303" s="15">
        <v>85614</v>
      </c>
      <c r="O303" s="15">
        <v>31.887972999999999</v>
      </c>
      <c r="P303" s="15">
        <v>-110.930657</v>
      </c>
      <c r="Q303" s="16">
        <v>2290</v>
      </c>
      <c r="R303" s="16">
        <v>2006</v>
      </c>
      <c r="S303" s="16">
        <v>3</v>
      </c>
      <c r="T303" s="17">
        <v>3.5</v>
      </c>
      <c r="U303" s="11" t="s">
        <v>41</v>
      </c>
      <c r="V303" s="16">
        <v>1</v>
      </c>
      <c r="W303" s="11" t="s">
        <v>834</v>
      </c>
      <c r="X303" s="11" t="s">
        <v>835</v>
      </c>
      <c r="Y303" s="15" t="s">
        <v>832</v>
      </c>
      <c r="Z303" s="11"/>
    </row>
    <row r="304" spans="1:26" x14ac:dyDescent="0.25">
      <c r="A304" s="16">
        <v>22600030</v>
      </c>
      <c r="B304" s="11">
        <v>46023</v>
      </c>
      <c r="C304" s="11">
        <v>46059</v>
      </c>
      <c r="D304" s="11">
        <v>46059</v>
      </c>
      <c r="E304" s="12" t="s">
        <v>37</v>
      </c>
      <c r="F304" s="13">
        <v>598000</v>
      </c>
      <c r="G304" s="13">
        <v>598000</v>
      </c>
      <c r="H304" s="13">
        <v>582500</v>
      </c>
      <c r="I304" s="29">
        <f t="shared" si="4"/>
        <v>257.5154730327144</v>
      </c>
      <c r="J304" s="11">
        <v>2571</v>
      </c>
      <c r="K304" s="11" t="s">
        <v>48</v>
      </c>
      <c r="L304" s="11" t="s">
        <v>836</v>
      </c>
      <c r="M304" s="15" t="s">
        <v>708</v>
      </c>
      <c r="N304" s="15">
        <v>85614</v>
      </c>
      <c r="O304" s="15">
        <v>31.888086000000001</v>
      </c>
      <c r="P304" s="15">
        <v>-110.931954</v>
      </c>
      <c r="Q304" s="16">
        <v>2262</v>
      </c>
      <c r="R304" s="16">
        <v>2003</v>
      </c>
      <c r="S304" s="16">
        <v>3</v>
      </c>
      <c r="T304" s="17">
        <v>3</v>
      </c>
      <c r="U304" s="11" t="s">
        <v>41</v>
      </c>
      <c r="V304" s="16">
        <v>1</v>
      </c>
      <c r="W304" s="11" t="s">
        <v>837</v>
      </c>
      <c r="X304" s="11" t="s">
        <v>838</v>
      </c>
      <c r="Y304" s="15" t="s">
        <v>832</v>
      </c>
      <c r="Z304" s="11"/>
    </row>
    <row r="305" spans="1:26" x14ac:dyDescent="0.25">
      <c r="A305" s="22">
        <v>22532534</v>
      </c>
      <c r="B305" s="18">
        <v>46021</v>
      </c>
      <c r="C305" s="18">
        <v>46112</v>
      </c>
      <c r="D305" s="18">
        <v>46101</v>
      </c>
      <c r="E305" s="19" t="s">
        <v>37</v>
      </c>
      <c r="F305" s="20">
        <v>550000</v>
      </c>
      <c r="G305" s="13">
        <v>550000</v>
      </c>
      <c r="H305" s="20">
        <v>540000</v>
      </c>
      <c r="I305" s="29">
        <f t="shared" si="4"/>
        <v>263.28620185275474</v>
      </c>
      <c r="J305" s="18">
        <v>2551</v>
      </c>
      <c r="K305" s="18" t="s">
        <v>48</v>
      </c>
      <c r="L305" s="18" t="s">
        <v>839</v>
      </c>
      <c r="M305" s="21" t="s">
        <v>708</v>
      </c>
      <c r="N305" s="21">
        <v>85614</v>
      </c>
      <c r="O305" s="21">
        <v>31.879498999999999</v>
      </c>
      <c r="P305" s="21">
        <v>-110.932244</v>
      </c>
      <c r="Q305" s="22">
        <v>2051</v>
      </c>
      <c r="R305" s="19">
        <v>2019</v>
      </c>
      <c r="S305" s="22">
        <v>2</v>
      </c>
      <c r="T305" s="23">
        <v>2.5</v>
      </c>
      <c r="U305" s="18" t="s">
        <v>41</v>
      </c>
      <c r="V305" s="22">
        <v>1</v>
      </c>
      <c r="W305" s="18" t="s">
        <v>840</v>
      </c>
      <c r="X305" s="18" t="s">
        <v>841</v>
      </c>
      <c r="Y305" s="21" t="s">
        <v>842</v>
      </c>
      <c r="Z305" s="18"/>
    </row>
    <row r="306" spans="1:26" x14ac:dyDescent="0.25">
      <c r="A306" s="16">
        <v>22600907</v>
      </c>
      <c r="B306" s="11">
        <v>46031</v>
      </c>
      <c r="C306" s="11">
        <v>46090</v>
      </c>
      <c r="D306" s="11">
        <v>46090</v>
      </c>
      <c r="E306" s="12" t="s">
        <v>37</v>
      </c>
      <c r="F306" s="13">
        <v>399000</v>
      </c>
      <c r="G306" s="13">
        <v>399000</v>
      </c>
      <c r="H306" s="13">
        <v>395000</v>
      </c>
      <c r="I306" s="29">
        <f t="shared" si="4"/>
        <v>275.83798882681566</v>
      </c>
      <c r="J306" s="11">
        <v>2419</v>
      </c>
      <c r="K306" s="11" t="s">
        <v>48</v>
      </c>
      <c r="L306" s="11" t="s">
        <v>843</v>
      </c>
      <c r="M306" s="15" t="s">
        <v>708</v>
      </c>
      <c r="N306" s="15">
        <v>85614</v>
      </c>
      <c r="O306" s="15">
        <v>31.880586000000001</v>
      </c>
      <c r="P306" s="15">
        <v>-110.93520599999999</v>
      </c>
      <c r="Q306" s="16">
        <v>1432</v>
      </c>
      <c r="R306" s="16">
        <v>2007</v>
      </c>
      <c r="S306" s="16">
        <v>2</v>
      </c>
      <c r="T306" s="17">
        <v>2</v>
      </c>
      <c r="U306" s="11" t="s">
        <v>41</v>
      </c>
      <c r="V306" s="16">
        <v>1</v>
      </c>
      <c r="W306" s="11" t="s">
        <v>844</v>
      </c>
      <c r="X306" s="11" t="s">
        <v>845</v>
      </c>
      <c r="Y306" s="15" t="s">
        <v>842</v>
      </c>
      <c r="Z306" s="11"/>
    </row>
    <row r="307" spans="1:26" x14ac:dyDescent="0.25">
      <c r="A307" s="16">
        <v>22601721</v>
      </c>
      <c r="B307" s="11">
        <v>46040</v>
      </c>
      <c r="C307" s="11">
        <v>46135</v>
      </c>
      <c r="D307" s="11">
        <v>46122</v>
      </c>
      <c r="E307" s="12" t="s">
        <v>37</v>
      </c>
      <c r="F307" s="13">
        <v>398000</v>
      </c>
      <c r="G307" s="13">
        <v>398000</v>
      </c>
      <c r="H307" s="13">
        <v>388000</v>
      </c>
      <c r="I307" s="29">
        <f t="shared" si="4"/>
        <v>226.63551401869159</v>
      </c>
      <c r="J307" s="11">
        <v>779</v>
      </c>
      <c r="K307" s="11" t="s">
        <v>706</v>
      </c>
      <c r="L307" s="11" t="s">
        <v>846</v>
      </c>
      <c r="M307" s="15" t="s">
        <v>708</v>
      </c>
      <c r="N307" s="15">
        <v>85614</v>
      </c>
      <c r="O307" s="15">
        <v>31.881654000000001</v>
      </c>
      <c r="P307" s="15">
        <v>-110.939593</v>
      </c>
      <c r="Q307" s="16">
        <v>1712</v>
      </c>
      <c r="R307" s="16">
        <v>2009</v>
      </c>
      <c r="S307" s="16">
        <v>2</v>
      </c>
      <c r="T307" s="17">
        <v>2</v>
      </c>
      <c r="U307" s="11" t="s">
        <v>41</v>
      </c>
      <c r="V307" s="16">
        <v>1</v>
      </c>
      <c r="W307" s="11" t="s">
        <v>847</v>
      </c>
      <c r="X307" s="11" t="s">
        <v>848</v>
      </c>
      <c r="Y307" s="15" t="s">
        <v>842</v>
      </c>
      <c r="Z307" s="11"/>
    </row>
    <row r="308" spans="1:26" x14ac:dyDescent="0.25">
      <c r="A308" s="16">
        <v>22600741</v>
      </c>
      <c r="B308" s="11">
        <v>46031</v>
      </c>
      <c r="C308" s="11">
        <v>46091</v>
      </c>
      <c r="D308" s="11">
        <v>46089</v>
      </c>
      <c r="E308" s="12" t="s">
        <v>37</v>
      </c>
      <c r="F308" s="13">
        <v>389000</v>
      </c>
      <c r="G308" s="13">
        <v>389000</v>
      </c>
      <c r="H308" s="13">
        <v>389000</v>
      </c>
      <c r="I308" s="29">
        <f t="shared" si="4"/>
        <v>247.92861695347355</v>
      </c>
      <c r="J308" s="11">
        <v>2776</v>
      </c>
      <c r="K308" s="11" t="s">
        <v>48</v>
      </c>
      <c r="L308" s="11" t="s">
        <v>825</v>
      </c>
      <c r="M308" s="15" t="s">
        <v>708</v>
      </c>
      <c r="N308" s="15">
        <v>85614</v>
      </c>
      <c r="O308" s="15">
        <v>31.881657000000001</v>
      </c>
      <c r="P308" s="15">
        <v>-110.92782200000001</v>
      </c>
      <c r="Q308" s="16">
        <v>1569</v>
      </c>
      <c r="R308" s="16">
        <v>2004</v>
      </c>
      <c r="S308" s="16">
        <v>2</v>
      </c>
      <c r="T308" s="17">
        <v>2</v>
      </c>
      <c r="U308" s="11" t="s">
        <v>41</v>
      </c>
      <c r="V308" s="16">
        <v>1</v>
      </c>
      <c r="W308" s="11" t="s">
        <v>849</v>
      </c>
      <c r="X308" s="11" t="s">
        <v>850</v>
      </c>
      <c r="Y308" s="15" t="s">
        <v>851</v>
      </c>
      <c r="Z308" s="11"/>
    </row>
    <row r="309" spans="1:26" x14ac:dyDescent="0.25">
      <c r="A309" s="16">
        <v>22532307</v>
      </c>
      <c r="B309" s="11">
        <v>46014</v>
      </c>
      <c r="C309" s="11">
        <v>46038</v>
      </c>
      <c r="D309" s="11">
        <v>46035</v>
      </c>
      <c r="E309" s="12" t="s">
        <v>37</v>
      </c>
      <c r="F309" s="13">
        <v>599000</v>
      </c>
      <c r="G309" s="13">
        <v>599000</v>
      </c>
      <c r="H309" s="13">
        <v>599000</v>
      </c>
      <c r="I309" s="29">
        <f t="shared" si="4"/>
        <v>361.93353474320242</v>
      </c>
      <c r="J309" s="11">
        <v>2682</v>
      </c>
      <c r="K309" s="11" t="s">
        <v>48</v>
      </c>
      <c r="L309" s="11" t="s">
        <v>825</v>
      </c>
      <c r="M309" s="15" t="s">
        <v>708</v>
      </c>
      <c r="N309" s="15">
        <v>85614</v>
      </c>
      <c r="O309" s="15">
        <v>31.884050999999999</v>
      </c>
      <c r="P309" s="15">
        <v>-110.929935</v>
      </c>
      <c r="Q309" s="16">
        <v>1655</v>
      </c>
      <c r="R309" s="16">
        <v>2005</v>
      </c>
      <c r="S309" s="16">
        <v>3</v>
      </c>
      <c r="T309" s="17">
        <v>3</v>
      </c>
      <c r="U309" s="11" t="s">
        <v>41</v>
      </c>
      <c r="V309" s="16">
        <v>1</v>
      </c>
      <c r="W309" s="11" t="s">
        <v>852</v>
      </c>
      <c r="X309" s="11" t="s">
        <v>853</v>
      </c>
      <c r="Y309" s="15" t="s">
        <v>851</v>
      </c>
      <c r="Z309" s="11"/>
    </row>
    <row r="310" spans="1:26" x14ac:dyDescent="0.25">
      <c r="A310" s="22">
        <v>22529375</v>
      </c>
      <c r="B310" s="18">
        <v>45973</v>
      </c>
      <c r="C310" s="18">
        <v>46000</v>
      </c>
      <c r="D310" s="18">
        <v>45994</v>
      </c>
      <c r="E310" s="19" t="s">
        <v>37</v>
      </c>
      <c r="F310" s="20">
        <v>429000</v>
      </c>
      <c r="G310" s="13">
        <v>429000</v>
      </c>
      <c r="H310" s="20">
        <v>429000</v>
      </c>
      <c r="I310" s="29">
        <f t="shared" si="4"/>
        <v>273.42256214149137</v>
      </c>
      <c r="J310" s="18">
        <v>2641</v>
      </c>
      <c r="K310" s="18" t="s">
        <v>48</v>
      </c>
      <c r="L310" s="18" t="s">
        <v>825</v>
      </c>
      <c r="M310" s="21" t="s">
        <v>708</v>
      </c>
      <c r="N310" s="21">
        <v>85614</v>
      </c>
      <c r="O310" s="21">
        <v>31.884920000000001</v>
      </c>
      <c r="P310" s="21">
        <v>-110.93035</v>
      </c>
      <c r="Q310" s="22">
        <v>1569</v>
      </c>
      <c r="R310" s="19">
        <v>2005</v>
      </c>
      <c r="S310" s="22">
        <v>2</v>
      </c>
      <c r="T310" s="23">
        <v>2</v>
      </c>
      <c r="U310" s="18" t="s">
        <v>41</v>
      </c>
      <c r="V310" s="22">
        <v>1</v>
      </c>
      <c r="W310" s="18" t="s">
        <v>854</v>
      </c>
      <c r="X310" s="18" t="s">
        <v>855</v>
      </c>
      <c r="Y310" s="21" t="s">
        <v>851</v>
      </c>
      <c r="Z310" s="18"/>
    </row>
    <row r="311" spans="1:26" x14ac:dyDescent="0.25">
      <c r="A311" s="16">
        <v>22603425</v>
      </c>
      <c r="B311" s="11">
        <v>46058</v>
      </c>
      <c r="C311" s="11">
        <v>46139</v>
      </c>
      <c r="D311" s="11">
        <v>46122</v>
      </c>
      <c r="E311" s="12" t="s">
        <v>37</v>
      </c>
      <c r="F311" s="13">
        <v>547000</v>
      </c>
      <c r="G311" s="13">
        <v>547000</v>
      </c>
      <c r="H311" s="13">
        <v>547000</v>
      </c>
      <c r="I311" s="29">
        <f t="shared" si="4"/>
        <v>274.59839357429718</v>
      </c>
      <c r="J311" s="11">
        <v>2630</v>
      </c>
      <c r="K311" s="11" t="s">
        <v>48</v>
      </c>
      <c r="L311" s="11" t="s">
        <v>856</v>
      </c>
      <c r="M311" s="15" t="s">
        <v>708</v>
      </c>
      <c r="N311" s="15">
        <v>85614</v>
      </c>
      <c r="O311" s="15">
        <v>31.878852999999999</v>
      </c>
      <c r="P311" s="15">
        <v>-110.930634</v>
      </c>
      <c r="Q311" s="16">
        <v>1992</v>
      </c>
      <c r="R311" s="16">
        <v>2006</v>
      </c>
      <c r="S311" s="16">
        <v>3</v>
      </c>
      <c r="T311" s="17">
        <v>3</v>
      </c>
      <c r="U311" s="11" t="s">
        <v>41</v>
      </c>
      <c r="V311" s="16">
        <v>1</v>
      </c>
      <c r="W311" s="11" t="s">
        <v>857</v>
      </c>
      <c r="X311" s="11" t="s">
        <v>858</v>
      </c>
      <c r="Y311" s="15" t="s">
        <v>859</v>
      </c>
      <c r="Z311" s="11"/>
    </row>
    <row r="312" spans="1:26" x14ac:dyDescent="0.25">
      <c r="A312" s="16">
        <v>22524716</v>
      </c>
      <c r="B312" s="11">
        <v>45923</v>
      </c>
      <c r="C312" s="11">
        <v>46006</v>
      </c>
      <c r="D312" s="11">
        <v>46006</v>
      </c>
      <c r="E312" s="12" t="s">
        <v>37</v>
      </c>
      <c r="F312" s="13">
        <v>524800</v>
      </c>
      <c r="G312" s="13">
        <v>524800</v>
      </c>
      <c r="H312" s="13">
        <v>524800</v>
      </c>
      <c r="I312" s="29">
        <f t="shared" si="4"/>
        <v>240.95500459136824</v>
      </c>
      <c r="J312" s="11">
        <v>671</v>
      </c>
      <c r="K312" s="11" t="s">
        <v>706</v>
      </c>
      <c r="L312" s="11" t="s">
        <v>860</v>
      </c>
      <c r="M312" s="15" t="s">
        <v>708</v>
      </c>
      <c r="N312" s="15">
        <v>85614</v>
      </c>
      <c r="O312" s="15">
        <v>31.880036</v>
      </c>
      <c r="P312" s="15">
        <v>-110.93244</v>
      </c>
      <c r="Q312" s="16">
        <v>2178</v>
      </c>
      <c r="R312" s="16">
        <v>2007</v>
      </c>
      <c r="S312" s="16">
        <v>2</v>
      </c>
      <c r="T312" s="17">
        <v>2.5</v>
      </c>
      <c r="U312" s="11" t="s">
        <v>41</v>
      </c>
      <c r="V312" s="16">
        <v>1</v>
      </c>
      <c r="W312" s="11" t="s">
        <v>861</v>
      </c>
      <c r="X312" s="11" t="s">
        <v>862</v>
      </c>
      <c r="Y312" s="15" t="s">
        <v>859</v>
      </c>
      <c r="Z312" s="11"/>
    </row>
    <row r="313" spans="1:26" x14ac:dyDescent="0.25">
      <c r="A313" s="16">
        <v>22601894</v>
      </c>
      <c r="B313" s="11">
        <v>46035</v>
      </c>
      <c r="C313" s="11">
        <v>46092</v>
      </c>
      <c r="D313" s="11">
        <v>46063</v>
      </c>
      <c r="E313" s="12" t="s">
        <v>37</v>
      </c>
      <c r="F313" s="13">
        <v>515000</v>
      </c>
      <c r="G313" s="13">
        <v>515000</v>
      </c>
      <c r="H313" s="13">
        <v>494000</v>
      </c>
      <c r="I313" s="29">
        <f t="shared" si="4"/>
        <v>270.53669222343922</v>
      </c>
      <c r="J313" s="11">
        <v>1743</v>
      </c>
      <c r="K313" s="11" t="s">
        <v>706</v>
      </c>
      <c r="L313" s="11" t="s">
        <v>775</v>
      </c>
      <c r="M313" s="15" t="s">
        <v>708</v>
      </c>
      <c r="N313" s="15">
        <v>85614</v>
      </c>
      <c r="O313" s="15">
        <v>31.895292000000001</v>
      </c>
      <c r="P313" s="15">
        <v>-110.943319</v>
      </c>
      <c r="Q313" s="16">
        <v>1826</v>
      </c>
      <c r="R313" s="16">
        <v>2004</v>
      </c>
      <c r="S313" s="16">
        <v>2</v>
      </c>
      <c r="T313" s="17">
        <v>2</v>
      </c>
      <c r="U313" s="11" t="s">
        <v>41</v>
      </c>
      <c r="V313" s="16">
        <v>1</v>
      </c>
      <c r="W313" s="11" t="s">
        <v>863</v>
      </c>
      <c r="X313" s="11" t="s">
        <v>864</v>
      </c>
      <c r="Y313" s="15" t="s">
        <v>859</v>
      </c>
      <c r="Z313" s="11"/>
    </row>
    <row r="314" spans="1:26" x14ac:dyDescent="0.25">
      <c r="A314" s="16">
        <v>22600739</v>
      </c>
      <c r="B314" s="11">
        <v>46031</v>
      </c>
      <c r="C314" s="11">
        <v>46114</v>
      </c>
      <c r="D314" s="11">
        <v>46077</v>
      </c>
      <c r="E314" s="12" t="s">
        <v>37</v>
      </c>
      <c r="F314" s="13">
        <v>868000</v>
      </c>
      <c r="G314" s="13">
        <v>868000</v>
      </c>
      <c r="H314" s="13">
        <v>855000</v>
      </c>
      <c r="I314" s="29">
        <f t="shared" si="4"/>
        <v>336.48170011806377</v>
      </c>
      <c r="J314" s="11">
        <v>2198</v>
      </c>
      <c r="K314" s="11" t="s">
        <v>48</v>
      </c>
      <c r="L314" s="11" t="s">
        <v>865</v>
      </c>
      <c r="M314" s="15" t="s">
        <v>708</v>
      </c>
      <c r="N314" s="15">
        <v>85614</v>
      </c>
      <c r="O314" s="15">
        <v>31.878332</v>
      </c>
      <c r="P314" s="15">
        <v>-110.94014199999999</v>
      </c>
      <c r="Q314" s="16">
        <v>2541</v>
      </c>
      <c r="R314" s="16">
        <v>2013</v>
      </c>
      <c r="S314" s="16">
        <v>3</v>
      </c>
      <c r="T314" s="17">
        <v>3.5</v>
      </c>
      <c r="U314" s="11" t="s">
        <v>41</v>
      </c>
      <c r="V314" s="16">
        <v>1</v>
      </c>
      <c r="W314" s="11" t="s">
        <v>866</v>
      </c>
      <c r="X314" s="11" t="s">
        <v>867</v>
      </c>
      <c r="Y314" s="15" t="s">
        <v>868</v>
      </c>
      <c r="Z314" s="11"/>
    </row>
    <row r="315" spans="1:26" x14ac:dyDescent="0.25">
      <c r="A315" s="16">
        <v>22530956</v>
      </c>
      <c r="B315" s="11">
        <v>45994</v>
      </c>
      <c r="C315" s="11">
        <v>46086</v>
      </c>
      <c r="D315" s="11">
        <v>46086</v>
      </c>
      <c r="E315" s="12" t="s">
        <v>37</v>
      </c>
      <c r="F315" s="13">
        <v>440000</v>
      </c>
      <c r="G315" s="13">
        <v>440000</v>
      </c>
      <c r="H315" s="13">
        <v>425000</v>
      </c>
      <c r="I315" s="29">
        <f t="shared" si="4"/>
        <v>267.46381371932034</v>
      </c>
      <c r="J315" s="11">
        <v>2196</v>
      </c>
      <c r="K315" s="11" t="s">
        <v>48</v>
      </c>
      <c r="L315" s="11" t="s">
        <v>869</v>
      </c>
      <c r="M315" s="15" t="s">
        <v>708</v>
      </c>
      <c r="N315" s="15">
        <v>85614</v>
      </c>
      <c r="O315" s="15">
        <v>31.879906999999999</v>
      </c>
      <c r="P315" s="15">
        <v>-110.940287</v>
      </c>
      <c r="Q315" s="16">
        <v>1589</v>
      </c>
      <c r="R315" s="16">
        <v>2016</v>
      </c>
      <c r="S315" s="16">
        <v>2</v>
      </c>
      <c r="T315" s="17">
        <v>2</v>
      </c>
      <c r="U315" s="11" t="s">
        <v>41</v>
      </c>
      <c r="V315" s="16">
        <v>1</v>
      </c>
      <c r="W315" s="11" t="s">
        <v>870</v>
      </c>
      <c r="X315" s="11" t="s">
        <v>871</v>
      </c>
      <c r="Y315" s="15" t="s">
        <v>868</v>
      </c>
      <c r="Z315" s="11"/>
    </row>
    <row r="316" spans="1:26" x14ac:dyDescent="0.25">
      <c r="A316" s="16">
        <v>22524814</v>
      </c>
      <c r="B316" s="11">
        <v>45924</v>
      </c>
      <c r="C316" s="11">
        <v>46008</v>
      </c>
      <c r="D316" s="11">
        <v>45994</v>
      </c>
      <c r="E316" s="12" t="s">
        <v>37</v>
      </c>
      <c r="F316" s="13">
        <v>530000</v>
      </c>
      <c r="G316" s="13">
        <v>530000</v>
      </c>
      <c r="H316" s="13">
        <v>530000</v>
      </c>
      <c r="I316" s="29">
        <f t="shared" si="4"/>
        <v>265.79739217652957</v>
      </c>
      <c r="J316" s="11">
        <v>2227</v>
      </c>
      <c r="K316" s="11" t="s">
        <v>48</v>
      </c>
      <c r="L316" s="11" t="s">
        <v>869</v>
      </c>
      <c r="M316" s="15" t="s">
        <v>708</v>
      </c>
      <c r="N316" s="15">
        <v>85614</v>
      </c>
      <c r="O316" s="15">
        <v>31.879994</v>
      </c>
      <c r="P316" s="15">
        <v>-110.939392</v>
      </c>
      <c r="Q316" s="16">
        <v>1994</v>
      </c>
      <c r="R316" s="16">
        <v>2016</v>
      </c>
      <c r="S316" s="16">
        <v>2</v>
      </c>
      <c r="T316" s="17">
        <v>2.5</v>
      </c>
      <c r="U316" s="11" t="s">
        <v>41</v>
      </c>
      <c r="V316" s="16">
        <v>1</v>
      </c>
      <c r="W316" s="11" t="s">
        <v>872</v>
      </c>
      <c r="X316" s="11" t="s">
        <v>873</v>
      </c>
      <c r="Y316" s="15" t="s">
        <v>868</v>
      </c>
      <c r="Z316" s="11"/>
    </row>
    <row r="317" spans="1:26" x14ac:dyDescent="0.25">
      <c r="A317" s="16">
        <v>22600081</v>
      </c>
      <c r="B317" s="11">
        <v>46024</v>
      </c>
      <c r="C317" s="11">
        <v>46052</v>
      </c>
      <c r="D317" s="11">
        <v>46050</v>
      </c>
      <c r="E317" s="12" t="s">
        <v>37</v>
      </c>
      <c r="F317" s="13">
        <v>409000</v>
      </c>
      <c r="G317" s="13">
        <v>409000</v>
      </c>
      <c r="H317" s="13">
        <v>409000</v>
      </c>
      <c r="I317" s="29">
        <f t="shared" si="4"/>
        <v>257.39458779106354</v>
      </c>
      <c r="J317" s="11">
        <v>825</v>
      </c>
      <c r="K317" s="11" t="s">
        <v>706</v>
      </c>
      <c r="L317" s="11" t="s">
        <v>874</v>
      </c>
      <c r="M317" s="15" t="s">
        <v>708</v>
      </c>
      <c r="N317" s="15">
        <v>85614</v>
      </c>
      <c r="O317" s="15">
        <v>31.882311999999999</v>
      </c>
      <c r="P317" s="15">
        <v>-110.942516</v>
      </c>
      <c r="Q317" s="16">
        <v>1589</v>
      </c>
      <c r="R317" s="16">
        <v>2016</v>
      </c>
      <c r="S317" s="16">
        <v>2</v>
      </c>
      <c r="T317" s="17">
        <v>2</v>
      </c>
      <c r="U317" s="11" t="s">
        <v>41</v>
      </c>
      <c r="V317" s="16">
        <v>1</v>
      </c>
      <c r="W317" s="11" t="s">
        <v>875</v>
      </c>
      <c r="X317" s="11" t="s">
        <v>876</v>
      </c>
      <c r="Y317" s="15" t="s">
        <v>868</v>
      </c>
      <c r="Z317" s="11"/>
    </row>
    <row r="318" spans="1:26" x14ac:dyDescent="0.25">
      <c r="A318" s="16">
        <v>22606777</v>
      </c>
      <c r="B318" s="11">
        <v>46094</v>
      </c>
      <c r="C318" s="11">
        <v>46157</v>
      </c>
      <c r="D318" s="11">
        <v>46146</v>
      </c>
      <c r="E318" s="12" t="s">
        <v>37</v>
      </c>
      <c r="F318" s="13">
        <v>575000</v>
      </c>
      <c r="G318" s="13">
        <v>575000</v>
      </c>
      <c r="H318" s="13">
        <v>555000</v>
      </c>
      <c r="I318" s="29">
        <f t="shared" si="4"/>
        <v>277.91687531296947</v>
      </c>
      <c r="J318" s="11">
        <v>902</v>
      </c>
      <c r="K318" s="11" t="s">
        <v>706</v>
      </c>
      <c r="L318" s="11" t="s">
        <v>707</v>
      </c>
      <c r="M318" s="15" t="s">
        <v>708</v>
      </c>
      <c r="N318" s="15">
        <v>85614</v>
      </c>
      <c r="O318" s="15">
        <v>31.883174</v>
      </c>
      <c r="P318" s="15">
        <v>-110.94546800000001</v>
      </c>
      <c r="Q318" s="16">
        <v>1997</v>
      </c>
      <c r="R318" s="16">
        <v>2017</v>
      </c>
      <c r="S318" s="16">
        <v>2</v>
      </c>
      <c r="T318" s="17">
        <v>2.5</v>
      </c>
      <c r="U318" s="11" t="s">
        <v>41</v>
      </c>
      <c r="V318" s="16">
        <v>1</v>
      </c>
      <c r="W318" s="11" t="s">
        <v>877</v>
      </c>
      <c r="X318" s="11" t="s">
        <v>878</v>
      </c>
      <c r="Y318" s="15" t="s">
        <v>868</v>
      </c>
      <c r="Z318" s="11"/>
    </row>
    <row r="319" spans="1:26" x14ac:dyDescent="0.25">
      <c r="A319" s="16">
        <v>22531694</v>
      </c>
      <c r="B319" s="11">
        <v>46004</v>
      </c>
      <c r="C319" s="11">
        <v>46129</v>
      </c>
      <c r="D319" s="11">
        <v>46113</v>
      </c>
      <c r="E319" s="12" t="s">
        <v>37</v>
      </c>
      <c r="F319" s="13">
        <v>700000</v>
      </c>
      <c r="G319" s="13">
        <v>700000</v>
      </c>
      <c r="H319" s="13">
        <v>700000</v>
      </c>
      <c r="I319" s="29">
        <f t="shared" si="4"/>
        <v>321.39577594123051</v>
      </c>
      <c r="J319" s="11">
        <v>2504</v>
      </c>
      <c r="K319" s="11" t="s">
        <v>48</v>
      </c>
      <c r="L319" s="11" t="s">
        <v>759</v>
      </c>
      <c r="M319" s="15" t="s">
        <v>708</v>
      </c>
      <c r="N319" s="15">
        <v>85614</v>
      </c>
      <c r="O319" s="15">
        <v>31.876121999999999</v>
      </c>
      <c r="P319" s="15">
        <v>-110.933166</v>
      </c>
      <c r="Q319" s="16">
        <v>2178</v>
      </c>
      <c r="R319" s="16">
        <v>2018</v>
      </c>
      <c r="S319" s="16">
        <v>2</v>
      </c>
      <c r="T319" s="17">
        <v>2.5</v>
      </c>
      <c r="U319" s="11" t="s">
        <v>41</v>
      </c>
      <c r="V319" s="16">
        <v>1</v>
      </c>
      <c r="W319" s="11" t="s">
        <v>879</v>
      </c>
      <c r="X319" s="11" t="s">
        <v>880</v>
      </c>
      <c r="Y319" s="15" t="s">
        <v>881</v>
      </c>
      <c r="Z319" s="11"/>
    </row>
    <row r="320" spans="1:26" x14ac:dyDescent="0.25">
      <c r="A320" s="16">
        <v>22526313</v>
      </c>
      <c r="B320" s="11">
        <v>45939</v>
      </c>
      <c r="C320" s="11">
        <v>46030</v>
      </c>
      <c r="D320" s="11">
        <v>46028</v>
      </c>
      <c r="E320" s="12" t="s">
        <v>37</v>
      </c>
      <c r="F320" s="13">
        <v>500000</v>
      </c>
      <c r="G320" s="13">
        <v>475000</v>
      </c>
      <c r="H320" s="13">
        <v>467500</v>
      </c>
      <c r="I320" s="29">
        <f t="shared" si="4"/>
        <v>277.2835112692764</v>
      </c>
      <c r="J320" s="11">
        <v>2472</v>
      </c>
      <c r="K320" s="11" t="s">
        <v>48</v>
      </c>
      <c r="L320" s="11" t="s">
        <v>882</v>
      </c>
      <c r="M320" s="15" t="s">
        <v>708</v>
      </c>
      <c r="N320" s="15">
        <v>85614</v>
      </c>
      <c r="O320" s="15">
        <v>31.877157</v>
      </c>
      <c r="P320" s="15">
        <v>-110.933741</v>
      </c>
      <c r="Q320" s="16">
        <v>1686</v>
      </c>
      <c r="R320" s="16">
        <v>2018</v>
      </c>
      <c r="S320" s="16">
        <v>2</v>
      </c>
      <c r="T320" s="17">
        <v>2</v>
      </c>
      <c r="U320" s="11" t="s">
        <v>41</v>
      </c>
      <c r="V320" s="16">
        <v>1</v>
      </c>
      <c r="W320" s="11" t="s">
        <v>883</v>
      </c>
      <c r="X320" s="11" t="s">
        <v>884</v>
      </c>
      <c r="Y320" s="15" t="s">
        <v>881</v>
      </c>
      <c r="Z320" s="11"/>
    </row>
    <row r="321" spans="1:26" x14ac:dyDescent="0.25">
      <c r="A321" s="22">
        <v>22525603</v>
      </c>
      <c r="B321" s="18">
        <v>45932</v>
      </c>
      <c r="C321" s="18">
        <v>46078</v>
      </c>
      <c r="D321" s="18">
        <v>46060</v>
      </c>
      <c r="E321" s="19" t="s">
        <v>37</v>
      </c>
      <c r="F321" s="20">
        <v>695000</v>
      </c>
      <c r="G321" s="13">
        <v>695000</v>
      </c>
      <c r="H321" s="20">
        <v>680000</v>
      </c>
      <c r="I321" s="29">
        <f t="shared" si="4"/>
        <v>306.16839261593879</v>
      </c>
      <c r="J321" s="18">
        <v>2499</v>
      </c>
      <c r="K321" s="18" t="s">
        <v>48</v>
      </c>
      <c r="L321" s="18" t="s">
        <v>882</v>
      </c>
      <c r="M321" s="21" t="s">
        <v>708</v>
      </c>
      <c r="N321" s="21">
        <v>85614</v>
      </c>
      <c r="O321" s="21">
        <v>31.877821000000001</v>
      </c>
      <c r="P321" s="21">
        <v>-110.933352</v>
      </c>
      <c r="Q321" s="22">
        <v>2221</v>
      </c>
      <c r="R321" s="19">
        <v>2020</v>
      </c>
      <c r="S321" s="22">
        <v>2</v>
      </c>
      <c r="T321" s="23">
        <v>2.5</v>
      </c>
      <c r="U321" s="18" t="s">
        <v>41</v>
      </c>
      <c r="V321" s="22">
        <v>1</v>
      </c>
      <c r="W321" s="18" t="s">
        <v>885</v>
      </c>
      <c r="X321" s="18" t="s">
        <v>886</v>
      </c>
      <c r="Y321" s="21" t="s">
        <v>881</v>
      </c>
      <c r="Z321" s="18"/>
    </row>
    <row r="322" spans="1:26" x14ac:dyDescent="0.25">
      <c r="A322" s="22">
        <v>22605174</v>
      </c>
      <c r="B322" s="18">
        <v>46077</v>
      </c>
      <c r="C322" s="18">
        <v>46120</v>
      </c>
      <c r="D322" s="18">
        <v>46118</v>
      </c>
      <c r="E322" s="19" t="s">
        <v>37</v>
      </c>
      <c r="F322" s="20">
        <v>445000</v>
      </c>
      <c r="G322" s="13">
        <v>445000</v>
      </c>
      <c r="H322" s="20">
        <v>445000</v>
      </c>
      <c r="I322" s="29">
        <f t="shared" ref="I322:I355" si="5">H322/Q322</f>
        <v>243.70208105147864</v>
      </c>
      <c r="J322" s="18">
        <v>506</v>
      </c>
      <c r="K322" s="18" t="s">
        <v>706</v>
      </c>
      <c r="L322" s="18" t="s">
        <v>860</v>
      </c>
      <c r="M322" s="21" t="s">
        <v>708</v>
      </c>
      <c r="N322" s="21">
        <v>85614</v>
      </c>
      <c r="O322" s="21">
        <v>31.877842000000001</v>
      </c>
      <c r="P322" s="21">
        <v>-110.93037200000001</v>
      </c>
      <c r="Q322" s="22">
        <v>1826</v>
      </c>
      <c r="R322" s="19">
        <v>2006</v>
      </c>
      <c r="S322" s="22">
        <v>2</v>
      </c>
      <c r="T322" s="23">
        <v>2</v>
      </c>
      <c r="U322" s="18" t="s">
        <v>41</v>
      </c>
      <c r="V322" s="22">
        <v>1</v>
      </c>
      <c r="W322" s="18" t="s">
        <v>887</v>
      </c>
      <c r="X322" s="18" t="s">
        <v>888</v>
      </c>
      <c r="Y322" s="21" t="s">
        <v>889</v>
      </c>
      <c r="Z322" s="18"/>
    </row>
    <row r="323" spans="1:26" x14ac:dyDescent="0.25">
      <c r="A323" s="16">
        <v>22526440</v>
      </c>
      <c r="B323" s="11">
        <v>45940</v>
      </c>
      <c r="C323" s="11">
        <v>46079</v>
      </c>
      <c r="D323" s="11">
        <v>46069</v>
      </c>
      <c r="E323" s="12" t="s">
        <v>37</v>
      </c>
      <c r="F323" s="13">
        <v>519000</v>
      </c>
      <c r="G323" s="13">
        <v>475000</v>
      </c>
      <c r="H323" s="13">
        <v>475000</v>
      </c>
      <c r="I323" s="29">
        <f t="shared" si="5"/>
        <v>218.08999081726355</v>
      </c>
      <c r="J323" s="11">
        <v>514</v>
      </c>
      <c r="K323" s="11" t="s">
        <v>706</v>
      </c>
      <c r="L323" s="11" t="s">
        <v>860</v>
      </c>
      <c r="M323" s="15" t="s">
        <v>708</v>
      </c>
      <c r="N323" s="15">
        <v>85614</v>
      </c>
      <c r="O323" s="15">
        <v>31.877960999999999</v>
      </c>
      <c r="P323" s="15">
        <v>-110.930543</v>
      </c>
      <c r="Q323" s="16">
        <v>2178</v>
      </c>
      <c r="R323" s="16">
        <v>2007</v>
      </c>
      <c r="S323" s="16">
        <v>2</v>
      </c>
      <c r="T323" s="17">
        <v>2.5</v>
      </c>
      <c r="U323" s="11" t="s">
        <v>41</v>
      </c>
      <c r="V323" s="16">
        <v>1</v>
      </c>
      <c r="W323" s="11" t="s">
        <v>890</v>
      </c>
      <c r="X323" s="11" t="s">
        <v>891</v>
      </c>
      <c r="Y323" s="15" t="s">
        <v>889</v>
      </c>
      <c r="Z323" s="11"/>
    </row>
    <row r="324" spans="1:26" x14ac:dyDescent="0.25">
      <c r="A324" s="16">
        <v>22604252</v>
      </c>
      <c r="B324" s="11">
        <v>46067</v>
      </c>
      <c r="C324" s="11">
        <v>46155</v>
      </c>
      <c r="D324" s="11">
        <v>46151</v>
      </c>
      <c r="E324" s="12" t="s">
        <v>37</v>
      </c>
      <c r="F324" s="13">
        <v>618000</v>
      </c>
      <c r="G324" s="13">
        <v>607000</v>
      </c>
      <c r="H324" s="13">
        <v>600000</v>
      </c>
      <c r="I324" s="29">
        <f t="shared" si="5"/>
        <v>248.8593944421402</v>
      </c>
      <c r="J324" s="11">
        <v>600</v>
      </c>
      <c r="K324" s="11" t="s">
        <v>706</v>
      </c>
      <c r="L324" s="11" t="s">
        <v>766</v>
      </c>
      <c r="M324" s="15" t="s">
        <v>708</v>
      </c>
      <c r="N324" s="15">
        <v>85614</v>
      </c>
      <c r="O324" s="15">
        <v>31.879107999999999</v>
      </c>
      <c r="P324" s="15">
        <v>-110.927357</v>
      </c>
      <c r="Q324" s="16">
        <v>2411</v>
      </c>
      <c r="R324" s="16">
        <v>2007</v>
      </c>
      <c r="S324" s="16">
        <v>3</v>
      </c>
      <c r="T324" s="17">
        <v>3.5</v>
      </c>
      <c r="U324" s="11" t="s">
        <v>41</v>
      </c>
      <c r="V324" s="16">
        <v>1</v>
      </c>
      <c r="W324" s="11" t="s">
        <v>892</v>
      </c>
      <c r="X324" s="11" t="s">
        <v>893</v>
      </c>
      <c r="Y324" s="15" t="s">
        <v>889</v>
      </c>
      <c r="Z324" s="11"/>
    </row>
    <row r="325" spans="1:26" x14ac:dyDescent="0.25">
      <c r="A325" s="16">
        <v>22605386</v>
      </c>
      <c r="B325" s="11">
        <v>46080</v>
      </c>
      <c r="C325" s="11">
        <v>46141</v>
      </c>
      <c r="D325" s="11">
        <v>46083</v>
      </c>
      <c r="E325" s="12" t="s">
        <v>37</v>
      </c>
      <c r="F325" s="13">
        <v>429000</v>
      </c>
      <c r="G325" s="13">
        <v>429000</v>
      </c>
      <c r="H325" s="13">
        <v>429000</v>
      </c>
      <c r="I325" s="29">
        <f t="shared" si="5"/>
        <v>299.5810055865922</v>
      </c>
      <c r="J325" s="11">
        <v>1020</v>
      </c>
      <c r="K325" s="11" t="s">
        <v>706</v>
      </c>
      <c r="L325" s="11" t="s">
        <v>894</v>
      </c>
      <c r="M325" s="15" t="s">
        <v>708</v>
      </c>
      <c r="N325" s="15">
        <v>85614</v>
      </c>
      <c r="O325" s="15">
        <v>31.885157</v>
      </c>
      <c r="P325" s="15">
        <v>-110.92735999999999</v>
      </c>
      <c r="Q325" s="16">
        <v>1432</v>
      </c>
      <c r="R325" s="16">
        <v>2006</v>
      </c>
      <c r="S325" s="16">
        <v>2</v>
      </c>
      <c r="T325" s="17">
        <v>2</v>
      </c>
      <c r="U325" s="11" t="s">
        <v>41</v>
      </c>
      <c r="V325" s="16">
        <v>1</v>
      </c>
      <c r="W325" s="11" t="s">
        <v>895</v>
      </c>
      <c r="X325" s="11" t="s">
        <v>896</v>
      </c>
      <c r="Y325" s="15" t="s">
        <v>897</v>
      </c>
      <c r="Z325" s="11"/>
    </row>
    <row r="326" spans="1:26" x14ac:dyDescent="0.25">
      <c r="A326" s="16">
        <v>22601492</v>
      </c>
      <c r="B326" s="11">
        <v>46037</v>
      </c>
      <c r="C326" s="11">
        <v>46112</v>
      </c>
      <c r="D326" s="11">
        <v>46111</v>
      </c>
      <c r="E326" s="12" t="s">
        <v>37</v>
      </c>
      <c r="F326" s="13">
        <v>432000</v>
      </c>
      <c r="G326" s="13">
        <v>419000</v>
      </c>
      <c r="H326" s="13">
        <v>410000</v>
      </c>
      <c r="I326" s="29">
        <f t="shared" si="5"/>
        <v>261.3129381771829</v>
      </c>
      <c r="J326" s="11">
        <v>1019</v>
      </c>
      <c r="K326" s="11" t="s">
        <v>706</v>
      </c>
      <c r="L326" s="11" t="s">
        <v>894</v>
      </c>
      <c r="M326" s="15" t="s">
        <v>708</v>
      </c>
      <c r="N326" s="15">
        <v>85614</v>
      </c>
      <c r="O326" s="15">
        <v>31.885158000000001</v>
      </c>
      <c r="P326" s="15">
        <v>-110.92783300000001</v>
      </c>
      <c r="Q326" s="16">
        <v>1569</v>
      </c>
      <c r="R326" s="16">
        <v>2006</v>
      </c>
      <c r="S326" s="16">
        <v>2</v>
      </c>
      <c r="T326" s="17">
        <v>2</v>
      </c>
      <c r="U326" s="11" t="s">
        <v>41</v>
      </c>
      <c r="V326" s="16">
        <v>1</v>
      </c>
      <c r="W326" s="11" t="s">
        <v>898</v>
      </c>
      <c r="X326" s="11" t="s">
        <v>899</v>
      </c>
      <c r="Y326" s="15" t="s">
        <v>897</v>
      </c>
      <c r="Z326" s="11"/>
    </row>
    <row r="327" spans="1:26" x14ac:dyDescent="0.25">
      <c r="A327" s="16">
        <v>22604312</v>
      </c>
      <c r="B327" s="11">
        <v>46068</v>
      </c>
      <c r="C327" s="11">
        <v>46100</v>
      </c>
      <c r="D327" s="11">
        <v>46098</v>
      </c>
      <c r="E327" s="12" t="s">
        <v>37</v>
      </c>
      <c r="F327" s="13">
        <v>507000</v>
      </c>
      <c r="G327" s="13">
        <v>507000</v>
      </c>
      <c r="H327" s="13">
        <v>500000</v>
      </c>
      <c r="I327" s="29">
        <f t="shared" si="5"/>
        <v>260.41666666666669</v>
      </c>
      <c r="J327" s="11">
        <v>1140</v>
      </c>
      <c r="K327" s="11" t="s">
        <v>706</v>
      </c>
      <c r="L327" s="11" t="s">
        <v>894</v>
      </c>
      <c r="M327" s="15" t="s">
        <v>708</v>
      </c>
      <c r="N327" s="15">
        <v>85614</v>
      </c>
      <c r="O327" s="15">
        <v>31.886838000000001</v>
      </c>
      <c r="P327" s="15">
        <v>-110.92736499999999</v>
      </c>
      <c r="Q327" s="16">
        <v>1920</v>
      </c>
      <c r="R327" s="16">
        <v>2005</v>
      </c>
      <c r="S327" s="16">
        <v>2</v>
      </c>
      <c r="T327" s="17">
        <v>2</v>
      </c>
      <c r="U327" s="11" t="s">
        <v>41</v>
      </c>
      <c r="V327" s="16">
        <v>1</v>
      </c>
      <c r="W327" s="11" t="s">
        <v>900</v>
      </c>
      <c r="X327" s="11" t="s">
        <v>901</v>
      </c>
      <c r="Y327" s="15" t="s">
        <v>897</v>
      </c>
      <c r="Z327" s="11"/>
    </row>
    <row r="328" spans="1:26" x14ac:dyDescent="0.25">
      <c r="A328" s="16">
        <v>22531908</v>
      </c>
      <c r="B328" s="11">
        <v>46007</v>
      </c>
      <c r="C328" s="11">
        <v>46129</v>
      </c>
      <c r="D328" s="11">
        <v>46127</v>
      </c>
      <c r="E328" s="12" t="s">
        <v>37</v>
      </c>
      <c r="F328" s="13">
        <v>539000</v>
      </c>
      <c r="G328" s="13">
        <v>529000</v>
      </c>
      <c r="H328" s="13">
        <v>525000</v>
      </c>
      <c r="I328" s="29">
        <f t="shared" si="5"/>
        <v>285.01628664495115</v>
      </c>
      <c r="J328" s="11">
        <v>1915</v>
      </c>
      <c r="K328" s="11" t="s">
        <v>706</v>
      </c>
      <c r="L328" s="11" t="s">
        <v>902</v>
      </c>
      <c r="M328" s="15" t="s">
        <v>708</v>
      </c>
      <c r="N328" s="15">
        <v>85614</v>
      </c>
      <c r="O328" s="15">
        <v>31.898358000000002</v>
      </c>
      <c r="P328" s="15">
        <v>-110.93148100000001</v>
      </c>
      <c r="Q328" s="16">
        <v>1842</v>
      </c>
      <c r="R328" s="16">
        <v>2025</v>
      </c>
      <c r="S328" s="16">
        <v>2</v>
      </c>
      <c r="T328" s="17">
        <v>2.5</v>
      </c>
      <c r="U328" s="11" t="s">
        <v>41</v>
      </c>
      <c r="V328" s="16">
        <v>1</v>
      </c>
      <c r="W328" s="11" t="s">
        <v>903</v>
      </c>
      <c r="X328" s="11" t="s">
        <v>904</v>
      </c>
      <c r="Y328" s="15" t="s">
        <v>905</v>
      </c>
      <c r="Z328" s="11"/>
    </row>
    <row r="329" spans="1:26" x14ac:dyDescent="0.25">
      <c r="A329" s="16">
        <v>22605604</v>
      </c>
      <c r="B329" s="11">
        <v>46082</v>
      </c>
      <c r="C329" s="11">
        <v>46161</v>
      </c>
      <c r="D329" s="11">
        <v>46157</v>
      </c>
      <c r="E329" s="12" t="s">
        <v>37</v>
      </c>
      <c r="F329" s="13">
        <v>589900</v>
      </c>
      <c r="G329" s="13">
        <v>589900</v>
      </c>
      <c r="H329" s="13">
        <v>589900</v>
      </c>
      <c r="I329" s="29">
        <f t="shared" si="5"/>
        <v>272.21965851407475</v>
      </c>
      <c r="J329" s="11">
        <v>2495</v>
      </c>
      <c r="K329" s="11" t="s">
        <v>48</v>
      </c>
      <c r="L329" s="11" t="s">
        <v>906</v>
      </c>
      <c r="M329" s="15" t="s">
        <v>708</v>
      </c>
      <c r="N329" s="15">
        <v>85614</v>
      </c>
      <c r="O329" s="15">
        <v>31.894092000000001</v>
      </c>
      <c r="P329" s="15">
        <v>-110.933414</v>
      </c>
      <c r="Q329" s="16">
        <v>2167</v>
      </c>
      <c r="R329" s="16">
        <v>2016</v>
      </c>
      <c r="S329" s="16">
        <v>3</v>
      </c>
      <c r="T329" s="17">
        <v>3.5</v>
      </c>
      <c r="U329" s="11" t="s">
        <v>41</v>
      </c>
      <c r="V329" s="16">
        <v>1</v>
      </c>
      <c r="W329" s="11" t="s">
        <v>907</v>
      </c>
      <c r="X329" s="11" t="s">
        <v>908</v>
      </c>
      <c r="Y329" s="15" t="s">
        <v>909</v>
      </c>
      <c r="Z329" s="11"/>
    </row>
    <row r="330" spans="1:26" x14ac:dyDescent="0.25">
      <c r="A330" s="22">
        <v>22523598</v>
      </c>
      <c r="B330" s="18">
        <v>45910</v>
      </c>
      <c r="C330" s="18">
        <v>46065</v>
      </c>
      <c r="D330" s="18">
        <v>46065</v>
      </c>
      <c r="E330" s="19" t="s">
        <v>37</v>
      </c>
      <c r="F330" s="20">
        <v>685000</v>
      </c>
      <c r="G330" s="13">
        <v>660000</v>
      </c>
      <c r="H330" s="20">
        <v>655000</v>
      </c>
      <c r="I330" s="29">
        <f t="shared" si="5"/>
        <v>316.57805703238279</v>
      </c>
      <c r="J330" s="18">
        <v>2335</v>
      </c>
      <c r="K330" s="18" t="s">
        <v>48</v>
      </c>
      <c r="L330" s="18" t="s">
        <v>906</v>
      </c>
      <c r="M330" s="21" t="s">
        <v>708</v>
      </c>
      <c r="N330" s="21">
        <v>85614</v>
      </c>
      <c r="O330" s="21">
        <v>31.896778000000001</v>
      </c>
      <c r="P330" s="21">
        <v>-110.93685000000001</v>
      </c>
      <c r="Q330" s="22">
        <v>2069</v>
      </c>
      <c r="R330" s="19">
        <v>2018</v>
      </c>
      <c r="S330" s="22">
        <v>2</v>
      </c>
      <c r="T330" s="23">
        <v>2.5</v>
      </c>
      <c r="U330" s="18" t="s">
        <v>41</v>
      </c>
      <c r="V330" s="22">
        <v>1</v>
      </c>
      <c r="W330" s="18" t="s">
        <v>910</v>
      </c>
      <c r="X330" s="18" t="s">
        <v>911</v>
      </c>
      <c r="Y330" s="21" t="s">
        <v>912</v>
      </c>
      <c r="Z330" s="18"/>
    </row>
    <row r="331" spans="1:26" x14ac:dyDescent="0.25">
      <c r="A331" s="22">
        <v>22607081</v>
      </c>
      <c r="B331" s="18">
        <v>46098</v>
      </c>
      <c r="C331" s="18">
        <v>46146</v>
      </c>
      <c r="D331" s="18">
        <v>46118</v>
      </c>
      <c r="E331" s="19" t="s">
        <v>37</v>
      </c>
      <c r="F331" s="20">
        <v>638000</v>
      </c>
      <c r="G331" s="13">
        <v>638000</v>
      </c>
      <c r="H331" s="20">
        <v>630800</v>
      </c>
      <c r="I331" s="29">
        <f t="shared" si="5"/>
        <v>225.85034013605443</v>
      </c>
      <c r="J331" s="18">
        <v>1715</v>
      </c>
      <c r="K331" s="18" t="s">
        <v>706</v>
      </c>
      <c r="L331" s="18" t="s">
        <v>913</v>
      </c>
      <c r="M331" s="21" t="s">
        <v>708</v>
      </c>
      <c r="N331" s="21">
        <v>85614</v>
      </c>
      <c r="O331" s="21">
        <v>31.894936999999999</v>
      </c>
      <c r="P331" s="21">
        <v>-110.95036399999999</v>
      </c>
      <c r="Q331" s="22">
        <v>2793</v>
      </c>
      <c r="R331" s="19">
        <v>2006</v>
      </c>
      <c r="S331" s="22">
        <v>3</v>
      </c>
      <c r="T331" s="23">
        <v>2.5</v>
      </c>
      <c r="U331" s="18" t="s">
        <v>41</v>
      </c>
      <c r="V331" s="22">
        <v>1</v>
      </c>
      <c r="W331" s="18" t="s">
        <v>914</v>
      </c>
      <c r="X331" s="18" t="s">
        <v>915</v>
      </c>
      <c r="Y331" s="21" t="s">
        <v>916</v>
      </c>
      <c r="Z331" s="18"/>
    </row>
    <row r="332" spans="1:26" x14ac:dyDescent="0.25">
      <c r="A332" s="16">
        <v>22523847</v>
      </c>
      <c r="B332" s="11">
        <v>45912</v>
      </c>
      <c r="C332" s="11">
        <v>46031</v>
      </c>
      <c r="D332" s="11">
        <v>46030</v>
      </c>
      <c r="E332" s="12" t="s">
        <v>37</v>
      </c>
      <c r="F332" s="13">
        <v>500000</v>
      </c>
      <c r="G332" s="13">
        <v>425000</v>
      </c>
      <c r="H332" s="13">
        <v>430000</v>
      </c>
      <c r="I332" s="29">
        <f t="shared" si="5"/>
        <v>235.48740416210296</v>
      </c>
      <c r="J332" s="11">
        <v>1712</v>
      </c>
      <c r="K332" s="11" t="s">
        <v>706</v>
      </c>
      <c r="L332" s="11" t="s">
        <v>917</v>
      </c>
      <c r="M332" s="15" t="s">
        <v>708</v>
      </c>
      <c r="N332" s="15">
        <v>85614</v>
      </c>
      <c r="O332" s="15">
        <v>31.895154999999999</v>
      </c>
      <c r="P332" s="15">
        <v>-110.946617</v>
      </c>
      <c r="Q332" s="16">
        <v>1826</v>
      </c>
      <c r="R332" s="16">
        <v>2005</v>
      </c>
      <c r="S332" s="16">
        <v>2</v>
      </c>
      <c r="T332" s="17">
        <v>2</v>
      </c>
      <c r="U332" s="11" t="s">
        <v>41</v>
      </c>
      <c r="V332" s="16">
        <v>1</v>
      </c>
      <c r="W332" s="11" t="s">
        <v>918</v>
      </c>
      <c r="X332" s="11" t="s">
        <v>919</v>
      </c>
      <c r="Y332" s="15" t="s">
        <v>916</v>
      </c>
      <c r="Z332" s="11"/>
    </row>
    <row r="333" spans="1:26" x14ac:dyDescent="0.25">
      <c r="A333" s="16">
        <v>22601814</v>
      </c>
      <c r="B333" s="11">
        <v>46042</v>
      </c>
      <c r="C333" s="11">
        <v>46114</v>
      </c>
      <c r="D333" s="11">
        <v>46112</v>
      </c>
      <c r="E333" s="12" t="s">
        <v>37</v>
      </c>
      <c r="F333" s="13">
        <v>464000</v>
      </c>
      <c r="G333" s="13">
        <v>464000</v>
      </c>
      <c r="H333" s="13">
        <v>454000</v>
      </c>
      <c r="I333" s="29">
        <f t="shared" si="5"/>
        <v>239.95771670190274</v>
      </c>
      <c r="J333" s="11">
        <v>1986</v>
      </c>
      <c r="K333" s="11" t="s">
        <v>48</v>
      </c>
      <c r="L333" s="11" t="s">
        <v>920</v>
      </c>
      <c r="M333" s="15" t="s">
        <v>708</v>
      </c>
      <c r="N333" s="15">
        <v>85614</v>
      </c>
      <c r="O333" s="15">
        <v>31.897594000000002</v>
      </c>
      <c r="P333" s="15">
        <v>-110.944588</v>
      </c>
      <c r="Q333" s="16">
        <v>1892</v>
      </c>
      <c r="R333" s="16">
        <v>2006</v>
      </c>
      <c r="S333" s="16">
        <v>3</v>
      </c>
      <c r="T333" s="17">
        <v>3</v>
      </c>
      <c r="U333" s="11" t="s">
        <v>41</v>
      </c>
      <c r="V333" s="16">
        <v>1</v>
      </c>
      <c r="W333" s="11" t="s">
        <v>921</v>
      </c>
      <c r="X333" s="11" t="s">
        <v>922</v>
      </c>
      <c r="Y333" s="15" t="s">
        <v>923</v>
      </c>
      <c r="Z333" s="11"/>
    </row>
    <row r="334" spans="1:26" x14ac:dyDescent="0.25">
      <c r="A334" s="16">
        <v>22521484</v>
      </c>
      <c r="B334" s="11">
        <v>45884</v>
      </c>
      <c r="C334" s="11">
        <v>46112</v>
      </c>
      <c r="D334" s="11">
        <v>46109</v>
      </c>
      <c r="E334" s="12" t="s">
        <v>37</v>
      </c>
      <c r="F334" s="13">
        <v>560000</v>
      </c>
      <c r="G334" s="13">
        <v>475000</v>
      </c>
      <c r="H334" s="13">
        <v>465000</v>
      </c>
      <c r="I334" s="29">
        <f t="shared" si="5"/>
        <v>218.10506566604127</v>
      </c>
      <c r="J334" s="11">
        <v>1979</v>
      </c>
      <c r="K334" s="11" t="s">
        <v>48</v>
      </c>
      <c r="L334" s="11" t="s">
        <v>920</v>
      </c>
      <c r="M334" s="15" t="s">
        <v>708</v>
      </c>
      <c r="N334" s="15">
        <v>85614</v>
      </c>
      <c r="O334" s="15">
        <v>31.898087</v>
      </c>
      <c r="P334" s="15">
        <v>-110.944537</v>
      </c>
      <c r="Q334" s="16">
        <v>2132</v>
      </c>
      <c r="R334" s="16">
        <v>2014</v>
      </c>
      <c r="S334" s="16">
        <v>2</v>
      </c>
      <c r="T334" s="17">
        <v>2.5</v>
      </c>
      <c r="U334" s="11" t="s">
        <v>41</v>
      </c>
      <c r="V334" s="16">
        <v>1</v>
      </c>
      <c r="W334" s="11" t="s">
        <v>924</v>
      </c>
      <c r="X334" s="11" t="s">
        <v>925</v>
      </c>
      <c r="Y334" s="15" t="s">
        <v>923</v>
      </c>
      <c r="Z334" s="11"/>
    </row>
    <row r="335" spans="1:26" x14ac:dyDescent="0.25">
      <c r="A335" s="16">
        <v>22520010</v>
      </c>
      <c r="B335" s="11">
        <v>45869</v>
      </c>
      <c r="C335" s="11">
        <v>46134</v>
      </c>
      <c r="D335" s="11">
        <v>46129</v>
      </c>
      <c r="E335" s="12" t="s">
        <v>37</v>
      </c>
      <c r="F335" s="13">
        <v>334900</v>
      </c>
      <c r="G335" s="13">
        <v>320000</v>
      </c>
      <c r="H335" s="13">
        <v>320000</v>
      </c>
      <c r="I335" s="29">
        <f t="shared" si="5"/>
        <v>221.147201105736</v>
      </c>
      <c r="J335" s="11">
        <v>1075</v>
      </c>
      <c r="K335" s="11" t="s">
        <v>706</v>
      </c>
      <c r="L335" s="11" t="s">
        <v>926</v>
      </c>
      <c r="M335" s="15" t="s">
        <v>708</v>
      </c>
      <c r="N335" s="15">
        <v>85614</v>
      </c>
      <c r="O335" s="15">
        <v>31.885269000000001</v>
      </c>
      <c r="P335" s="15">
        <v>-110.95059500000001</v>
      </c>
      <c r="Q335" s="16">
        <v>1447</v>
      </c>
      <c r="R335" s="16">
        <v>2018</v>
      </c>
      <c r="S335" s="16">
        <v>2</v>
      </c>
      <c r="T335" s="17">
        <v>2</v>
      </c>
      <c r="U335" s="11" t="s">
        <v>41</v>
      </c>
      <c r="V335" s="16">
        <v>1</v>
      </c>
      <c r="W335" s="11" t="s">
        <v>927</v>
      </c>
      <c r="X335" s="11" t="s">
        <v>928</v>
      </c>
      <c r="Y335" s="15" t="s">
        <v>929</v>
      </c>
      <c r="Z335" s="11"/>
    </row>
    <row r="336" spans="1:26" x14ac:dyDescent="0.25">
      <c r="A336" s="22">
        <v>22528644</v>
      </c>
      <c r="B336" s="18">
        <v>45965</v>
      </c>
      <c r="C336" s="18">
        <v>46059</v>
      </c>
      <c r="D336" s="18">
        <v>46053</v>
      </c>
      <c r="E336" s="19" t="s">
        <v>37</v>
      </c>
      <c r="F336" s="20">
        <v>359500</v>
      </c>
      <c r="G336" s="13">
        <v>359500</v>
      </c>
      <c r="H336" s="20">
        <v>351000</v>
      </c>
      <c r="I336" s="29">
        <f t="shared" si="5"/>
        <v>250.89349535382416</v>
      </c>
      <c r="J336" s="18">
        <v>1110</v>
      </c>
      <c r="K336" s="18" t="s">
        <v>706</v>
      </c>
      <c r="L336" s="18" t="s">
        <v>707</v>
      </c>
      <c r="M336" s="21" t="s">
        <v>708</v>
      </c>
      <c r="N336" s="21">
        <v>85614</v>
      </c>
      <c r="O336" s="21">
        <v>31.885415999999999</v>
      </c>
      <c r="P336" s="21">
        <v>-110.95116899999999</v>
      </c>
      <c r="Q336" s="22">
        <v>1399</v>
      </c>
      <c r="R336" s="19">
        <v>2019</v>
      </c>
      <c r="S336" s="22">
        <v>3</v>
      </c>
      <c r="T336" s="23">
        <v>2</v>
      </c>
      <c r="U336" s="18" t="s">
        <v>41</v>
      </c>
      <c r="V336" s="22">
        <v>1</v>
      </c>
      <c r="W336" s="18" t="s">
        <v>930</v>
      </c>
      <c r="X336" s="18" t="s">
        <v>931</v>
      </c>
      <c r="Y336" s="21" t="s">
        <v>929</v>
      </c>
      <c r="Z336" s="18"/>
    </row>
    <row r="337" spans="1:26" x14ac:dyDescent="0.25">
      <c r="A337" s="22">
        <v>22531618</v>
      </c>
      <c r="B337" s="18">
        <v>46003</v>
      </c>
      <c r="C337" s="18">
        <v>46066</v>
      </c>
      <c r="D337" s="18">
        <v>46063</v>
      </c>
      <c r="E337" s="19" t="s">
        <v>37</v>
      </c>
      <c r="F337" s="20">
        <v>365000</v>
      </c>
      <c r="G337" s="13">
        <v>365000</v>
      </c>
      <c r="H337" s="20">
        <v>362000</v>
      </c>
      <c r="I337" s="29">
        <f t="shared" si="5"/>
        <v>258.75625446747677</v>
      </c>
      <c r="J337" s="18">
        <v>1701</v>
      </c>
      <c r="K337" s="18" t="s">
        <v>48</v>
      </c>
      <c r="L337" s="18" t="s">
        <v>791</v>
      </c>
      <c r="M337" s="21" t="s">
        <v>708</v>
      </c>
      <c r="N337" s="21">
        <v>85614</v>
      </c>
      <c r="O337" s="21">
        <v>31.885835</v>
      </c>
      <c r="P337" s="21">
        <v>-110.95060700000001</v>
      </c>
      <c r="Q337" s="22">
        <v>1399</v>
      </c>
      <c r="R337" s="19">
        <v>2019</v>
      </c>
      <c r="S337" s="22">
        <v>2</v>
      </c>
      <c r="T337" s="23">
        <v>2</v>
      </c>
      <c r="U337" s="18" t="s">
        <v>41</v>
      </c>
      <c r="V337" s="22">
        <v>1</v>
      </c>
      <c r="W337" s="18" t="s">
        <v>932</v>
      </c>
      <c r="X337" s="18" t="s">
        <v>933</v>
      </c>
      <c r="Y337" s="21" t="s">
        <v>929</v>
      </c>
      <c r="Z337" s="18"/>
    </row>
    <row r="338" spans="1:26" x14ac:dyDescent="0.25">
      <c r="A338" s="16">
        <v>22532535</v>
      </c>
      <c r="B338" s="11">
        <v>46021</v>
      </c>
      <c r="C338" s="11">
        <v>46073</v>
      </c>
      <c r="D338" s="11">
        <v>46066</v>
      </c>
      <c r="E338" s="12" t="s">
        <v>37</v>
      </c>
      <c r="F338" s="13">
        <v>379000</v>
      </c>
      <c r="G338" s="13">
        <v>369000</v>
      </c>
      <c r="H338" s="13">
        <v>362700</v>
      </c>
      <c r="I338" s="29">
        <f t="shared" si="5"/>
        <v>259.25661186561831</v>
      </c>
      <c r="J338" s="11">
        <v>1175</v>
      </c>
      <c r="K338" s="11" t="s">
        <v>706</v>
      </c>
      <c r="L338" s="11" t="s">
        <v>926</v>
      </c>
      <c r="M338" s="15" t="s">
        <v>708</v>
      </c>
      <c r="N338" s="15">
        <v>85614</v>
      </c>
      <c r="O338" s="15">
        <v>31.886934</v>
      </c>
      <c r="P338" s="15">
        <v>-110.95085899999999</v>
      </c>
      <c r="Q338" s="16">
        <v>1399</v>
      </c>
      <c r="R338" s="16">
        <v>2019</v>
      </c>
      <c r="S338" s="16">
        <v>2</v>
      </c>
      <c r="T338" s="17">
        <v>2</v>
      </c>
      <c r="U338" s="11" t="s">
        <v>41</v>
      </c>
      <c r="V338" s="16">
        <v>1</v>
      </c>
      <c r="W338" s="11" t="s">
        <v>934</v>
      </c>
      <c r="X338" s="11" t="s">
        <v>935</v>
      </c>
      <c r="Y338" s="15" t="s">
        <v>929</v>
      </c>
      <c r="Z338" s="11"/>
    </row>
    <row r="339" spans="1:26" x14ac:dyDescent="0.25">
      <c r="A339" s="16">
        <v>22522907</v>
      </c>
      <c r="B339" s="11">
        <v>45904</v>
      </c>
      <c r="C339" s="11">
        <v>46042</v>
      </c>
      <c r="D339" s="11">
        <v>46041</v>
      </c>
      <c r="E339" s="12" t="s">
        <v>37</v>
      </c>
      <c r="F339" s="13">
        <v>415000</v>
      </c>
      <c r="G339" s="13">
        <v>385000</v>
      </c>
      <c r="H339" s="13">
        <v>380000</v>
      </c>
      <c r="I339" s="29">
        <f t="shared" si="5"/>
        <v>251.9893899204244</v>
      </c>
      <c r="J339" s="11">
        <v>1618</v>
      </c>
      <c r="K339" s="11" t="s">
        <v>48</v>
      </c>
      <c r="L339" s="11" t="s">
        <v>936</v>
      </c>
      <c r="M339" s="15" t="s">
        <v>708</v>
      </c>
      <c r="N339" s="15">
        <v>85614</v>
      </c>
      <c r="O339" s="15">
        <v>31.887186</v>
      </c>
      <c r="P339" s="15">
        <v>-110.95153500000001</v>
      </c>
      <c r="Q339" s="16">
        <v>1508</v>
      </c>
      <c r="R339" s="16">
        <v>2020</v>
      </c>
      <c r="S339" s="16">
        <v>2</v>
      </c>
      <c r="T339" s="17">
        <v>2</v>
      </c>
      <c r="U339" s="11" t="s">
        <v>41</v>
      </c>
      <c r="V339" s="16">
        <v>1</v>
      </c>
      <c r="W339" s="11" t="s">
        <v>937</v>
      </c>
      <c r="X339" s="11" t="s">
        <v>938</v>
      </c>
      <c r="Y339" s="15" t="s">
        <v>929</v>
      </c>
      <c r="Z339" s="11"/>
    </row>
    <row r="340" spans="1:26" x14ac:dyDescent="0.25">
      <c r="A340" s="16">
        <v>22523261</v>
      </c>
      <c r="B340" s="11">
        <v>45903</v>
      </c>
      <c r="C340" s="11">
        <v>46135</v>
      </c>
      <c r="D340" s="11">
        <v>46115</v>
      </c>
      <c r="E340" s="12" t="s">
        <v>37</v>
      </c>
      <c r="F340" s="13">
        <v>554999</v>
      </c>
      <c r="G340" s="13">
        <v>490000</v>
      </c>
      <c r="H340" s="13">
        <v>430000</v>
      </c>
      <c r="I340" s="29">
        <f t="shared" si="5"/>
        <v>190.09725906277632</v>
      </c>
      <c r="J340" s="11">
        <v>1264</v>
      </c>
      <c r="K340" s="11" t="s">
        <v>706</v>
      </c>
      <c r="L340" s="11" t="s">
        <v>794</v>
      </c>
      <c r="M340" s="15" t="s">
        <v>708</v>
      </c>
      <c r="N340" s="15">
        <v>85614</v>
      </c>
      <c r="O340" s="15">
        <v>31.888389</v>
      </c>
      <c r="P340" s="15">
        <v>-110.94498400000001</v>
      </c>
      <c r="Q340" s="16">
        <v>2262</v>
      </c>
      <c r="R340" s="16">
        <v>2004</v>
      </c>
      <c r="S340" s="16">
        <v>2</v>
      </c>
      <c r="T340" s="17">
        <v>2</v>
      </c>
      <c r="U340" s="11" t="s">
        <v>41</v>
      </c>
      <c r="V340" s="16">
        <v>1</v>
      </c>
      <c r="W340" s="11" t="s">
        <v>939</v>
      </c>
      <c r="X340" s="11" t="s">
        <v>940</v>
      </c>
      <c r="Y340" s="15" t="s">
        <v>941</v>
      </c>
      <c r="Z340" s="11"/>
    </row>
    <row r="341" spans="1:26" x14ac:dyDescent="0.25">
      <c r="A341" s="16">
        <v>22603356</v>
      </c>
      <c r="B341" s="11">
        <v>46052</v>
      </c>
      <c r="C341" s="11">
        <v>46086</v>
      </c>
      <c r="D341" s="11">
        <v>46086</v>
      </c>
      <c r="E341" s="12" t="s">
        <v>37</v>
      </c>
      <c r="F341" s="13">
        <v>449000</v>
      </c>
      <c r="G341" s="13">
        <v>449000</v>
      </c>
      <c r="H341" s="13">
        <v>439000</v>
      </c>
      <c r="I341" s="29">
        <f t="shared" si="5"/>
        <v>279.79604843849586</v>
      </c>
      <c r="J341" s="11">
        <v>1329</v>
      </c>
      <c r="K341" s="11" t="s">
        <v>706</v>
      </c>
      <c r="L341" s="11" t="s">
        <v>942</v>
      </c>
      <c r="M341" s="15" t="s">
        <v>708</v>
      </c>
      <c r="N341" s="15">
        <v>85614</v>
      </c>
      <c r="O341" s="15">
        <v>31.889603999999999</v>
      </c>
      <c r="P341" s="15">
        <v>-110.94294499999999</v>
      </c>
      <c r="Q341" s="16">
        <v>1569</v>
      </c>
      <c r="R341" s="16">
        <v>2003</v>
      </c>
      <c r="S341" s="16">
        <v>2</v>
      </c>
      <c r="T341" s="17">
        <v>2</v>
      </c>
      <c r="U341" s="11" t="s">
        <v>41</v>
      </c>
      <c r="V341" s="16">
        <v>1</v>
      </c>
      <c r="W341" s="11" t="s">
        <v>943</v>
      </c>
      <c r="X341" s="11" t="s">
        <v>944</v>
      </c>
      <c r="Y341" s="15" t="s">
        <v>941</v>
      </c>
      <c r="Z341" s="11"/>
    </row>
    <row r="342" spans="1:26" x14ac:dyDescent="0.25">
      <c r="A342" s="16">
        <v>22528442</v>
      </c>
      <c r="B342" s="11">
        <v>45962</v>
      </c>
      <c r="C342" s="11">
        <v>46001</v>
      </c>
      <c r="D342" s="11">
        <v>46000</v>
      </c>
      <c r="E342" s="12" t="s">
        <v>37</v>
      </c>
      <c r="F342" s="13">
        <v>372900</v>
      </c>
      <c r="G342" s="13">
        <v>360000</v>
      </c>
      <c r="H342" s="13">
        <v>340000</v>
      </c>
      <c r="I342" s="29">
        <f t="shared" si="5"/>
        <v>154.89749430523918</v>
      </c>
      <c r="J342" s="11">
        <v>1328</v>
      </c>
      <c r="K342" s="11" t="s">
        <v>706</v>
      </c>
      <c r="L342" s="11" t="s">
        <v>945</v>
      </c>
      <c r="M342" s="15" t="s">
        <v>708</v>
      </c>
      <c r="N342" s="15">
        <v>85614</v>
      </c>
      <c r="O342" s="15">
        <v>31.889607000000002</v>
      </c>
      <c r="P342" s="15">
        <v>-110.94159399999999</v>
      </c>
      <c r="Q342" s="16">
        <v>2195</v>
      </c>
      <c r="R342" s="16">
        <v>2002</v>
      </c>
      <c r="S342" s="16">
        <v>2</v>
      </c>
      <c r="T342" s="17">
        <v>2</v>
      </c>
      <c r="U342" s="11" t="s">
        <v>41</v>
      </c>
      <c r="V342" s="16">
        <v>1</v>
      </c>
      <c r="W342" s="11" t="s">
        <v>946</v>
      </c>
      <c r="X342" s="11" t="s">
        <v>947</v>
      </c>
      <c r="Y342" s="15" t="s">
        <v>941</v>
      </c>
      <c r="Z342" s="11"/>
    </row>
    <row r="343" spans="1:26" x14ac:dyDescent="0.25">
      <c r="A343" s="16">
        <v>22604191</v>
      </c>
      <c r="B343" s="11">
        <v>46066</v>
      </c>
      <c r="C343" s="11">
        <v>46146</v>
      </c>
      <c r="D343" s="11">
        <v>46143</v>
      </c>
      <c r="E343" s="12" t="s">
        <v>37</v>
      </c>
      <c r="F343" s="13">
        <v>575000</v>
      </c>
      <c r="G343" s="13">
        <v>575000</v>
      </c>
      <c r="H343" s="13">
        <v>564000</v>
      </c>
      <c r="I343" s="29">
        <f t="shared" si="5"/>
        <v>257.18194254445962</v>
      </c>
      <c r="J343" s="11">
        <v>1531</v>
      </c>
      <c r="K343" s="11" t="s">
        <v>706</v>
      </c>
      <c r="L343" s="11" t="s">
        <v>948</v>
      </c>
      <c r="M343" s="15" t="s">
        <v>708</v>
      </c>
      <c r="N343" s="15">
        <v>85614</v>
      </c>
      <c r="O343" s="15">
        <v>31.892890999999999</v>
      </c>
      <c r="P343" s="15">
        <v>-110.948562</v>
      </c>
      <c r="Q343" s="16">
        <v>2193</v>
      </c>
      <c r="R343" s="16">
        <v>2000</v>
      </c>
      <c r="S343" s="16">
        <v>2</v>
      </c>
      <c r="T343" s="17">
        <v>2.5</v>
      </c>
      <c r="U343" s="11" t="s">
        <v>41</v>
      </c>
      <c r="V343" s="16">
        <v>1</v>
      </c>
      <c r="W343" s="11" t="s">
        <v>949</v>
      </c>
      <c r="X343" s="11" t="s">
        <v>950</v>
      </c>
      <c r="Y343" s="15" t="s">
        <v>941</v>
      </c>
      <c r="Z343" s="11"/>
    </row>
    <row r="344" spans="1:26" x14ac:dyDescent="0.25">
      <c r="A344" s="22">
        <v>22522400</v>
      </c>
      <c r="B344" s="18">
        <v>45897</v>
      </c>
      <c r="C344" s="18">
        <v>46021</v>
      </c>
      <c r="D344" s="18">
        <v>46010</v>
      </c>
      <c r="E344" s="19" t="s">
        <v>37</v>
      </c>
      <c r="F344" s="20">
        <v>445000</v>
      </c>
      <c r="G344" s="13">
        <v>445000</v>
      </c>
      <c r="H344" s="20">
        <v>437000</v>
      </c>
      <c r="I344" s="29">
        <f t="shared" si="5"/>
        <v>289.78779840848807</v>
      </c>
      <c r="J344" s="18">
        <v>1573</v>
      </c>
      <c r="K344" s="18" t="s">
        <v>706</v>
      </c>
      <c r="L344" s="18" t="s">
        <v>951</v>
      </c>
      <c r="M344" s="21" t="s">
        <v>708</v>
      </c>
      <c r="N344" s="21">
        <v>85614</v>
      </c>
      <c r="O344" s="21">
        <v>31.893270000000001</v>
      </c>
      <c r="P344" s="21">
        <v>-110.957531</v>
      </c>
      <c r="Q344" s="22">
        <v>1508</v>
      </c>
      <c r="R344" s="19">
        <v>2023</v>
      </c>
      <c r="S344" s="22">
        <v>2</v>
      </c>
      <c r="T344" s="23">
        <v>2</v>
      </c>
      <c r="U344" s="18" t="s">
        <v>41</v>
      </c>
      <c r="V344" s="22">
        <v>1</v>
      </c>
      <c r="W344" s="18" t="s">
        <v>952</v>
      </c>
      <c r="X344" s="18" t="s">
        <v>953</v>
      </c>
      <c r="Y344" s="21" t="s">
        <v>941</v>
      </c>
      <c r="Z344" s="18"/>
    </row>
    <row r="345" spans="1:26" x14ac:dyDescent="0.25">
      <c r="A345" s="22">
        <v>22606289</v>
      </c>
      <c r="B345" s="19">
        <v>46090</v>
      </c>
      <c r="C345" s="19">
        <v>46119</v>
      </c>
      <c r="D345" s="19">
        <v>46113</v>
      </c>
      <c r="E345" s="19" t="s">
        <v>37</v>
      </c>
      <c r="F345" s="20">
        <v>339000</v>
      </c>
      <c r="G345" s="13">
        <v>339000</v>
      </c>
      <c r="H345" s="20">
        <v>339000</v>
      </c>
      <c r="I345" s="29">
        <f t="shared" si="5"/>
        <v>263.6080870917574</v>
      </c>
      <c r="J345" s="19">
        <v>1452</v>
      </c>
      <c r="K345" s="19" t="s">
        <v>48</v>
      </c>
      <c r="L345" s="19" t="s">
        <v>778</v>
      </c>
      <c r="M345" s="21" t="s">
        <v>708</v>
      </c>
      <c r="N345" s="21">
        <v>85614</v>
      </c>
      <c r="O345" s="21">
        <v>31.894811000000001</v>
      </c>
      <c r="P345" s="21">
        <v>-110.955727</v>
      </c>
      <c r="Q345" s="22">
        <v>1286</v>
      </c>
      <c r="R345" s="19">
        <v>2021</v>
      </c>
      <c r="S345" s="22">
        <v>2</v>
      </c>
      <c r="T345" s="23">
        <v>2</v>
      </c>
      <c r="U345" s="19" t="s">
        <v>41</v>
      </c>
      <c r="V345" s="22">
        <v>1</v>
      </c>
      <c r="W345" s="19" t="s">
        <v>954</v>
      </c>
      <c r="X345" s="19" t="s">
        <v>955</v>
      </c>
      <c r="Y345" s="21" t="s">
        <v>956</v>
      </c>
      <c r="Z345" s="19"/>
    </row>
    <row r="346" spans="1:26" x14ac:dyDescent="0.25">
      <c r="A346" s="16">
        <v>22609541</v>
      </c>
      <c r="B346" s="11">
        <v>46125</v>
      </c>
      <c r="C346" s="11">
        <v>46169</v>
      </c>
      <c r="D346" s="11">
        <v>46160</v>
      </c>
      <c r="E346" s="12" t="s">
        <v>37</v>
      </c>
      <c r="F346" s="13">
        <v>635000</v>
      </c>
      <c r="G346" s="13">
        <v>635000</v>
      </c>
      <c r="H346" s="13">
        <v>620000</v>
      </c>
      <c r="I346" s="29">
        <f t="shared" si="5"/>
        <v>285.84601198709083</v>
      </c>
      <c r="J346" s="11">
        <v>1438</v>
      </c>
      <c r="K346" s="11" t="s">
        <v>48</v>
      </c>
      <c r="L346" s="11" t="s">
        <v>560</v>
      </c>
      <c r="M346" s="15" t="s">
        <v>708</v>
      </c>
      <c r="N346" s="15">
        <v>85614</v>
      </c>
      <c r="O346" s="15">
        <v>31.896773</v>
      </c>
      <c r="P346" s="15">
        <v>-110.95490100000001</v>
      </c>
      <c r="Q346" s="16">
        <v>2169</v>
      </c>
      <c r="R346" s="16">
        <v>2021</v>
      </c>
      <c r="S346" s="16">
        <v>2</v>
      </c>
      <c r="T346" s="17">
        <v>2.5</v>
      </c>
      <c r="U346" s="11" t="s">
        <v>41</v>
      </c>
      <c r="V346" s="16">
        <v>1</v>
      </c>
      <c r="W346" s="11" t="s">
        <v>957</v>
      </c>
      <c r="X346" s="11" t="s">
        <v>958</v>
      </c>
      <c r="Y346" s="15" t="s">
        <v>959</v>
      </c>
      <c r="Z346" s="11"/>
    </row>
    <row r="347" spans="1:26" x14ac:dyDescent="0.25">
      <c r="A347" s="16">
        <v>22526533</v>
      </c>
      <c r="B347" s="11">
        <v>45942</v>
      </c>
      <c r="C347" s="11">
        <v>46112</v>
      </c>
      <c r="D347" s="11">
        <v>46088</v>
      </c>
      <c r="E347" s="12" t="s">
        <v>37</v>
      </c>
      <c r="F347" s="13">
        <v>595000</v>
      </c>
      <c r="G347" s="13">
        <v>565000</v>
      </c>
      <c r="H347" s="13">
        <v>565000</v>
      </c>
      <c r="I347" s="29">
        <f t="shared" si="5"/>
        <v>310.61022539857066</v>
      </c>
      <c r="J347" s="11">
        <v>1668</v>
      </c>
      <c r="K347" s="11" t="s">
        <v>48</v>
      </c>
      <c r="L347" s="11" t="s">
        <v>960</v>
      </c>
      <c r="M347" s="15" t="s">
        <v>708</v>
      </c>
      <c r="N347" s="15">
        <v>85614</v>
      </c>
      <c r="O347" s="15">
        <v>31.896301999999999</v>
      </c>
      <c r="P347" s="15">
        <v>-110.950923</v>
      </c>
      <c r="Q347" s="16">
        <v>1819</v>
      </c>
      <c r="R347" s="16">
        <v>2023</v>
      </c>
      <c r="S347" s="16">
        <v>2</v>
      </c>
      <c r="T347" s="17">
        <v>2</v>
      </c>
      <c r="U347" s="11" t="s">
        <v>41</v>
      </c>
      <c r="V347" s="16">
        <v>1</v>
      </c>
      <c r="W347" s="11" t="s">
        <v>961</v>
      </c>
      <c r="X347" s="11" t="s">
        <v>962</v>
      </c>
      <c r="Y347" s="15" t="s">
        <v>963</v>
      </c>
      <c r="Z347" s="11"/>
    </row>
    <row r="348" spans="1:26" x14ac:dyDescent="0.25">
      <c r="A348" s="16">
        <v>22607232</v>
      </c>
      <c r="B348" s="11">
        <v>46099</v>
      </c>
      <c r="C348" s="11">
        <v>46160</v>
      </c>
      <c r="D348" s="11">
        <v>46156</v>
      </c>
      <c r="E348" s="12" t="s">
        <v>37</v>
      </c>
      <c r="F348" s="13">
        <v>420000</v>
      </c>
      <c r="G348" s="13">
        <v>420000</v>
      </c>
      <c r="H348" s="13">
        <v>395000</v>
      </c>
      <c r="I348" s="29">
        <f t="shared" si="5"/>
        <v>207.02306079664569</v>
      </c>
      <c r="J348" s="11">
        <v>2212</v>
      </c>
      <c r="K348" s="11" t="s">
        <v>48</v>
      </c>
      <c r="L348" s="11" t="s">
        <v>964</v>
      </c>
      <c r="M348" s="15" t="s">
        <v>708</v>
      </c>
      <c r="N348" s="15">
        <v>85614</v>
      </c>
      <c r="O348" s="15">
        <v>31.882183999999999</v>
      </c>
      <c r="P348" s="15">
        <v>-110.939599</v>
      </c>
      <c r="Q348" s="16">
        <v>1908</v>
      </c>
      <c r="R348" s="16">
        <v>2006</v>
      </c>
      <c r="S348" s="16">
        <v>2</v>
      </c>
      <c r="T348" s="17">
        <v>2</v>
      </c>
      <c r="U348" s="11" t="s">
        <v>41</v>
      </c>
      <c r="V348" s="16">
        <v>1</v>
      </c>
      <c r="W348" s="11" t="s">
        <v>965</v>
      </c>
      <c r="X348" s="11" t="s">
        <v>966</v>
      </c>
      <c r="Y348" s="15" t="s">
        <v>967</v>
      </c>
      <c r="Z348" s="11"/>
    </row>
    <row r="349" spans="1:26" x14ac:dyDescent="0.25">
      <c r="A349" s="22">
        <v>22605054</v>
      </c>
      <c r="B349" s="18">
        <v>46077</v>
      </c>
      <c r="C349" s="18">
        <v>46097</v>
      </c>
      <c r="D349" s="18">
        <v>46086</v>
      </c>
      <c r="E349" s="19" t="s">
        <v>37</v>
      </c>
      <c r="F349" s="20">
        <v>377000</v>
      </c>
      <c r="G349" s="13">
        <v>377000</v>
      </c>
      <c r="H349" s="20">
        <v>377000</v>
      </c>
      <c r="I349" s="29">
        <f t="shared" si="5"/>
        <v>236.95788812067883</v>
      </c>
      <c r="J349" s="18">
        <v>881</v>
      </c>
      <c r="K349" s="18" t="s">
        <v>706</v>
      </c>
      <c r="L349" s="18" t="s">
        <v>815</v>
      </c>
      <c r="M349" s="21" t="s">
        <v>708</v>
      </c>
      <c r="N349" s="21">
        <v>85614</v>
      </c>
      <c r="O349" s="21">
        <v>31.883158000000002</v>
      </c>
      <c r="P349" s="21">
        <v>-110.94184300000001</v>
      </c>
      <c r="Q349" s="22">
        <v>1591</v>
      </c>
      <c r="R349" s="19">
        <v>2006</v>
      </c>
      <c r="S349" s="22">
        <v>2</v>
      </c>
      <c r="T349" s="23">
        <v>2</v>
      </c>
      <c r="U349" s="18" t="s">
        <v>41</v>
      </c>
      <c r="V349" s="22">
        <v>1</v>
      </c>
      <c r="W349" s="18" t="s">
        <v>968</v>
      </c>
      <c r="X349" s="18" t="s">
        <v>969</v>
      </c>
      <c r="Y349" s="21" t="s">
        <v>967</v>
      </c>
      <c r="Z349" s="18"/>
    </row>
    <row r="350" spans="1:26" x14ac:dyDescent="0.25">
      <c r="A350" s="22">
        <v>22531827</v>
      </c>
      <c r="B350" s="18">
        <v>46006</v>
      </c>
      <c r="C350" s="18">
        <v>46038</v>
      </c>
      <c r="D350" s="18">
        <v>46017</v>
      </c>
      <c r="E350" s="19" t="s">
        <v>37</v>
      </c>
      <c r="F350" s="20">
        <v>329000</v>
      </c>
      <c r="G350" s="13">
        <v>329000</v>
      </c>
      <c r="H350" s="20">
        <v>334000</v>
      </c>
      <c r="I350" s="29">
        <f t="shared" si="5"/>
        <v>212.87444231994903</v>
      </c>
      <c r="J350" s="18">
        <v>2175</v>
      </c>
      <c r="K350" s="18" t="s">
        <v>48</v>
      </c>
      <c r="L350" s="18" t="s">
        <v>970</v>
      </c>
      <c r="M350" s="21" t="s">
        <v>708</v>
      </c>
      <c r="N350" s="21">
        <v>85614</v>
      </c>
      <c r="O350" s="21">
        <v>31.883664</v>
      </c>
      <c r="P350" s="21">
        <v>-110.940263</v>
      </c>
      <c r="Q350" s="22">
        <v>1569</v>
      </c>
      <c r="R350" s="19">
        <v>2006</v>
      </c>
      <c r="S350" s="22">
        <v>2</v>
      </c>
      <c r="T350" s="23">
        <v>2</v>
      </c>
      <c r="U350" s="18" t="s">
        <v>41</v>
      </c>
      <c r="V350" s="22">
        <v>1</v>
      </c>
      <c r="W350" s="18" t="s">
        <v>971</v>
      </c>
      <c r="X350" s="18" t="s">
        <v>972</v>
      </c>
      <c r="Y350" s="21" t="s">
        <v>967</v>
      </c>
      <c r="Z350" s="18"/>
    </row>
    <row r="351" spans="1:26" x14ac:dyDescent="0.25">
      <c r="A351" s="16">
        <v>22528647</v>
      </c>
      <c r="B351" s="11">
        <v>45965</v>
      </c>
      <c r="C351" s="11">
        <v>46034</v>
      </c>
      <c r="D351" s="11">
        <v>45997</v>
      </c>
      <c r="E351" s="12" t="s">
        <v>37</v>
      </c>
      <c r="F351" s="13">
        <v>939000</v>
      </c>
      <c r="G351" s="13">
        <v>939000</v>
      </c>
      <c r="H351" s="13">
        <v>939000</v>
      </c>
      <c r="I351" s="29">
        <f t="shared" si="5"/>
        <v>376.0512615138166</v>
      </c>
      <c r="J351" s="11">
        <v>2336</v>
      </c>
      <c r="K351" s="11" t="s">
        <v>48</v>
      </c>
      <c r="L351" s="11" t="s">
        <v>865</v>
      </c>
      <c r="M351" s="15" t="s">
        <v>708</v>
      </c>
      <c r="N351" s="15">
        <v>85614</v>
      </c>
      <c r="O351" s="15">
        <v>31.876553999999999</v>
      </c>
      <c r="P351" s="15">
        <v>-110.937085</v>
      </c>
      <c r="Q351" s="16">
        <v>2497</v>
      </c>
      <c r="R351" s="16">
        <v>2017</v>
      </c>
      <c r="S351" s="16">
        <v>3</v>
      </c>
      <c r="T351" s="17">
        <v>3.5</v>
      </c>
      <c r="U351" s="11" t="s">
        <v>41</v>
      </c>
      <c r="V351" s="16">
        <v>1</v>
      </c>
      <c r="W351" s="11" t="s">
        <v>973</v>
      </c>
      <c r="X351" s="11" t="s">
        <v>974</v>
      </c>
      <c r="Y351" s="15" t="s">
        <v>975</v>
      </c>
      <c r="Z351" s="11"/>
    </row>
    <row r="352" spans="1:26" x14ac:dyDescent="0.25">
      <c r="A352" s="16">
        <v>22604873</v>
      </c>
      <c r="B352" s="11">
        <v>46074</v>
      </c>
      <c r="C352" s="11">
        <v>46115</v>
      </c>
      <c r="D352" s="11">
        <v>46112</v>
      </c>
      <c r="E352" s="12" t="s">
        <v>37</v>
      </c>
      <c r="F352" s="13">
        <v>745000</v>
      </c>
      <c r="G352" s="13">
        <v>745000</v>
      </c>
      <c r="H352" s="13">
        <v>718000</v>
      </c>
      <c r="I352" s="29">
        <f t="shared" si="5"/>
        <v>320.10699955416851</v>
      </c>
      <c r="J352" s="11">
        <v>2272</v>
      </c>
      <c r="K352" s="11" t="s">
        <v>48</v>
      </c>
      <c r="L352" s="11" t="s">
        <v>865</v>
      </c>
      <c r="M352" s="15" t="s">
        <v>708</v>
      </c>
      <c r="N352" s="15">
        <v>85614</v>
      </c>
      <c r="O352" s="15">
        <v>31.877379000000001</v>
      </c>
      <c r="P352" s="15">
        <v>-110.93870699999999</v>
      </c>
      <c r="Q352" s="16">
        <v>2243</v>
      </c>
      <c r="R352" s="16">
        <v>2018</v>
      </c>
      <c r="S352" s="16">
        <v>2</v>
      </c>
      <c r="T352" s="17">
        <v>2.5</v>
      </c>
      <c r="U352" s="11" t="s">
        <v>41</v>
      </c>
      <c r="V352" s="16">
        <v>1</v>
      </c>
      <c r="W352" s="11" t="s">
        <v>976</v>
      </c>
      <c r="X352" s="11" t="s">
        <v>977</v>
      </c>
      <c r="Y352" s="15" t="s">
        <v>975</v>
      </c>
      <c r="Z352" s="11"/>
    </row>
    <row r="353" spans="1:26" x14ac:dyDescent="0.25">
      <c r="A353" s="22">
        <v>22529498</v>
      </c>
      <c r="B353" s="18">
        <v>45963</v>
      </c>
      <c r="C353" s="18">
        <v>46135</v>
      </c>
      <c r="D353" s="18">
        <v>46134</v>
      </c>
      <c r="E353" s="19" t="s">
        <v>37</v>
      </c>
      <c r="F353" s="20">
        <v>698000</v>
      </c>
      <c r="G353" s="13">
        <v>664000</v>
      </c>
      <c r="H353" s="20">
        <v>650000</v>
      </c>
      <c r="I353" s="29">
        <f t="shared" si="5"/>
        <v>304.73511486169713</v>
      </c>
      <c r="J353" s="18">
        <v>2232</v>
      </c>
      <c r="K353" s="18" t="s">
        <v>48</v>
      </c>
      <c r="L353" s="18" t="s">
        <v>865</v>
      </c>
      <c r="M353" s="21" t="s">
        <v>708</v>
      </c>
      <c r="N353" s="21">
        <v>85614</v>
      </c>
      <c r="O353" s="21">
        <v>31.878132000000001</v>
      </c>
      <c r="P353" s="21">
        <v>-110.93947900000001</v>
      </c>
      <c r="Q353" s="22">
        <v>2133</v>
      </c>
      <c r="R353" s="19">
        <v>2016</v>
      </c>
      <c r="S353" s="22">
        <v>2</v>
      </c>
      <c r="T353" s="23">
        <v>2.5</v>
      </c>
      <c r="U353" s="18" t="s">
        <v>41</v>
      </c>
      <c r="V353" s="22">
        <v>1</v>
      </c>
      <c r="W353" s="18" t="s">
        <v>978</v>
      </c>
      <c r="X353" s="18" t="s">
        <v>979</v>
      </c>
      <c r="Y353" s="21" t="s">
        <v>975</v>
      </c>
      <c r="Z353" s="18"/>
    </row>
    <row r="354" spans="1:26" x14ac:dyDescent="0.25">
      <c r="A354" s="22">
        <v>22600211</v>
      </c>
      <c r="B354" s="18">
        <v>46025</v>
      </c>
      <c r="C354" s="18">
        <v>46093</v>
      </c>
      <c r="D354" s="18">
        <v>46036</v>
      </c>
      <c r="E354" s="19" t="s">
        <v>37</v>
      </c>
      <c r="F354" s="20">
        <v>389900</v>
      </c>
      <c r="G354" s="13">
        <v>389900</v>
      </c>
      <c r="H354" s="20">
        <v>378000</v>
      </c>
      <c r="I354" s="29">
        <f t="shared" si="5"/>
        <v>238.93805309734512</v>
      </c>
      <c r="J354" s="18">
        <v>1993</v>
      </c>
      <c r="K354" s="18" t="s">
        <v>48</v>
      </c>
      <c r="L354" s="18" t="s">
        <v>726</v>
      </c>
      <c r="M354" s="21" t="s">
        <v>708</v>
      </c>
      <c r="N354" s="21">
        <v>85614</v>
      </c>
      <c r="O354" s="21">
        <v>31.884629</v>
      </c>
      <c r="P354" s="21">
        <v>-110.94460100000001</v>
      </c>
      <c r="Q354" s="22">
        <v>1582</v>
      </c>
      <c r="R354" s="19">
        <v>2002</v>
      </c>
      <c r="S354" s="22">
        <v>2</v>
      </c>
      <c r="T354" s="23">
        <v>2</v>
      </c>
      <c r="U354" s="18" t="s">
        <v>41</v>
      </c>
      <c r="V354" s="22">
        <v>1</v>
      </c>
      <c r="W354" s="18" t="s">
        <v>980</v>
      </c>
      <c r="X354" s="18" t="s">
        <v>981</v>
      </c>
      <c r="Y354" s="21" t="s">
        <v>982</v>
      </c>
      <c r="Z354" s="18"/>
    </row>
    <row r="355" spans="1:26" x14ac:dyDescent="0.25">
      <c r="A355" s="16">
        <v>22521399</v>
      </c>
      <c r="B355" s="11">
        <v>45884</v>
      </c>
      <c r="C355" s="11">
        <v>45995</v>
      </c>
      <c r="D355" s="11">
        <v>45994</v>
      </c>
      <c r="E355" s="12" t="s">
        <v>37</v>
      </c>
      <c r="F355" s="13">
        <v>380000</v>
      </c>
      <c r="G355" s="13">
        <v>370000</v>
      </c>
      <c r="H355" s="13">
        <v>365000</v>
      </c>
      <c r="I355" s="29">
        <f t="shared" si="5"/>
        <v>232.63224984066284</v>
      </c>
      <c r="J355" s="11">
        <v>1864</v>
      </c>
      <c r="K355" s="11" t="s">
        <v>48</v>
      </c>
      <c r="L355" s="11" t="s">
        <v>983</v>
      </c>
      <c r="M355" s="15" t="s">
        <v>708</v>
      </c>
      <c r="N355" s="15">
        <v>85614</v>
      </c>
      <c r="O355" s="15">
        <v>31.888573999999998</v>
      </c>
      <c r="P355" s="15">
        <v>-110.946889</v>
      </c>
      <c r="Q355" s="16">
        <v>1569</v>
      </c>
      <c r="R355" s="16">
        <v>2006</v>
      </c>
      <c r="S355" s="16">
        <v>2</v>
      </c>
      <c r="T355" s="17">
        <v>2</v>
      </c>
      <c r="U355" s="11" t="s">
        <v>41</v>
      </c>
      <c r="V355" s="16">
        <v>1</v>
      </c>
      <c r="W355" s="11" t="s">
        <v>984</v>
      </c>
      <c r="X355" s="11" t="s">
        <v>985</v>
      </c>
      <c r="Y355" s="15" t="s">
        <v>982</v>
      </c>
      <c r="Z355" s="11"/>
    </row>
    <row r="356" spans="1:26" x14ac:dyDescent="0.25">
      <c r="A356" s="11"/>
      <c r="B356" s="11"/>
      <c r="C356" s="11"/>
      <c r="D356" s="11"/>
      <c r="E356" s="12"/>
      <c r="F356" s="13"/>
      <c r="G356" s="13"/>
      <c r="H356" s="13"/>
      <c r="I356" s="11"/>
      <c r="J356" s="11"/>
      <c r="K356" s="11"/>
      <c r="L356" s="11"/>
      <c r="M356" s="15"/>
      <c r="N356" s="15"/>
      <c r="O356" s="15"/>
      <c r="P356" s="15"/>
      <c r="Q356" s="16"/>
      <c r="R356" s="16"/>
      <c r="S356" s="16"/>
      <c r="T356" s="17"/>
      <c r="U356" s="11"/>
      <c r="V356" s="16"/>
      <c r="W356" s="11"/>
      <c r="X356" s="11"/>
      <c r="Y356" s="15"/>
      <c r="Z356" s="11"/>
    </row>
    <row r="357" spans="1:26" x14ac:dyDescent="0.25">
      <c r="A357" s="11"/>
      <c r="B357" s="11"/>
      <c r="C357" s="11"/>
      <c r="D357" s="11"/>
      <c r="E357" s="12"/>
      <c r="F357" s="13"/>
      <c r="G357" s="13"/>
      <c r="H357" s="13"/>
      <c r="I357" s="11"/>
      <c r="J357" s="11"/>
      <c r="K357" s="11"/>
      <c r="L357" s="11"/>
      <c r="M357" s="15"/>
      <c r="N357" s="15"/>
      <c r="O357" s="15"/>
      <c r="P357" s="15"/>
      <c r="Q357" s="16"/>
      <c r="R357" s="16"/>
      <c r="S357" s="16"/>
      <c r="T357" s="17"/>
      <c r="U357" s="11"/>
      <c r="V357" s="16"/>
      <c r="W357" s="11"/>
      <c r="X357" s="11"/>
      <c r="Y357" s="15"/>
      <c r="Z357" s="11"/>
    </row>
    <row r="358" spans="1:26" x14ac:dyDescent="0.25">
      <c r="A358" s="18"/>
      <c r="B358" s="18"/>
      <c r="C358" s="18"/>
      <c r="D358" s="18"/>
      <c r="E358" s="19"/>
      <c r="F358" s="20"/>
      <c r="G358" s="13"/>
      <c r="H358" s="20"/>
      <c r="I358" s="18"/>
      <c r="J358" s="18"/>
      <c r="K358" s="18"/>
      <c r="L358" s="18"/>
      <c r="M358" s="21"/>
      <c r="N358" s="21"/>
      <c r="O358" s="21"/>
      <c r="P358" s="21"/>
      <c r="Q358" s="22"/>
      <c r="R358" s="19"/>
      <c r="S358" s="22"/>
      <c r="T358" s="23"/>
      <c r="U358" s="18"/>
      <c r="V358" s="22"/>
      <c r="W358" s="18"/>
      <c r="X358" s="18"/>
      <c r="Y358" s="21"/>
      <c r="Z358" s="18"/>
    </row>
    <row r="359" spans="1:26" x14ac:dyDescent="0.25">
      <c r="A359" s="18"/>
      <c r="B359" s="18"/>
      <c r="C359" s="18"/>
      <c r="D359" s="18"/>
      <c r="E359" s="19"/>
      <c r="F359" s="20"/>
      <c r="G359" s="13"/>
      <c r="H359" s="20"/>
      <c r="I359" s="18"/>
      <c r="J359" s="18"/>
      <c r="K359" s="18"/>
      <c r="L359" s="18"/>
      <c r="M359" s="21"/>
      <c r="N359" s="21"/>
      <c r="O359" s="21"/>
      <c r="P359" s="21"/>
      <c r="Q359" s="22"/>
      <c r="R359" s="19"/>
      <c r="S359" s="22"/>
      <c r="T359" s="23"/>
      <c r="U359" s="18"/>
      <c r="V359" s="22"/>
      <c r="W359" s="18"/>
      <c r="X359" s="18"/>
      <c r="Y359" s="21"/>
      <c r="Z359" s="18"/>
    </row>
    <row r="360" spans="1:26" x14ac:dyDescent="0.25">
      <c r="A360" s="11"/>
      <c r="B360" s="11"/>
      <c r="C360" s="11"/>
      <c r="D360" s="11"/>
      <c r="E360" s="12"/>
      <c r="F360" s="13"/>
      <c r="G360" s="13"/>
      <c r="H360" s="13"/>
      <c r="I360" s="11"/>
      <c r="J360" s="11"/>
      <c r="K360" s="11"/>
      <c r="L360" s="11"/>
      <c r="M360" s="15"/>
      <c r="N360" s="15"/>
      <c r="O360" s="15"/>
      <c r="P360" s="15"/>
      <c r="Q360" s="16"/>
      <c r="R360" s="16"/>
      <c r="S360" s="16"/>
      <c r="T360" s="17"/>
      <c r="U360" s="11"/>
      <c r="V360" s="16"/>
      <c r="W360" s="11"/>
      <c r="X360" s="11"/>
      <c r="Y360" s="15"/>
      <c r="Z360" s="11"/>
    </row>
    <row r="361" spans="1:26" x14ac:dyDescent="0.25">
      <c r="A361" s="11"/>
      <c r="B361" s="11"/>
      <c r="C361" s="11"/>
      <c r="D361" s="11"/>
      <c r="E361" s="12"/>
      <c r="F361" s="13"/>
      <c r="G361" s="13"/>
      <c r="H361" s="13"/>
      <c r="I361" s="11"/>
      <c r="J361" s="11"/>
      <c r="K361" s="11"/>
      <c r="L361" s="11"/>
      <c r="M361" s="15"/>
      <c r="N361" s="15"/>
      <c r="O361" s="15"/>
      <c r="P361" s="15"/>
      <c r="Q361" s="16"/>
      <c r="R361" s="16"/>
      <c r="S361" s="16"/>
      <c r="T361" s="17"/>
      <c r="U361" s="11"/>
      <c r="V361" s="16"/>
      <c r="W361" s="11"/>
      <c r="X361" s="11"/>
      <c r="Y361" s="15"/>
      <c r="Z361" s="11"/>
    </row>
    <row r="362" spans="1:26" x14ac:dyDescent="0.25">
      <c r="A362" s="11"/>
      <c r="B362" s="11"/>
      <c r="C362" s="11"/>
      <c r="D362" s="11"/>
      <c r="E362" s="12"/>
      <c r="F362" s="13"/>
      <c r="G362" s="13"/>
      <c r="H362" s="13"/>
      <c r="I362" s="11"/>
      <c r="J362" s="11"/>
      <c r="K362" s="11"/>
      <c r="L362" s="11"/>
      <c r="M362" s="15"/>
      <c r="N362" s="15"/>
      <c r="O362" s="15"/>
      <c r="P362" s="15"/>
      <c r="Q362" s="16"/>
      <c r="R362" s="16"/>
      <c r="S362" s="16"/>
      <c r="T362" s="17"/>
      <c r="U362" s="11"/>
      <c r="V362" s="16"/>
      <c r="W362" s="11"/>
      <c r="X362" s="11"/>
      <c r="Y362" s="15"/>
      <c r="Z362" s="11"/>
    </row>
    <row r="363" spans="1:26" x14ac:dyDescent="0.25">
      <c r="A363" s="11"/>
      <c r="B363" s="11"/>
      <c r="C363" s="11"/>
      <c r="D363" s="11"/>
      <c r="E363" s="12"/>
      <c r="F363" s="13"/>
      <c r="G363" s="13"/>
      <c r="H363" s="13"/>
      <c r="I363" s="11"/>
      <c r="J363" s="11"/>
      <c r="K363" s="11"/>
      <c r="L363" s="11"/>
      <c r="M363" s="15"/>
      <c r="N363" s="15"/>
      <c r="O363" s="15"/>
      <c r="P363" s="15"/>
      <c r="Q363" s="16"/>
      <c r="R363" s="16"/>
      <c r="S363" s="16"/>
      <c r="T363" s="17"/>
      <c r="U363" s="11"/>
      <c r="V363" s="16"/>
      <c r="W363" s="11"/>
      <c r="X363" s="11"/>
      <c r="Y363" s="15"/>
      <c r="Z363" s="11"/>
    </row>
    <row r="364" spans="1:26" x14ac:dyDescent="0.25">
      <c r="A364" s="11"/>
      <c r="B364" s="11"/>
      <c r="C364" s="11"/>
      <c r="D364" s="11"/>
      <c r="E364" s="12"/>
      <c r="F364" s="13"/>
      <c r="G364" s="13"/>
      <c r="H364" s="13"/>
      <c r="I364" s="11"/>
      <c r="J364" s="11"/>
      <c r="K364" s="11"/>
      <c r="L364" s="11"/>
      <c r="M364" s="15"/>
      <c r="N364" s="15"/>
      <c r="O364" s="15"/>
      <c r="P364" s="15"/>
      <c r="Q364" s="16"/>
      <c r="R364" s="16"/>
      <c r="S364" s="16"/>
      <c r="T364" s="17"/>
      <c r="U364" s="11"/>
      <c r="V364" s="16"/>
      <c r="W364" s="11"/>
      <c r="X364" s="11"/>
      <c r="Y364" s="15"/>
      <c r="Z364" s="11"/>
    </row>
    <row r="365" spans="1:26" x14ac:dyDescent="0.25">
      <c r="A365" s="11"/>
      <c r="B365" s="11"/>
      <c r="C365" s="11"/>
      <c r="D365" s="11"/>
      <c r="E365" s="12"/>
      <c r="F365" s="13"/>
      <c r="G365" s="13"/>
      <c r="H365" s="13"/>
      <c r="I365" s="11"/>
      <c r="J365" s="11"/>
      <c r="K365" s="11"/>
      <c r="L365" s="11"/>
      <c r="M365" s="15"/>
      <c r="N365" s="15"/>
      <c r="O365" s="15"/>
      <c r="P365" s="15"/>
      <c r="Q365" s="16"/>
      <c r="R365" s="16"/>
      <c r="S365" s="16"/>
      <c r="T365" s="17"/>
      <c r="U365" s="11"/>
      <c r="V365" s="16"/>
      <c r="W365" s="11"/>
      <c r="X365" s="11"/>
      <c r="Y365" s="15"/>
      <c r="Z365" s="11"/>
    </row>
    <row r="366" spans="1:26" x14ac:dyDescent="0.25">
      <c r="A366" s="11"/>
      <c r="B366" s="11"/>
      <c r="C366" s="11"/>
      <c r="D366" s="11"/>
      <c r="E366" s="12"/>
      <c r="F366" s="13"/>
      <c r="G366" s="13"/>
      <c r="H366" s="13"/>
      <c r="I366" s="11"/>
      <c r="J366" s="11"/>
      <c r="K366" s="11"/>
      <c r="L366" s="11"/>
      <c r="M366" s="15"/>
      <c r="N366" s="15"/>
      <c r="O366" s="15"/>
      <c r="P366" s="15"/>
      <c r="Q366" s="16"/>
      <c r="R366" s="16"/>
      <c r="S366" s="16"/>
      <c r="T366" s="17"/>
      <c r="U366" s="11"/>
      <c r="V366" s="16"/>
      <c r="W366" s="11"/>
      <c r="X366" s="11"/>
      <c r="Y366" s="15"/>
      <c r="Z366" s="11"/>
    </row>
    <row r="367" spans="1:26" x14ac:dyDescent="0.25">
      <c r="A367" s="18"/>
      <c r="B367" s="18"/>
      <c r="C367" s="18"/>
      <c r="D367" s="18"/>
      <c r="E367" s="19"/>
      <c r="F367" s="20"/>
      <c r="G367" s="13"/>
      <c r="H367" s="20"/>
      <c r="I367" s="18"/>
      <c r="J367" s="18"/>
      <c r="K367" s="18"/>
      <c r="L367" s="18"/>
      <c r="M367" s="21"/>
      <c r="N367" s="21"/>
      <c r="O367" s="21"/>
      <c r="P367" s="21"/>
      <c r="Q367" s="22"/>
      <c r="R367" s="19"/>
      <c r="S367" s="22"/>
      <c r="T367" s="23"/>
      <c r="U367" s="18"/>
      <c r="V367" s="22"/>
      <c r="W367" s="18"/>
      <c r="X367" s="18"/>
      <c r="Y367" s="21"/>
      <c r="Z367" s="18"/>
    </row>
    <row r="368" spans="1:26" x14ac:dyDescent="0.25">
      <c r="A368" s="11"/>
      <c r="B368" s="11"/>
      <c r="C368" s="11"/>
      <c r="D368" s="11"/>
      <c r="E368" s="12"/>
      <c r="F368" s="13"/>
      <c r="G368" s="13"/>
      <c r="H368" s="13"/>
      <c r="I368" s="11"/>
      <c r="J368" s="11"/>
      <c r="K368" s="11"/>
      <c r="L368" s="11"/>
      <c r="M368" s="15"/>
      <c r="N368" s="15"/>
      <c r="O368" s="15"/>
      <c r="P368" s="15"/>
      <c r="Q368" s="16"/>
      <c r="R368" s="16"/>
      <c r="S368" s="16"/>
      <c r="T368" s="17"/>
      <c r="U368" s="11"/>
      <c r="V368" s="16"/>
      <c r="W368" s="11"/>
      <c r="X368" s="11"/>
      <c r="Y368" s="15"/>
      <c r="Z368" s="11"/>
    </row>
    <row r="369" spans="1:26" x14ac:dyDescent="0.25">
      <c r="A369" s="11"/>
      <c r="B369" s="11"/>
      <c r="C369" s="11"/>
      <c r="D369" s="11"/>
      <c r="E369" s="12"/>
      <c r="F369" s="13"/>
      <c r="G369" s="13"/>
      <c r="H369" s="13"/>
      <c r="I369" s="11"/>
      <c r="J369" s="11"/>
      <c r="K369" s="11"/>
      <c r="L369" s="11"/>
      <c r="M369" s="15"/>
      <c r="N369" s="15"/>
      <c r="O369" s="15"/>
      <c r="P369" s="15"/>
      <c r="Q369" s="16"/>
      <c r="R369" s="16"/>
      <c r="S369" s="16"/>
      <c r="T369" s="17"/>
      <c r="U369" s="11"/>
      <c r="V369" s="16"/>
      <c r="W369" s="11"/>
      <c r="X369" s="11"/>
      <c r="Y369" s="15"/>
      <c r="Z369" s="11"/>
    </row>
    <row r="370" spans="1:26" x14ac:dyDescent="0.25">
      <c r="A370" s="18"/>
      <c r="B370" s="18"/>
      <c r="C370" s="18"/>
      <c r="D370" s="18"/>
      <c r="E370" s="19"/>
      <c r="F370" s="20"/>
      <c r="G370" s="13"/>
      <c r="H370" s="20"/>
      <c r="I370" s="18"/>
      <c r="J370" s="18"/>
      <c r="K370" s="18"/>
      <c r="L370" s="18"/>
      <c r="M370" s="21"/>
      <c r="N370" s="21"/>
      <c r="O370" s="21"/>
      <c r="P370" s="21"/>
      <c r="Q370" s="22"/>
      <c r="R370" s="19"/>
      <c r="S370" s="22"/>
      <c r="T370" s="23"/>
      <c r="U370" s="18"/>
      <c r="V370" s="22"/>
      <c r="W370" s="18"/>
      <c r="X370" s="18"/>
      <c r="Y370" s="21"/>
      <c r="Z370" s="18"/>
    </row>
    <row r="371" spans="1:26" x14ac:dyDescent="0.25">
      <c r="A371" s="11"/>
      <c r="B371" s="11"/>
      <c r="C371" s="11"/>
      <c r="D371" s="11"/>
      <c r="E371" s="12"/>
      <c r="F371" s="13"/>
      <c r="G371" s="13"/>
      <c r="H371" s="13"/>
      <c r="I371" s="11"/>
      <c r="J371" s="11"/>
      <c r="K371" s="11"/>
      <c r="L371" s="11"/>
      <c r="M371" s="15"/>
      <c r="N371" s="15"/>
      <c r="O371" s="15"/>
      <c r="P371" s="15"/>
      <c r="Q371" s="16"/>
      <c r="R371" s="16"/>
      <c r="S371" s="16"/>
      <c r="T371" s="17"/>
      <c r="U371" s="11"/>
      <c r="V371" s="16"/>
      <c r="W371" s="11"/>
      <c r="X371" s="11"/>
      <c r="Y371" s="15"/>
      <c r="Z371" s="11"/>
    </row>
    <row r="372" spans="1:26" x14ac:dyDescent="0.25">
      <c r="A372" s="18"/>
      <c r="B372" s="18"/>
      <c r="C372" s="18"/>
      <c r="D372" s="18"/>
      <c r="E372" s="19"/>
      <c r="F372" s="20"/>
      <c r="G372" s="13"/>
      <c r="H372" s="20"/>
      <c r="I372" s="18"/>
      <c r="J372" s="18"/>
      <c r="K372" s="18"/>
      <c r="L372" s="18"/>
      <c r="M372" s="21"/>
      <c r="N372" s="21"/>
      <c r="O372" s="21"/>
      <c r="P372" s="21"/>
      <c r="Q372" s="22"/>
      <c r="R372" s="19"/>
      <c r="S372" s="22"/>
      <c r="T372" s="23"/>
      <c r="U372" s="18"/>
      <c r="V372" s="22"/>
      <c r="W372" s="18"/>
      <c r="X372" s="18"/>
      <c r="Y372" s="21"/>
      <c r="Z372" s="18"/>
    </row>
    <row r="373" spans="1:26" x14ac:dyDescent="0.25">
      <c r="A373" s="18"/>
      <c r="B373" s="18"/>
      <c r="C373" s="18"/>
      <c r="D373" s="18"/>
      <c r="E373" s="19"/>
      <c r="F373" s="20"/>
      <c r="G373" s="13"/>
      <c r="H373" s="20"/>
      <c r="I373" s="18"/>
      <c r="J373" s="18"/>
      <c r="K373" s="18"/>
      <c r="L373" s="18"/>
      <c r="M373" s="21"/>
      <c r="N373" s="21"/>
      <c r="O373" s="21"/>
      <c r="P373" s="21"/>
      <c r="Q373" s="22"/>
      <c r="R373" s="19"/>
      <c r="S373" s="22"/>
      <c r="T373" s="23"/>
      <c r="U373" s="18"/>
      <c r="V373" s="22"/>
      <c r="W373" s="18"/>
      <c r="X373" s="18"/>
      <c r="Y373" s="21"/>
      <c r="Z373" s="18"/>
    </row>
    <row r="374" spans="1:26" x14ac:dyDescent="0.25">
      <c r="A374" s="11"/>
      <c r="B374" s="11"/>
      <c r="C374" s="11"/>
      <c r="D374" s="11"/>
      <c r="E374" s="12"/>
      <c r="F374" s="13"/>
      <c r="G374" s="13"/>
      <c r="H374" s="13"/>
      <c r="I374" s="11"/>
      <c r="J374" s="11"/>
      <c r="K374" s="11"/>
      <c r="L374" s="11"/>
      <c r="M374" s="15"/>
      <c r="N374" s="15"/>
      <c r="O374" s="15"/>
      <c r="P374" s="15"/>
      <c r="Q374" s="16"/>
      <c r="R374" s="16"/>
      <c r="S374" s="16"/>
      <c r="T374" s="17"/>
      <c r="U374" s="11"/>
      <c r="V374" s="16"/>
      <c r="W374" s="11"/>
      <c r="X374" s="11"/>
      <c r="Y374" s="15"/>
      <c r="Z374" s="11"/>
    </row>
    <row r="375" spans="1:26" x14ac:dyDescent="0.25">
      <c r="A375" s="11"/>
      <c r="B375" s="11"/>
      <c r="C375" s="11"/>
      <c r="D375" s="11"/>
      <c r="E375" s="12"/>
      <c r="F375" s="13"/>
      <c r="G375" s="13"/>
      <c r="H375" s="13"/>
      <c r="I375" s="11"/>
      <c r="J375" s="11"/>
      <c r="K375" s="11"/>
      <c r="L375" s="11"/>
      <c r="M375" s="15"/>
      <c r="N375" s="15"/>
      <c r="O375" s="15"/>
      <c r="P375" s="15"/>
      <c r="Q375" s="16"/>
      <c r="R375" s="16"/>
      <c r="S375" s="16"/>
      <c r="T375" s="17"/>
      <c r="U375" s="11"/>
      <c r="V375" s="16"/>
      <c r="W375" s="11"/>
      <c r="X375" s="11"/>
      <c r="Y375" s="15"/>
      <c r="Z375" s="11"/>
    </row>
    <row r="376" spans="1:26" x14ac:dyDescent="0.25">
      <c r="A376" s="18"/>
      <c r="B376" s="18"/>
      <c r="C376" s="18"/>
      <c r="D376" s="18"/>
      <c r="E376" s="19"/>
      <c r="F376" s="20"/>
      <c r="G376" s="13"/>
      <c r="H376" s="20"/>
      <c r="I376" s="18"/>
      <c r="J376" s="18"/>
      <c r="K376" s="18"/>
      <c r="L376" s="18"/>
      <c r="M376" s="21"/>
      <c r="N376" s="21"/>
      <c r="O376" s="21"/>
      <c r="P376" s="21"/>
      <c r="Q376" s="22"/>
      <c r="R376" s="19"/>
      <c r="S376" s="22"/>
      <c r="T376" s="23"/>
      <c r="U376" s="18"/>
      <c r="V376" s="22"/>
      <c r="W376" s="18"/>
      <c r="X376" s="18"/>
      <c r="Y376" s="21"/>
      <c r="Z376" s="18"/>
    </row>
    <row r="377" spans="1:26" x14ac:dyDescent="0.25">
      <c r="A377" s="11"/>
      <c r="B377" s="11"/>
      <c r="C377" s="11"/>
      <c r="D377" s="11"/>
      <c r="E377" s="12"/>
      <c r="F377" s="13"/>
      <c r="G377" s="13"/>
      <c r="H377" s="13"/>
      <c r="I377" s="11"/>
      <c r="J377" s="11"/>
      <c r="K377" s="11"/>
      <c r="L377" s="11"/>
      <c r="M377" s="15"/>
      <c r="N377" s="15"/>
      <c r="O377" s="15"/>
      <c r="P377" s="15"/>
      <c r="Q377" s="16"/>
      <c r="R377" s="16"/>
      <c r="S377" s="16"/>
      <c r="T377" s="17"/>
      <c r="U377" s="11"/>
      <c r="V377" s="16"/>
      <c r="W377" s="11"/>
      <c r="X377" s="11"/>
      <c r="Y377" s="15"/>
      <c r="Z377" s="11"/>
    </row>
    <row r="378" spans="1:26" x14ac:dyDescent="0.25">
      <c r="A378" s="18"/>
      <c r="B378" s="18"/>
      <c r="C378" s="18"/>
      <c r="D378" s="18"/>
      <c r="E378" s="19"/>
      <c r="F378" s="20"/>
      <c r="G378" s="13"/>
      <c r="H378" s="20"/>
      <c r="I378" s="18"/>
      <c r="J378" s="18"/>
      <c r="K378" s="18"/>
      <c r="L378" s="18"/>
      <c r="M378" s="21"/>
      <c r="N378" s="21"/>
      <c r="O378" s="21"/>
      <c r="P378" s="21"/>
      <c r="Q378" s="22"/>
      <c r="R378" s="19"/>
      <c r="S378" s="22"/>
      <c r="T378" s="23"/>
      <c r="U378" s="18"/>
      <c r="V378" s="22"/>
      <c r="W378" s="18"/>
      <c r="X378" s="18"/>
      <c r="Y378" s="21"/>
      <c r="Z378" s="18"/>
    </row>
    <row r="379" spans="1:26" x14ac:dyDescent="0.25">
      <c r="A379" s="11"/>
      <c r="B379" s="11"/>
      <c r="C379" s="11"/>
      <c r="D379" s="11"/>
      <c r="E379" s="12"/>
      <c r="F379" s="13"/>
      <c r="G379" s="13"/>
      <c r="H379" s="13"/>
      <c r="I379" s="11"/>
      <c r="J379" s="11"/>
      <c r="K379" s="11"/>
      <c r="L379" s="11"/>
      <c r="M379" s="15"/>
      <c r="N379" s="15"/>
      <c r="O379" s="15"/>
      <c r="P379" s="15"/>
      <c r="Q379" s="16"/>
      <c r="R379" s="16"/>
      <c r="S379" s="16"/>
      <c r="T379" s="17"/>
      <c r="U379" s="11"/>
      <c r="V379" s="16"/>
      <c r="W379" s="11"/>
      <c r="X379" s="11"/>
      <c r="Y379" s="15"/>
      <c r="Z379" s="11"/>
    </row>
    <row r="380" spans="1:26" x14ac:dyDescent="0.25">
      <c r="A380" s="18"/>
      <c r="B380" s="18"/>
      <c r="C380" s="18"/>
      <c r="D380" s="18"/>
      <c r="E380" s="19"/>
      <c r="F380" s="20"/>
      <c r="G380" s="13"/>
      <c r="H380" s="20"/>
      <c r="I380" s="18"/>
      <c r="J380" s="18"/>
      <c r="K380" s="18"/>
      <c r="L380" s="18"/>
      <c r="M380" s="21"/>
      <c r="N380" s="21"/>
      <c r="O380" s="21"/>
      <c r="P380" s="21"/>
      <c r="Q380" s="22"/>
      <c r="R380" s="19"/>
      <c r="S380" s="22"/>
      <c r="T380" s="23"/>
      <c r="U380" s="18"/>
      <c r="V380" s="22"/>
      <c r="W380" s="18"/>
      <c r="X380" s="18"/>
      <c r="Y380" s="21"/>
      <c r="Z380" s="18"/>
    </row>
    <row r="381" spans="1:26" x14ac:dyDescent="0.25">
      <c r="A381" s="11"/>
      <c r="B381" s="11"/>
      <c r="C381" s="11"/>
      <c r="D381" s="11"/>
      <c r="E381" s="12"/>
      <c r="F381" s="13"/>
      <c r="G381" s="13"/>
      <c r="H381" s="13"/>
      <c r="I381" s="11"/>
      <c r="J381" s="11"/>
      <c r="K381" s="11"/>
      <c r="L381" s="11"/>
      <c r="M381" s="15"/>
      <c r="N381" s="15"/>
      <c r="O381" s="15"/>
      <c r="P381" s="15"/>
      <c r="Q381" s="16"/>
      <c r="R381" s="16"/>
      <c r="S381" s="16"/>
      <c r="T381" s="17"/>
      <c r="U381" s="11"/>
      <c r="V381" s="16"/>
      <c r="W381" s="11"/>
      <c r="X381" s="11"/>
      <c r="Y381" s="15"/>
      <c r="Z381" s="11"/>
    </row>
    <row r="382" spans="1:26" x14ac:dyDescent="0.25">
      <c r="A382" s="18"/>
      <c r="B382" s="18"/>
      <c r="C382" s="18"/>
      <c r="D382" s="18"/>
      <c r="E382" s="19"/>
      <c r="F382" s="20"/>
      <c r="G382" s="13"/>
      <c r="H382" s="20"/>
      <c r="I382" s="18"/>
      <c r="J382" s="18"/>
      <c r="K382" s="18"/>
      <c r="L382" s="18"/>
      <c r="M382" s="21"/>
      <c r="N382" s="21"/>
      <c r="O382" s="21"/>
      <c r="P382" s="21"/>
      <c r="Q382" s="22"/>
      <c r="R382" s="19"/>
      <c r="S382" s="22"/>
      <c r="T382" s="23"/>
      <c r="U382" s="18"/>
      <c r="V382" s="22"/>
      <c r="W382" s="18"/>
      <c r="X382" s="18"/>
      <c r="Y382" s="21"/>
      <c r="Z382" s="18"/>
    </row>
    <row r="383" spans="1:26" x14ac:dyDescent="0.25">
      <c r="A383" s="11"/>
      <c r="B383" s="11"/>
      <c r="C383" s="11"/>
      <c r="D383" s="11"/>
      <c r="E383" s="12"/>
      <c r="F383" s="13"/>
      <c r="G383" s="13"/>
      <c r="H383" s="13"/>
      <c r="I383" s="11"/>
      <c r="J383" s="11"/>
      <c r="K383" s="11"/>
      <c r="L383" s="11"/>
      <c r="M383" s="15"/>
      <c r="N383" s="15"/>
      <c r="O383" s="15"/>
      <c r="P383" s="15"/>
      <c r="Q383" s="16"/>
      <c r="R383" s="16"/>
      <c r="S383" s="16"/>
      <c r="T383" s="17"/>
      <c r="U383" s="11"/>
      <c r="V383" s="16"/>
      <c r="W383" s="11"/>
      <c r="X383" s="11"/>
      <c r="Y383" s="15"/>
      <c r="Z383" s="11"/>
    </row>
    <row r="384" spans="1:26" x14ac:dyDescent="0.25">
      <c r="A384" s="11"/>
      <c r="B384" s="11"/>
      <c r="C384" s="11"/>
      <c r="D384" s="11"/>
      <c r="E384" s="12"/>
      <c r="F384" s="13"/>
      <c r="G384" s="13"/>
      <c r="H384" s="13"/>
      <c r="I384" s="11"/>
      <c r="J384" s="11"/>
      <c r="K384" s="11"/>
      <c r="L384" s="11"/>
      <c r="M384" s="15"/>
      <c r="N384" s="15"/>
      <c r="O384" s="15"/>
      <c r="P384" s="15"/>
      <c r="Q384" s="16"/>
      <c r="R384" s="16"/>
      <c r="S384" s="16"/>
      <c r="T384" s="17"/>
      <c r="U384" s="11"/>
      <c r="V384" s="16"/>
      <c r="W384" s="11"/>
      <c r="X384" s="11"/>
      <c r="Y384" s="15"/>
      <c r="Z384" s="11"/>
    </row>
    <row r="385" spans="1:26" x14ac:dyDescent="0.25">
      <c r="A385" s="18"/>
      <c r="B385" s="18"/>
      <c r="C385" s="18"/>
      <c r="D385" s="18"/>
      <c r="E385" s="19"/>
      <c r="F385" s="20"/>
      <c r="G385" s="13"/>
      <c r="H385" s="20"/>
      <c r="I385" s="18"/>
      <c r="J385" s="18"/>
      <c r="K385" s="18"/>
      <c r="L385" s="18"/>
      <c r="M385" s="21"/>
      <c r="N385" s="21"/>
      <c r="O385" s="21"/>
      <c r="P385" s="21"/>
      <c r="Q385" s="22"/>
      <c r="R385" s="19"/>
      <c r="S385" s="22"/>
      <c r="T385" s="23"/>
      <c r="U385" s="18"/>
      <c r="V385" s="22"/>
      <c r="W385" s="18"/>
      <c r="X385" s="18"/>
      <c r="Y385" s="21"/>
      <c r="Z385" s="18"/>
    </row>
    <row r="386" spans="1:26" x14ac:dyDescent="0.25">
      <c r="A386" s="11"/>
      <c r="B386" s="11"/>
      <c r="C386" s="11"/>
      <c r="D386" s="11"/>
      <c r="E386" s="12"/>
      <c r="F386" s="13"/>
      <c r="G386" s="13"/>
      <c r="H386" s="13"/>
      <c r="I386" s="11"/>
      <c r="J386" s="11"/>
      <c r="K386" s="11"/>
      <c r="L386" s="11"/>
      <c r="M386" s="15"/>
      <c r="N386" s="15"/>
      <c r="O386" s="15"/>
      <c r="P386" s="15"/>
      <c r="Q386" s="16"/>
      <c r="R386" s="16"/>
      <c r="S386" s="16"/>
      <c r="T386" s="17"/>
      <c r="U386" s="11"/>
      <c r="V386" s="16"/>
      <c r="W386" s="11"/>
      <c r="X386" s="11"/>
      <c r="Y386" s="15"/>
      <c r="Z386" s="11"/>
    </row>
    <row r="387" spans="1:26" x14ac:dyDescent="0.25">
      <c r="A387" s="11"/>
      <c r="B387" s="11"/>
      <c r="C387" s="11"/>
      <c r="D387" s="11"/>
      <c r="E387" s="12"/>
      <c r="F387" s="13"/>
      <c r="G387" s="13"/>
      <c r="H387" s="13"/>
      <c r="I387" s="11"/>
      <c r="J387" s="11"/>
      <c r="K387" s="11"/>
      <c r="L387" s="11"/>
      <c r="M387" s="15"/>
      <c r="N387" s="15"/>
      <c r="O387" s="15"/>
      <c r="P387" s="15"/>
      <c r="Q387" s="16"/>
      <c r="R387" s="16"/>
      <c r="S387" s="16"/>
      <c r="T387" s="17"/>
      <c r="U387" s="11"/>
      <c r="V387" s="16"/>
      <c r="W387" s="11"/>
      <c r="X387" s="11"/>
      <c r="Y387" s="15"/>
      <c r="Z387" s="11"/>
    </row>
    <row r="388" spans="1:26" x14ac:dyDescent="0.25">
      <c r="A388" s="18"/>
      <c r="B388" s="18"/>
      <c r="C388" s="18"/>
      <c r="D388" s="18"/>
      <c r="E388" s="19"/>
      <c r="F388" s="20"/>
      <c r="G388" s="13"/>
      <c r="H388" s="20"/>
      <c r="I388" s="18"/>
      <c r="J388" s="18"/>
      <c r="K388" s="18"/>
      <c r="L388" s="18"/>
      <c r="M388" s="21"/>
      <c r="N388" s="21"/>
      <c r="O388" s="21"/>
      <c r="P388" s="21"/>
      <c r="Q388" s="22"/>
      <c r="R388" s="19"/>
      <c r="S388" s="22"/>
      <c r="T388" s="23"/>
      <c r="U388" s="18"/>
      <c r="V388" s="22"/>
      <c r="W388" s="18"/>
      <c r="X388" s="18"/>
      <c r="Y388" s="21"/>
      <c r="Z388" s="18"/>
    </row>
    <row r="389" spans="1:26" x14ac:dyDescent="0.25">
      <c r="A389" s="18"/>
      <c r="B389" s="18"/>
      <c r="C389" s="18"/>
      <c r="D389" s="18"/>
      <c r="E389" s="19"/>
      <c r="F389" s="20"/>
      <c r="G389" s="13"/>
      <c r="H389" s="20"/>
      <c r="I389" s="18"/>
      <c r="J389" s="18"/>
      <c r="K389" s="18"/>
      <c r="L389" s="18"/>
      <c r="M389" s="21"/>
      <c r="N389" s="21"/>
      <c r="O389" s="21"/>
      <c r="P389" s="21"/>
      <c r="Q389" s="22"/>
      <c r="R389" s="19"/>
      <c r="S389" s="22"/>
      <c r="T389" s="23"/>
      <c r="U389" s="18"/>
      <c r="V389" s="22"/>
      <c r="W389" s="18"/>
      <c r="X389" s="18"/>
      <c r="Y389" s="21"/>
      <c r="Z389" s="18"/>
    </row>
    <row r="390" spans="1:26" x14ac:dyDescent="0.25">
      <c r="A390" s="11"/>
      <c r="B390" s="11"/>
      <c r="C390" s="11"/>
      <c r="D390" s="11"/>
      <c r="E390" s="12"/>
      <c r="F390" s="13"/>
      <c r="G390" s="13"/>
      <c r="H390" s="13"/>
      <c r="I390" s="11"/>
      <c r="J390" s="11"/>
      <c r="K390" s="11"/>
      <c r="L390" s="11"/>
      <c r="M390" s="15"/>
      <c r="N390" s="15"/>
      <c r="O390" s="15"/>
      <c r="P390" s="15"/>
      <c r="Q390" s="16"/>
      <c r="R390" s="16"/>
      <c r="S390" s="16"/>
      <c r="T390" s="17"/>
      <c r="U390" s="11"/>
      <c r="V390" s="16"/>
      <c r="W390" s="11"/>
      <c r="X390" s="11"/>
      <c r="Y390" s="15"/>
      <c r="Z390" s="11"/>
    </row>
    <row r="391" spans="1:26" x14ac:dyDescent="0.25">
      <c r="A391" s="11"/>
      <c r="B391" s="11"/>
      <c r="C391" s="11"/>
      <c r="D391" s="11"/>
      <c r="E391" s="12"/>
      <c r="F391" s="13"/>
      <c r="G391" s="13"/>
      <c r="H391" s="13"/>
      <c r="I391" s="11"/>
      <c r="J391" s="11"/>
      <c r="K391" s="11"/>
      <c r="L391" s="11"/>
      <c r="M391" s="15"/>
      <c r="N391" s="15"/>
      <c r="O391" s="15"/>
      <c r="P391" s="15"/>
      <c r="Q391" s="16"/>
      <c r="R391" s="16"/>
      <c r="S391" s="16"/>
      <c r="T391" s="17"/>
      <c r="U391" s="11"/>
      <c r="V391" s="16"/>
      <c r="W391" s="11"/>
      <c r="X391" s="11"/>
      <c r="Y391" s="15"/>
      <c r="Z391" s="11"/>
    </row>
    <row r="392" spans="1:26" x14ac:dyDescent="0.25">
      <c r="A392" s="11"/>
      <c r="B392" s="11"/>
      <c r="C392" s="11"/>
      <c r="D392" s="11"/>
      <c r="E392" s="12"/>
      <c r="F392" s="13"/>
      <c r="G392" s="13"/>
      <c r="H392" s="13"/>
      <c r="I392" s="11"/>
      <c r="J392" s="11"/>
      <c r="K392" s="11"/>
      <c r="L392" s="11"/>
      <c r="M392" s="15"/>
      <c r="N392" s="15"/>
      <c r="O392" s="15"/>
      <c r="P392" s="15"/>
      <c r="Q392" s="16"/>
      <c r="R392" s="16"/>
      <c r="S392" s="16"/>
      <c r="T392" s="17"/>
      <c r="U392" s="11"/>
      <c r="V392" s="16"/>
      <c r="W392" s="11"/>
      <c r="X392" s="11"/>
      <c r="Y392" s="15"/>
      <c r="Z392" s="11"/>
    </row>
    <row r="393" spans="1:26" x14ac:dyDescent="0.25">
      <c r="A393" s="18"/>
      <c r="B393" s="18"/>
      <c r="C393" s="18"/>
      <c r="D393" s="18"/>
      <c r="E393" s="19"/>
      <c r="F393" s="20"/>
      <c r="G393" s="13"/>
      <c r="H393" s="20"/>
      <c r="I393" s="18"/>
      <c r="J393" s="18"/>
      <c r="K393" s="18"/>
      <c r="L393" s="18"/>
      <c r="M393" s="21"/>
      <c r="N393" s="21"/>
      <c r="O393" s="21"/>
      <c r="P393" s="21"/>
      <c r="Q393" s="22"/>
      <c r="R393" s="19"/>
      <c r="S393" s="22"/>
      <c r="T393" s="23"/>
      <c r="U393" s="18"/>
      <c r="V393" s="22"/>
      <c r="W393" s="18"/>
      <c r="X393" s="18"/>
      <c r="Y393" s="21"/>
      <c r="Z393" s="18"/>
    </row>
    <row r="394" spans="1:26" x14ac:dyDescent="0.25">
      <c r="A394" s="11"/>
      <c r="B394" s="11"/>
      <c r="C394" s="11"/>
      <c r="D394" s="11"/>
      <c r="E394" s="12"/>
      <c r="F394" s="13"/>
      <c r="G394" s="13"/>
      <c r="H394" s="13"/>
      <c r="I394" s="11"/>
      <c r="J394" s="11"/>
      <c r="K394" s="11"/>
      <c r="L394" s="11"/>
      <c r="M394" s="15"/>
      <c r="N394" s="15"/>
      <c r="O394" s="15"/>
      <c r="P394" s="15"/>
      <c r="Q394" s="16"/>
      <c r="R394" s="16"/>
      <c r="S394" s="16"/>
      <c r="T394" s="17"/>
      <c r="U394" s="11"/>
      <c r="V394" s="16"/>
      <c r="W394" s="11"/>
      <c r="X394" s="11"/>
      <c r="Y394" s="15"/>
      <c r="Z394" s="11"/>
    </row>
    <row r="395" spans="1:26" x14ac:dyDescent="0.25">
      <c r="A395" s="11"/>
      <c r="B395" s="11"/>
      <c r="C395" s="11"/>
      <c r="D395" s="11"/>
      <c r="E395" s="12"/>
      <c r="F395" s="13"/>
      <c r="G395" s="13"/>
      <c r="H395" s="13"/>
      <c r="I395" s="11"/>
      <c r="J395" s="11"/>
      <c r="K395" s="11"/>
      <c r="L395" s="11"/>
      <c r="M395" s="15"/>
      <c r="N395" s="15"/>
      <c r="O395" s="15"/>
      <c r="P395" s="15"/>
      <c r="Q395" s="16"/>
      <c r="R395" s="16"/>
      <c r="S395" s="16"/>
      <c r="T395" s="17"/>
      <c r="U395" s="11"/>
      <c r="V395" s="16"/>
      <c r="W395" s="11"/>
      <c r="X395" s="11"/>
      <c r="Y395" s="15"/>
      <c r="Z395" s="11"/>
    </row>
    <row r="396" spans="1:26" x14ac:dyDescent="0.25">
      <c r="A396" s="18"/>
      <c r="B396" s="18"/>
      <c r="C396" s="18"/>
      <c r="D396" s="18"/>
      <c r="E396" s="19"/>
      <c r="F396" s="20"/>
      <c r="G396" s="13"/>
      <c r="H396" s="20"/>
      <c r="I396" s="18"/>
      <c r="J396" s="18"/>
      <c r="K396" s="18"/>
      <c r="L396" s="18"/>
      <c r="M396" s="21"/>
      <c r="N396" s="21"/>
      <c r="O396" s="21"/>
      <c r="P396" s="21"/>
      <c r="Q396" s="22"/>
      <c r="R396" s="19"/>
      <c r="S396" s="22"/>
      <c r="T396" s="23"/>
      <c r="U396" s="18"/>
      <c r="V396" s="22"/>
      <c r="W396" s="18"/>
      <c r="X396" s="18"/>
      <c r="Y396" s="21"/>
      <c r="Z396" s="18"/>
    </row>
    <row r="397" spans="1:26" x14ac:dyDescent="0.25">
      <c r="A397" s="11"/>
      <c r="B397" s="11"/>
      <c r="C397" s="11"/>
      <c r="D397" s="11"/>
      <c r="E397" s="12"/>
      <c r="F397" s="13"/>
      <c r="G397" s="13"/>
      <c r="H397" s="13"/>
      <c r="I397" s="11"/>
      <c r="J397" s="11"/>
      <c r="K397" s="11"/>
      <c r="L397" s="11"/>
      <c r="M397" s="15"/>
      <c r="N397" s="15"/>
      <c r="O397" s="15"/>
      <c r="P397" s="15"/>
      <c r="Q397" s="16"/>
      <c r="R397" s="16"/>
      <c r="S397" s="16"/>
      <c r="T397" s="17"/>
      <c r="U397" s="11"/>
      <c r="V397" s="16"/>
      <c r="W397" s="11"/>
      <c r="X397" s="11"/>
      <c r="Y397" s="15"/>
      <c r="Z397" s="11"/>
    </row>
    <row r="398" spans="1:26" x14ac:dyDescent="0.25">
      <c r="A398" s="11"/>
      <c r="B398" s="11"/>
      <c r="C398" s="11"/>
      <c r="D398" s="11"/>
      <c r="E398" s="12"/>
      <c r="F398" s="13"/>
      <c r="G398" s="13"/>
      <c r="H398" s="13"/>
      <c r="I398" s="11"/>
      <c r="J398" s="11"/>
      <c r="K398" s="11"/>
      <c r="L398" s="11"/>
      <c r="M398" s="15"/>
      <c r="N398" s="15"/>
      <c r="O398" s="15"/>
      <c r="P398" s="15"/>
      <c r="Q398" s="16"/>
      <c r="R398" s="16"/>
      <c r="S398" s="16"/>
      <c r="T398" s="17"/>
      <c r="U398" s="11"/>
      <c r="V398" s="16"/>
      <c r="W398" s="11"/>
      <c r="X398" s="11"/>
      <c r="Y398" s="15"/>
      <c r="Z398" s="11"/>
    </row>
    <row r="399" spans="1:26" x14ac:dyDescent="0.25">
      <c r="A399" s="11"/>
      <c r="B399" s="11"/>
      <c r="C399" s="11"/>
      <c r="D399" s="11"/>
      <c r="E399" s="12"/>
      <c r="F399" s="13"/>
      <c r="G399" s="13"/>
      <c r="H399" s="13"/>
      <c r="I399" s="11"/>
      <c r="J399" s="11"/>
      <c r="K399" s="11"/>
      <c r="L399" s="11"/>
      <c r="M399" s="15"/>
      <c r="N399" s="15"/>
      <c r="O399" s="15"/>
      <c r="P399" s="15"/>
      <c r="Q399" s="16"/>
      <c r="R399" s="16"/>
      <c r="S399" s="16"/>
      <c r="T399" s="17"/>
      <c r="U399" s="11"/>
      <c r="V399" s="16"/>
      <c r="W399" s="11"/>
      <c r="X399" s="11"/>
      <c r="Y399" s="15"/>
      <c r="Z399" s="11"/>
    </row>
    <row r="400" spans="1:26" x14ac:dyDescent="0.25">
      <c r="A400" s="11"/>
      <c r="B400" s="11"/>
      <c r="C400" s="11"/>
      <c r="D400" s="11"/>
      <c r="E400" s="12"/>
      <c r="F400" s="13"/>
      <c r="G400" s="13"/>
      <c r="H400" s="13"/>
      <c r="I400" s="11"/>
      <c r="J400" s="11"/>
      <c r="K400" s="11"/>
      <c r="L400" s="11"/>
      <c r="M400" s="15"/>
      <c r="N400" s="15"/>
      <c r="O400" s="15"/>
      <c r="P400" s="15"/>
      <c r="Q400" s="16"/>
      <c r="R400" s="16"/>
      <c r="S400" s="16"/>
      <c r="T400" s="17"/>
      <c r="U400" s="11"/>
      <c r="V400" s="16"/>
      <c r="W400" s="11"/>
      <c r="X400" s="11"/>
      <c r="Y400" s="15"/>
      <c r="Z400" s="11"/>
    </row>
    <row r="401" spans="1:26" x14ac:dyDescent="0.25">
      <c r="A401" s="18"/>
      <c r="B401" s="18"/>
      <c r="C401" s="18"/>
      <c r="D401" s="18"/>
      <c r="E401" s="19"/>
      <c r="F401" s="20"/>
      <c r="G401" s="13"/>
      <c r="H401" s="20"/>
      <c r="I401" s="18"/>
      <c r="J401" s="18"/>
      <c r="K401" s="18"/>
      <c r="L401" s="18"/>
      <c r="M401" s="21"/>
      <c r="N401" s="21"/>
      <c r="O401" s="21"/>
      <c r="P401" s="21"/>
      <c r="Q401" s="22"/>
      <c r="R401" s="19"/>
      <c r="S401" s="22"/>
      <c r="T401" s="23"/>
      <c r="U401" s="18"/>
      <c r="V401" s="22"/>
      <c r="W401" s="18"/>
      <c r="X401" s="18"/>
      <c r="Y401" s="21"/>
      <c r="Z401" s="18"/>
    </row>
    <row r="402" spans="1:26" x14ac:dyDescent="0.25">
      <c r="A402" s="11"/>
      <c r="B402" s="11"/>
      <c r="C402" s="11"/>
      <c r="D402" s="11"/>
      <c r="E402" s="12"/>
      <c r="F402" s="13"/>
      <c r="G402" s="13"/>
      <c r="H402" s="13"/>
      <c r="I402" s="11"/>
      <c r="J402" s="11"/>
      <c r="K402" s="11"/>
      <c r="L402" s="11"/>
      <c r="M402" s="15"/>
      <c r="N402" s="15"/>
      <c r="O402" s="15"/>
      <c r="P402" s="15"/>
      <c r="Q402" s="16"/>
      <c r="R402" s="16"/>
      <c r="S402" s="16"/>
      <c r="T402" s="17"/>
      <c r="U402" s="11"/>
      <c r="V402" s="16"/>
      <c r="W402" s="11"/>
      <c r="X402" s="11"/>
      <c r="Y402" s="15"/>
      <c r="Z402" s="11"/>
    </row>
    <row r="403" spans="1:26" x14ac:dyDescent="0.25">
      <c r="A403" s="11"/>
      <c r="B403" s="11"/>
      <c r="C403" s="11"/>
      <c r="D403" s="11"/>
      <c r="E403" s="12"/>
      <c r="F403" s="13"/>
      <c r="G403" s="13"/>
      <c r="H403" s="13"/>
      <c r="I403" s="11"/>
      <c r="J403" s="11"/>
      <c r="K403" s="11"/>
      <c r="L403" s="11"/>
      <c r="M403" s="15"/>
      <c r="N403" s="15"/>
      <c r="O403" s="15"/>
      <c r="P403" s="15"/>
      <c r="Q403" s="16"/>
      <c r="R403" s="16"/>
      <c r="S403" s="16"/>
      <c r="T403" s="17"/>
      <c r="U403" s="11"/>
      <c r="V403" s="16"/>
      <c r="W403" s="11"/>
      <c r="X403" s="11"/>
      <c r="Y403" s="15"/>
      <c r="Z403" s="11"/>
    </row>
    <row r="404" spans="1:26" x14ac:dyDescent="0.25">
      <c r="A404" s="11"/>
      <c r="B404" s="11"/>
      <c r="C404" s="11"/>
      <c r="D404" s="11"/>
      <c r="E404" s="12"/>
      <c r="F404" s="13"/>
      <c r="G404" s="13"/>
      <c r="H404" s="13"/>
      <c r="I404" s="11"/>
      <c r="J404" s="11"/>
      <c r="K404" s="11"/>
      <c r="L404" s="11"/>
      <c r="M404" s="15"/>
      <c r="N404" s="15"/>
      <c r="O404" s="15"/>
      <c r="P404" s="15"/>
      <c r="Q404" s="16"/>
      <c r="R404" s="16"/>
      <c r="S404" s="16"/>
      <c r="T404" s="17"/>
      <c r="U404" s="11"/>
      <c r="V404" s="16"/>
      <c r="W404" s="11"/>
      <c r="X404" s="11"/>
      <c r="Y404" s="15"/>
      <c r="Z404" s="11"/>
    </row>
    <row r="405" spans="1:26" x14ac:dyDescent="0.25">
      <c r="A405" s="11"/>
      <c r="B405" s="11"/>
      <c r="C405" s="11"/>
      <c r="D405" s="11"/>
      <c r="E405" s="12"/>
      <c r="F405" s="13"/>
      <c r="G405" s="13"/>
      <c r="H405" s="13"/>
      <c r="I405" s="11"/>
      <c r="J405" s="11"/>
      <c r="K405" s="11"/>
      <c r="L405" s="11"/>
      <c r="M405" s="15"/>
      <c r="N405" s="15"/>
      <c r="O405" s="15"/>
      <c r="P405" s="15"/>
      <c r="Q405" s="16"/>
      <c r="R405" s="16"/>
      <c r="S405" s="16"/>
      <c r="T405" s="17"/>
      <c r="U405" s="11"/>
      <c r="V405" s="16"/>
      <c r="W405" s="11"/>
      <c r="X405" s="11"/>
      <c r="Y405" s="15"/>
      <c r="Z405" s="11"/>
    </row>
    <row r="406" spans="1:26" x14ac:dyDescent="0.25">
      <c r="A406" s="11"/>
      <c r="B406" s="11"/>
      <c r="C406" s="11"/>
      <c r="D406" s="11"/>
      <c r="E406" s="12"/>
      <c r="F406" s="13"/>
      <c r="G406" s="13"/>
      <c r="H406" s="13"/>
      <c r="I406" s="11"/>
      <c r="J406" s="11"/>
      <c r="K406" s="11"/>
      <c r="L406" s="11"/>
      <c r="M406" s="15"/>
      <c r="N406" s="15"/>
      <c r="O406" s="15"/>
      <c r="P406" s="15"/>
      <c r="Q406" s="16"/>
      <c r="R406" s="16"/>
      <c r="S406" s="16"/>
      <c r="T406" s="17"/>
      <c r="U406" s="11"/>
      <c r="V406" s="16"/>
      <c r="W406" s="11"/>
      <c r="X406" s="11"/>
      <c r="Y406" s="15"/>
      <c r="Z406" s="11"/>
    </row>
    <row r="407" spans="1:26" x14ac:dyDescent="0.25">
      <c r="A407" s="11"/>
      <c r="B407" s="11"/>
      <c r="C407" s="11"/>
      <c r="D407" s="11"/>
      <c r="E407" s="12"/>
      <c r="F407" s="13"/>
      <c r="G407" s="13"/>
      <c r="H407" s="13"/>
      <c r="I407" s="11"/>
      <c r="J407" s="11"/>
      <c r="K407" s="11"/>
      <c r="L407" s="11"/>
      <c r="M407" s="15"/>
      <c r="N407" s="15"/>
      <c r="O407" s="15"/>
      <c r="P407" s="15"/>
      <c r="Q407" s="16"/>
      <c r="R407" s="16"/>
      <c r="S407" s="16"/>
      <c r="T407" s="17"/>
      <c r="U407" s="11"/>
      <c r="V407" s="16"/>
      <c r="W407" s="11"/>
      <c r="X407" s="11"/>
      <c r="Y407" s="15"/>
      <c r="Z407" s="11"/>
    </row>
    <row r="408" spans="1:26" x14ac:dyDescent="0.25">
      <c r="A408" s="18"/>
      <c r="B408" s="18"/>
      <c r="C408" s="18"/>
      <c r="D408" s="18"/>
      <c r="E408" s="19"/>
      <c r="F408" s="20"/>
      <c r="G408" s="13"/>
      <c r="H408" s="20"/>
      <c r="I408" s="18"/>
      <c r="J408" s="18"/>
      <c r="K408" s="18"/>
      <c r="L408" s="18"/>
      <c r="M408" s="21"/>
      <c r="N408" s="21"/>
      <c r="O408" s="21"/>
      <c r="P408" s="21"/>
      <c r="Q408" s="22"/>
      <c r="R408" s="19"/>
      <c r="S408" s="22"/>
      <c r="T408" s="23"/>
      <c r="U408" s="18"/>
      <c r="V408" s="22"/>
      <c r="W408" s="18"/>
      <c r="X408" s="18"/>
      <c r="Y408" s="21"/>
      <c r="Z408" s="18"/>
    </row>
    <row r="409" spans="1:26" x14ac:dyDescent="0.25">
      <c r="A409" s="11"/>
      <c r="B409" s="11"/>
      <c r="C409" s="11"/>
      <c r="D409" s="11"/>
      <c r="E409" s="12"/>
      <c r="F409" s="13"/>
      <c r="G409" s="13"/>
      <c r="H409" s="13"/>
      <c r="I409" s="11"/>
      <c r="J409" s="11"/>
      <c r="K409" s="11"/>
      <c r="L409" s="11"/>
      <c r="M409" s="15"/>
      <c r="N409" s="15"/>
      <c r="O409" s="15"/>
      <c r="P409" s="15"/>
      <c r="Q409" s="16"/>
      <c r="R409" s="16"/>
      <c r="S409" s="16"/>
      <c r="T409" s="17"/>
      <c r="U409" s="11"/>
      <c r="V409" s="16"/>
      <c r="W409" s="11"/>
      <c r="X409" s="11"/>
      <c r="Y409" s="15"/>
      <c r="Z409" s="11"/>
    </row>
    <row r="410" spans="1:26" x14ac:dyDescent="0.25">
      <c r="A410" s="18"/>
      <c r="B410" s="18"/>
      <c r="C410" s="18"/>
      <c r="D410" s="18"/>
      <c r="E410" s="19"/>
      <c r="F410" s="20"/>
      <c r="G410" s="13"/>
      <c r="H410" s="20"/>
      <c r="I410" s="18"/>
      <c r="J410" s="18"/>
      <c r="K410" s="18"/>
      <c r="L410" s="18"/>
      <c r="M410" s="21"/>
      <c r="N410" s="21"/>
      <c r="O410" s="21"/>
      <c r="P410" s="21"/>
      <c r="Q410" s="22"/>
      <c r="R410" s="19"/>
      <c r="S410" s="22"/>
      <c r="T410" s="23"/>
      <c r="U410" s="18"/>
      <c r="V410" s="22"/>
      <c r="W410" s="18"/>
      <c r="X410" s="18"/>
      <c r="Y410" s="21"/>
      <c r="Z410" s="18"/>
    </row>
    <row r="411" spans="1:26" x14ac:dyDescent="0.25">
      <c r="A411" s="18"/>
      <c r="B411" s="18"/>
      <c r="C411" s="18"/>
      <c r="D411" s="18"/>
      <c r="E411" s="19"/>
      <c r="F411" s="20"/>
      <c r="G411" s="13"/>
      <c r="H411" s="20"/>
      <c r="I411" s="18"/>
      <c r="J411" s="18"/>
      <c r="K411" s="18"/>
      <c r="L411" s="18"/>
      <c r="M411" s="21"/>
      <c r="N411" s="21"/>
      <c r="O411" s="21"/>
      <c r="P411" s="21"/>
      <c r="Q411" s="22"/>
      <c r="R411" s="19"/>
      <c r="S411" s="22"/>
      <c r="T411" s="23"/>
      <c r="U411" s="18"/>
      <c r="V411" s="22"/>
      <c r="W411" s="18"/>
      <c r="X411" s="18"/>
      <c r="Y411" s="21"/>
      <c r="Z411" s="18"/>
    </row>
    <row r="412" spans="1:26" x14ac:dyDescent="0.25">
      <c r="A412" s="11"/>
      <c r="B412" s="11"/>
      <c r="C412" s="11"/>
      <c r="D412" s="11"/>
      <c r="E412" s="12"/>
      <c r="F412" s="13"/>
      <c r="G412" s="13"/>
      <c r="H412" s="13"/>
      <c r="I412" s="11"/>
      <c r="J412" s="11"/>
      <c r="K412" s="11"/>
      <c r="L412" s="11"/>
      <c r="M412" s="15"/>
      <c r="N412" s="15"/>
      <c r="O412" s="15"/>
      <c r="P412" s="15"/>
      <c r="Q412" s="16"/>
      <c r="R412" s="16"/>
      <c r="S412" s="16"/>
      <c r="T412" s="17"/>
      <c r="U412" s="11"/>
      <c r="V412" s="16"/>
      <c r="W412" s="11"/>
      <c r="X412" s="11"/>
      <c r="Y412" s="15"/>
      <c r="Z412" s="11"/>
    </row>
    <row r="413" spans="1:26" x14ac:dyDescent="0.25">
      <c r="A413" s="11"/>
      <c r="B413" s="11"/>
      <c r="C413" s="11"/>
      <c r="D413" s="11"/>
      <c r="E413" s="12"/>
      <c r="F413" s="13"/>
      <c r="G413" s="13"/>
      <c r="H413" s="13"/>
      <c r="I413" s="11"/>
      <c r="J413" s="11"/>
      <c r="K413" s="11"/>
      <c r="L413" s="11"/>
      <c r="M413" s="15"/>
      <c r="N413" s="15"/>
      <c r="O413" s="15"/>
      <c r="P413" s="15"/>
      <c r="Q413" s="16"/>
      <c r="R413" s="16"/>
      <c r="S413" s="16"/>
      <c r="T413" s="17"/>
      <c r="U413" s="11"/>
      <c r="V413" s="16"/>
      <c r="W413" s="11"/>
      <c r="X413" s="11"/>
      <c r="Y413" s="15"/>
      <c r="Z413" s="11"/>
    </row>
    <row r="414" spans="1:26" x14ac:dyDescent="0.25">
      <c r="A414" s="11"/>
      <c r="B414" s="11"/>
      <c r="C414" s="11"/>
      <c r="D414" s="11"/>
      <c r="E414" s="12"/>
      <c r="F414" s="13"/>
      <c r="G414" s="13"/>
      <c r="H414" s="13"/>
      <c r="I414" s="11"/>
      <c r="J414" s="11"/>
      <c r="K414" s="11"/>
      <c r="L414" s="11"/>
      <c r="M414" s="15"/>
      <c r="N414" s="15"/>
      <c r="O414" s="15"/>
      <c r="P414" s="15"/>
      <c r="Q414" s="16"/>
      <c r="R414" s="16"/>
      <c r="S414" s="16"/>
      <c r="T414" s="17"/>
      <c r="U414" s="11"/>
      <c r="V414" s="16"/>
      <c r="W414" s="11"/>
      <c r="X414" s="11"/>
      <c r="Y414" s="15"/>
      <c r="Z414" s="11"/>
    </row>
    <row r="415" spans="1:26" x14ac:dyDescent="0.25">
      <c r="A415" s="11"/>
      <c r="B415" s="11"/>
      <c r="C415" s="11"/>
      <c r="D415" s="11"/>
      <c r="E415" s="12"/>
      <c r="F415" s="13"/>
      <c r="G415" s="13"/>
      <c r="H415" s="13"/>
      <c r="I415" s="11"/>
      <c r="J415" s="11"/>
      <c r="K415" s="11"/>
      <c r="L415" s="11"/>
      <c r="M415" s="15"/>
      <c r="N415" s="15"/>
      <c r="O415" s="15"/>
      <c r="P415" s="15"/>
      <c r="Q415" s="16"/>
      <c r="R415" s="16"/>
      <c r="S415" s="16"/>
      <c r="T415" s="17"/>
      <c r="U415" s="11"/>
      <c r="V415" s="16"/>
      <c r="W415" s="11"/>
      <c r="X415" s="11"/>
      <c r="Y415" s="15"/>
      <c r="Z415" s="11"/>
    </row>
    <row r="416" spans="1:26" x14ac:dyDescent="0.25">
      <c r="A416" s="18"/>
      <c r="B416" s="18"/>
      <c r="C416" s="18"/>
      <c r="D416" s="18"/>
      <c r="E416" s="19"/>
      <c r="F416" s="20"/>
      <c r="G416" s="13"/>
      <c r="H416" s="20"/>
      <c r="I416" s="18"/>
      <c r="J416" s="18"/>
      <c r="K416" s="18"/>
      <c r="L416" s="18"/>
      <c r="M416" s="21"/>
      <c r="N416" s="21"/>
      <c r="O416" s="21"/>
      <c r="P416" s="21"/>
      <c r="Q416" s="22"/>
      <c r="R416" s="19"/>
      <c r="S416" s="22"/>
      <c r="T416" s="23"/>
      <c r="U416" s="18"/>
      <c r="V416" s="22"/>
      <c r="W416" s="18"/>
      <c r="X416" s="18"/>
      <c r="Y416" s="21"/>
      <c r="Z416" s="18"/>
    </row>
    <row r="417" spans="1:26" x14ac:dyDescent="0.25">
      <c r="A417" s="18"/>
      <c r="B417" s="18"/>
      <c r="C417" s="18"/>
      <c r="D417" s="18"/>
      <c r="E417" s="19"/>
      <c r="F417" s="20"/>
      <c r="G417" s="13"/>
      <c r="H417" s="20"/>
      <c r="I417" s="18"/>
      <c r="J417" s="18"/>
      <c r="K417" s="18"/>
      <c r="L417" s="18"/>
      <c r="M417" s="21"/>
      <c r="N417" s="21"/>
      <c r="O417" s="21"/>
      <c r="P417" s="21"/>
      <c r="Q417" s="22"/>
      <c r="R417" s="19"/>
      <c r="S417" s="22"/>
      <c r="T417" s="23"/>
      <c r="U417" s="18"/>
      <c r="V417" s="22"/>
      <c r="W417" s="18"/>
      <c r="X417" s="18"/>
      <c r="Y417" s="21"/>
      <c r="Z417" s="18"/>
    </row>
    <row r="418" spans="1:26" x14ac:dyDescent="0.25">
      <c r="A418" s="11"/>
      <c r="B418" s="11"/>
      <c r="C418" s="11"/>
      <c r="D418" s="11"/>
      <c r="E418" s="12"/>
      <c r="F418" s="13"/>
      <c r="G418" s="13"/>
      <c r="H418" s="13"/>
      <c r="I418" s="11"/>
      <c r="J418" s="11"/>
      <c r="K418" s="11"/>
      <c r="L418" s="11"/>
      <c r="M418" s="15"/>
      <c r="N418" s="15"/>
      <c r="O418" s="15"/>
      <c r="P418" s="15"/>
      <c r="Q418" s="16"/>
      <c r="R418" s="16"/>
      <c r="S418" s="16"/>
      <c r="T418" s="17"/>
      <c r="U418" s="11"/>
      <c r="V418" s="16"/>
      <c r="W418" s="11"/>
      <c r="X418" s="11"/>
      <c r="Y418" s="15"/>
      <c r="Z418" s="11"/>
    </row>
    <row r="419" spans="1:26" x14ac:dyDescent="0.25">
      <c r="A419" s="11"/>
      <c r="B419" s="11"/>
      <c r="C419" s="11"/>
      <c r="D419" s="11"/>
      <c r="E419" s="12"/>
      <c r="F419" s="13"/>
      <c r="G419" s="13"/>
      <c r="H419" s="13"/>
      <c r="I419" s="11"/>
      <c r="J419" s="11"/>
      <c r="K419" s="11"/>
      <c r="L419" s="11"/>
      <c r="M419" s="15"/>
      <c r="N419" s="15"/>
      <c r="O419" s="15"/>
      <c r="P419" s="15"/>
      <c r="Q419" s="16"/>
      <c r="R419" s="16"/>
      <c r="S419" s="16"/>
      <c r="T419" s="17"/>
      <c r="U419" s="11"/>
      <c r="V419" s="16"/>
      <c r="W419" s="11"/>
      <c r="X419" s="11"/>
      <c r="Y419" s="15"/>
      <c r="Z419" s="11"/>
    </row>
    <row r="420" spans="1:26" x14ac:dyDescent="0.25">
      <c r="A420" s="18"/>
      <c r="B420" s="18"/>
      <c r="C420" s="18"/>
      <c r="D420" s="18"/>
      <c r="E420" s="19"/>
      <c r="F420" s="20"/>
      <c r="G420" s="13"/>
      <c r="H420" s="20"/>
      <c r="I420" s="18"/>
      <c r="J420" s="18"/>
      <c r="K420" s="18"/>
      <c r="L420" s="18"/>
      <c r="M420" s="21"/>
      <c r="N420" s="21"/>
      <c r="O420" s="21"/>
      <c r="P420" s="21"/>
      <c r="Q420" s="22"/>
      <c r="R420" s="19"/>
      <c r="S420" s="22"/>
      <c r="T420" s="23"/>
      <c r="U420" s="18"/>
      <c r="V420" s="22"/>
      <c r="W420" s="18"/>
      <c r="X420" s="18"/>
      <c r="Y420" s="21"/>
      <c r="Z420" s="18"/>
    </row>
    <row r="421" spans="1:26" x14ac:dyDescent="0.25">
      <c r="A421" s="11"/>
      <c r="B421" s="11"/>
      <c r="C421" s="11"/>
      <c r="D421" s="11"/>
      <c r="E421" s="12"/>
      <c r="F421" s="13"/>
      <c r="G421" s="13"/>
      <c r="H421" s="13"/>
      <c r="I421" s="11"/>
      <c r="J421" s="11"/>
      <c r="K421" s="11"/>
      <c r="L421" s="11"/>
      <c r="M421" s="15"/>
      <c r="N421" s="15"/>
      <c r="O421" s="15"/>
      <c r="P421" s="15"/>
      <c r="Q421" s="16"/>
      <c r="R421" s="16"/>
      <c r="S421" s="16"/>
      <c r="T421" s="17"/>
      <c r="U421" s="11"/>
      <c r="V421" s="16"/>
      <c r="W421" s="11"/>
      <c r="X421" s="11"/>
      <c r="Y421" s="15"/>
      <c r="Z421" s="11"/>
    </row>
    <row r="422" spans="1:26" x14ac:dyDescent="0.25">
      <c r="A422" s="18"/>
      <c r="B422" s="18"/>
      <c r="C422" s="18"/>
      <c r="D422" s="18"/>
      <c r="E422" s="19"/>
      <c r="F422" s="20"/>
      <c r="G422" s="13"/>
      <c r="H422" s="20"/>
      <c r="I422" s="18"/>
      <c r="J422" s="18"/>
      <c r="K422" s="18"/>
      <c r="L422" s="18"/>
      <c r="M422" s="21"/>
      <c r="N422" s="21"/>
      <c r="O422" s="21"/>
      <c r="P422" s="21"/>
      <c r="Q422" s="22"/>
      <c r="R422" s="19"/>
      <c r="S422" s="22"/>
      <c r="T422" s="23"/>
      <c r="U422" s="18"/>
      <c r="V422" s="22"/>
      <c r="W422" s="18"/>
      <c r="X422" s="18"/>
      <c r="Y422" s="21"/>
      <c r="Z422" s="18"/>
    </row>
    <row r="423" spans="1:26" x14ac:dyDescent="0.25">
      <c r="A423" s="11"/>
      <c r="B423" s="11"/>
      <c r="C423" s="11"/>
      <c r="D423" s="11"/>
      <c r="E423" s="12"/>
      <c r="F423" s="13"/>
      <c r="G423" s="13"/>
      <c r="H423" s="13"/>
      <c r="I423" s="11"/>
      <c r="J423" s="11"/>
      <c r="K423" s="11"/>
      <c r="L423" s="11"/>
      <c r="M423" s="15"/>
      <c r="N423" s="15"/>
      <c r="O423" s="15"/>
      <c r="P423" s="15"/>
      <c r="Q423" s="16"/>
      <c r="R423" s="16"/>
      <c r="S423" s="16"/>
      <c r="T423" s="17"/>
      <c r="U423" s="11"/>
      <c r="V423" s="16"/>
      <c r="W423" s="11"/>
      <c r="X423" s="11"/>
      <c r="Y423" s="15"/>
      <c r="Z423" s="11"/>
    </row>
    <row r="424" spans="1:26" x14ac:dyDescent="0.25">
      <c r="A424" s="11"/>
      <c r="B424" s="11"/>
      <c r="C424" s="11"/>
      <c r="D424" s="11"/>
      <c r="E424" s="12"/>
      <c r="F424" s="13"/>
      <c r="G424" s="13"/>
      <c r="H424" s="13"/>
      <c r="I424" s="11"/>
      <c r="J424" s="11"/>
      <c r="K424" s="11"/>
      <c r="L424" s="11"/>
      <c r="M424" s="15"/>
      <c r="N424" s="15"/>
      <c r="O424" s="15"/>
      <c r="P424" s="15"/>
      <c r="Q424" s="16"/>
      <c r="R424" s="16"/>
      <c r="S424" s="16"/>
      <c r="T424" s="17"/>
      <c r="U424" s="11"/>
      <c r="V424" s="16"/>
      <c r="W424" s="11"/>
      <c r="X424" s="11"/>
      <c r="Y424" s="15"/>
      <c r="Z424" s="11"/>
    </row>
    <row r="425" spans="1:26" x14ac:dyDescent="0.25">
      <c r="A425" s="11"/>
      <c r="B425" s="11"/>
      <c r="C425" s="11"/>
      <c r="D425" s="11"/>
      <c r="E425" s="12"/>
      <c r="F425" s="13"/>
      <c r="G425" s="13"/>
      <c r="H425" s="13"/>
      <c r="I425" s="11"/>
      <c r="J425" s="11"/>
      <c r="K425" s="11"/>
      <c r="L425" s="11"/>
      <c r="M425" s="15"/>
      <c r="N425" s="15"/>
      <c r="O425" s="15"/>
      <c r="P425" s="15"/>
      <c r="Q425" s="16"/>
      <c r="R425" s="16"/>
      <c r="S425" s="16"/>
      <c r="T425" s="17"/>
      <c r="U425" s="11"/>
      <c r="V425" s="16"/>
      <c r="W425" s="11"/>
      <c r="X425" s="11"/>
      <c r="Y425" s="15"/>
      <c r="Z425" s="11"/>
    </row>
    <row r="426" spans="1:26" x14ac:dyDescent="0.25">
      <c r="A426" s="11"/>
      <c r="B426" s="11"/>
      <c r="C426" s="11"/>
      <c r="D426" s="11"/>
      <c r="E426" s="12"/>
      <c r="F426" s="13"/>
      <c r="G426" s="13"/>
      <c r="H426" s="13"/>
      <c r="I426" s="11"/>
      <c r="J426" s="11"/>
      <c r="K426" s="11"/>
      <c r="L426" s="11"/>
      <c r="M426" s="15"/>
      <c r="N426" s="15"/>
      <c r="O426" s="15"/>
      <c r="P426" s="15"/>
      <c r="Q426" s="16"/>
      <c r="R426" s="16"/>
      <c r="S426" s="16"/>
      <c r="T426" s="17"/>
      <c r="U426" s="11"/>
      <c r="V426" s="16"/>
      <c r="W426" s="11"/>
      <c r="X426" s="11"/>
      <c r="Y426" s="15"/>
      <c r="Z426" s="11"/>
    </row>
    <row r="427" spans="1:26" x14ac:dyDescent="0.25">
      <c r="A427" s="18"/>
      <c r="B427" s="18"/>
      <c r="C427" s="18"/>
      <c r="D427" s="18"/>
      <c r="E427" s="19"/>
      <c r="F427" s="20"/>
      <c r="G427" s="13"/>
      <c r="H427" s="20"/>
      <c r="I427" s="18"/>
      <c r="J427" s="18"/>
      <c r="K427" s="18"/>
      <c r="L427" s="18"/>
      <c r="M427" s="21"/>
      <c r="N427" s="21"/>
      <c r="O427" s="21"/>
      <c r="P427" s="21"/>
      <c r="Q427" s="22"/>
      <c r="R427" s="19"/>
      <c r="S427" s="22"/>
      <c r="T427" s="23"/>
      <c r="U427" s="18"/>
      <c r="V427" s="22"/>
      <c r="W427" s="18"/>
      <c r="X427" s="18"/>
      <c r="Y427" s="21"/>
      <c r="Z427" s="18"/>
    </row>
    <row r="428" spans="1:26" x14ac:dyDescent="0.25">
      <c r="A428" s="11"/>
      <c r="B428" s="11"/>
      <c r="C428" s="11"/>
      <c r="D428" s="11"/>
      <c r="E428" s="12"/>
      <c r="F428" s="13"/>
      <c r="G428" s="13"/>
      <c r="H428" s="13"/>
      <c r="I428" s="11"/>
      <c r="J428" s="11"/>
      <c r="K428" s="11"/>
      <c r="L428" s="11"/>
      <c r="M428" s="15"/>
      <c r="N428" s="15"/>
      <c r="O428" s="15"/>
      <c r="P428" s="15"/>
      <c r="Q428" s="16"/>
      <c r="R428" s="16"/>
      <c r="S428" s="16"/>
      <c r="T428" s="17"/>
      <c r="U428" s="11"/>
      <c r="V428" s="16"/>
      <c r="W428" s="11"/>
      <c r="X428" s="11"/>
      <c r="Y428" s="15"/>
      <c r="Z428" s="11"/>
    </row>
    <row r="429" spans="1:26" x14ac:dyDescent="0.25">
      <c r="A429" s="11"/>
      <c r="B429" s="11"/>
      <c r="C429" s="11"/>
      <c r="D429" s="11"/>
      <c r="E429" s="12"/>
      <c r="F429" s="13"/>
      <c r="G429" s="13"/>
      <c r="H429" s="13"/>
      <c r="I429" s="11"/>
      <c r="J429" s="11"/>
      <c r="K429" s="11"/>
      <c r="L429" s="11"/>
      <c r="M429" s="15"/>
      <c r="N429" s="15"/>
      <c r="O429" s="15"/>
      <c r="P429" s="15"/>
      <c r="Q429" s="16"/>
      <c r="R429" s="16"/>
      <c r="S429" s="16"/>
      <c r="T429" s="17"/>
      <c r="U429" s="11"/>
      <c r="V429" s="16"/>
      <c r="W429" s="11"/>
      <c r="X429" s="11"/>
      <c r="Y429" s="15"/>
      <c r="Z429" s="11"/>
    </row>
    <row r="430" spans="1:26" x14ac:dyDescent="0.25">
      <c r="A430" s="11"/>
      <c r="B430" s="11"/>
      <c r="C430" s="11"/>
      <c r="D430" s="11"/>
      <c r="E430" s="12"/>
      <c r="F430" s="13"/>
      <c r="G430" s="13"/>
      <c r="H430" s="13"/>
      <c r="I430" s="11"/>
      <c r="J430" s="11"/>
      <c r="K430" s="11"/>
      <c r="L430" s="11"/>
      <c r="M430" s="15"/>
      <c r="N430" s="15"/>
      <c r="O430" s="15"/>
      <c r="P430" s="15"/>
      <c r="Q430" s="16"/>
      <c r="R430" s="16"/>
      <c r="S430" s="16"/>
      <c r="T430" s="17"/>
      <c r="U430" s="11"/>
      <c r="V430" s="16"/>
      <c r="W430" s="11"/>
      <c r="X430" s="11"/>
      <c r="Y430" s="15"/>
      <c r="Z430" s="11"/>
    </row>
    <row r="431" spans="1:26" x14ac:dyDescent="0.25">
      <c r="A431" s="11"/>
      <c r="B431" s="11"/>
      <c r="C431" s="11"/>
      <c r="D431" s="11"/>
      <c r="E431" s="12"/>
      <c r="F431" s="13"/>
      <c r="G431" s="13"/>
      <c r="H431" s="13"/>
      <c r="I431" s="11"/>
      <c r="J431" s="11"/>
      <c r="K431" s="11"/>
      <c r="L431" s="11"/>
      <c r="M431" s="15"/>
      <c r="N431" s="15"/>
      <c r="O431" s="15"/>
      <c r="P431" s="15"/>
      <c r="Q431" s="16"/>
      <c r="R431" s="16"/>
      <c r="S431" s="16"/>
      <c r="T431" s="17"/>
      <c r="U431" s="11"/>
      <c r="V431" s="16"/>
      <c r="W431" s="11"/>
      <c r="X431" s="11"/>
      <c r="Y431" s="15"/>
      <c r="Z431" s="11"/>
    </row>
    <row r="432" spans="1:26" x14ac:dyDescent="0.25">
      <c r="A432" s="11"/>
      <c r="B432" s="11"/>
      <c r="C432" s="11"/>
      <c r="D432" s="11"/>
      <c r="E432" s="12"/>
      <c r="F432" s="13"/>
      <c r="G432" s="13"/>
      <c r="H432" s="13"/>
      <c r="I432" s="11"/>
      <c r="J432" s="11"/>
      <c r="K432" s="11"/>
      <c r="L432" s="11"/>
      <c r="M432" s="15"/>
      <c r="N432" s="15"/>
      <c r="O432" s="15"/>
      <c r="P432" s="15"/>
      <c r="Q432" s="16"/>
      <c r="R432" s="16"/>
      <c r="S432" s="16"/>
      <c r="T432" s="17"/>
      <c r="U432" s="11"/>
      <c r="V432" s="16"/>
      <c r="W432" s="11"/>
      <c r="X432" s="11"/>
      <c r="Y432" s="15"/>
      <c r="Z432" s="11"/>
    </row>
    <row r="433" spans="1:26" x14ac:dyDescent="0.25">
      <c r="A433" s="11"/>
      <c r="B433" s="11"/>
      <c r="C433" s="11"/>
      <c r="D433" s="11"/>
      <c r="E433" s="12"/>
      <c r="F433" s="13"/>
      <c r="G433" s="13"/>
      <c r="H433" s="13"/>
      <c r="I433" s="11"/>
      <c r="J433" s="11"/>
      <c r="K433" s="11"/>
      <c r="L433" s="11"/>
      <c r="M433" s="15"/>
      <c r="N433" s="15"/>
      <c r="O433" s="15"/>
      <c r="P433" s="15"/>
      <c r="Q433" s="16"/>
      <c r="R433" s="16"/>
      <c r="S433" s="16"/>
      <c r="T433" s="17"/>
      <c r="U433" s="11"/>
      <c r="V433" s="16"/>
      <c r="W433" s="11"/>
      <c r="X433" s="11"/>
      <c r="Y433" s="15"/>
      <c r="Z433" s="11"/>
    </row>
    <row r="434" spans="1:26" x14ac:dyDescent="0.25">
      <c r="A434" s="11"/>
      <c r="B434" s="11"/>
      <c r="C434" s="11"/>
      <c r="D434" s="11"/>
      <c r="E434" s="12"/>
      <c r="F434" s="13"/>
      <c r="G434" s="13"/>
      <c r="H434" s="13"/>
      <c r="I434" s="11"/>
      <c r="J434" s="11"/>
      <c r="K434" s="11"/>
      <c r="L434" s="11"/>
      <c r="M434" s="15"/>
      <c r="N434" s="15"/>
      <c r="O434" s="15"/>
      <c r="P434" s="15"/>
      <c r="Q434" s="16"/>
      <c r="R434" s="16"/>
      <c r="S434" s="16"/>
      <c r="T434" s="17"/>
      <c r="U434" s="11"/>
      <c r="V434" s="16"/>
      <c r="W434" s="11"/>
      <c r="X434" s="11"/>
      <c r="Y434" s="15"/>
      <c r="Z434" s="11"/>
    </row>
    <row r="435" spans="1:26" x14ac:dyDescent="0.25">
      <c r="A435" s="18"/>
      <c r="B435" s="18"/>
      <c r="C435" s="18"/>
      <c r="D435" s="18"/>
      <c r="E435" s="19"/>
      <c r="F435" s="20"/>
      <c r="G435" s="13"/>
      <c r="H435" s="20"/>
      <c r="I435" s="18"/>
      <c r="J435" s="18"/>
      <c r="K435" s="18"/>
      <c r="L435" s="18"/>
      <c r="M435" s="21"/>
      <c r="N435" s="21"/>
      <c r="O435" s="21"/>
      <c r="P435" s="21"/>
      <c r="Q435" s="22"/>
      <c r="R435" s="19"/>
      <c r="S435" s="22"/>
      <c r="T435" s="23"/>
      <c r="U435" s="18"/>
      <c r="V435" s="22"/>
      <c r="W435" s="18"/>
      <c r="X435" s="18"/>
      <c r="Y435" s="21"/>
      <c r="Z435" s="18"/>
    </row>
    <row r="436" spans="1:26" x14ac:dyDescent="0.25">
      <c r="A436" s="11"/>
      <c r="B436" s="11"/>
      <c r="C436" s="11"/>
      <c r="D436" s="11"/>
      <c r="E436" s="12"/>
      <c r="F436" s="13"/>
      <c r="G436" s="13"/>
      <c r="H436" s="13"/>
      <c r="I436" s="11"/>
      <c r="J436" s="11"/>
      <c r="K436" s="11"/>
      <c r="L436" s="11"/>
      <c r="M436" s="15"/>
      <c r="N436" s="15"/>
      <c r="O436" s="15"/>
      <c r="P436" s="15"/>
      <c r="Q436" s="16"/>
      <c r="R436" s="16"/>
      <c r="S436" s="16"/>
      <c r="T436" s="17"/>
      <c r="U436" s="11"/>
      <c r="V436" s="16"/>
      <c r="W436" s="11"/>
      <c r="X436" s="11"/>
      <c r="Y436" s="15"/>
      <c r="Z436" s="11"/>
    </row>
    <row r="437" spans="1:26" x14ac:dyDescent="0.25">
      <c r="A437" s="11"/>
      <c r="B437" s="11"/>
      <c r="C437" s="11"/>
      <c r="D437" s="11"/>
      <c r="E437" s="12"/>
      <c r="F437" s="13"/>
      <c r="G437" s="13"/>
      <c r="H437" s="13"/>
      <c r="I437" s="11"/>
      <c r="J437" s="11"/>
      <c r="K437" s="11"/>
      <c r="L437" s="11"/>
      <c r="M437" s="15"/>
      <c r="N437" s="15"/>
      <c r="O437" s="15"/>
      <c r="P437" s="15"/>
      <c r="Q437" s="16"/>
      <c r="R437" s="16"/>
      <c r="S437" s="16"/>
      <c r="T437" s="17"/>
      <c r="U437" s="11"/>
      <c r="V437" s="16"/>
      <c r="W437" s="11"/>
      <c r="X437" s="11"/>
      <c r="Y437" s="15"/>
      <c r="Z437" s="11"/>
    </row>
    <row r="438" spans="1:26" x14ac:dyDescent="0.25">
      <c r="A438" s="11"/>
      <c r="B438" s="11"/>
      <c r="C438" s="11"/>
      <c r="D438" s="11"/>
      <c r="E438" s="12"/>
      <c r="F438" s="13"/>
      <c r="G438" s="13"/>
      <c r="H438" s="13"/>
      <c r="I438" s="11"/>
      <c r="J438" s="11"/>
      <c r="K438" s="11"/>
      <c r="L438" s="11"/>
      <c r="M438" s="15"/>
      <c r="N438" s="15"/>
      <c r="O438" s="15"/>
      <c r="P438" s="15"/>
      <c r="Q438" s="16"/>
      <c r="R438" s="16"/>
      <c r="S438" s="16"/>
      <c r="T438" s="17"/>
      <c r="U438" s="11"/>
      <c r="V438" s="16"/>
      <c r="W438" s="11"/>
      <c r="X438" s="11"/>
      <c r="Y438" s="15"/>
      <c r="Z438" s="11"/>
    </row>
    <row r="439" spans="1:26" x14ac:dyDescent="0.25">
      <c r="A439" s="11"/>
      <c r="B439" s="11"/>
      <c r="C439" s="11"/>
      <c r="D439" s="11"/>
      <c r="E439" s="12"/>
      <c r="F439" s="13"/>
      <c r="G439" s="13"/>
      <c r="H439" s="13"/>
      <c r="I439" s="11"/>
      <c r="J439" s="11"/>
      <c r="K439" s="11"/>
      <c r="L439" s="11"/>
      <c r="M439" s="15"/>
      <c r="N439" s="15"/>
      <c r="O439" s="15"/>
      <c r="P439" s="15"/>
      <c r="Q439" s="16"/>
      <c r="R439" s="16"/>
      <c r="S439" s="16"/>
      <c r="T439" s="17"/>
      <c r="U439" s="11"/>
      <c r="V439" s="16"/>
      <c r="W439" s="11"/>
      <c r="X439" s="11"/>
      <c r="Y439" s="15"/>
      <c r="Z439" s="11"/>
    </row>
    <row r="440" spans="1:26" x14ac:dyDescent="0.25">
      <c r="A440" s="11"/>
      <c r="B440" s="11"/>
      <c r="C440" s="11"/>
      <c r="D440" s="11"/>
      <c r="E440" s="12"/>
      <c r="F440" s="13"/>
      <c r="G440" s="13"/>
      <c r="H440" s="13"/>
      <c r="I440" s="11"/>
      <c r="J440" s="11"/>
      <c r="K440" s="11"/>
      <c r="L440" s="11"/>
      <c r="M440" s="15"/>
      <c r="N440" s="15"/>
      <c r="O440" s="15"/>
      <c r="P440" s="15"/>
      <c r="Q440" s="16"/>
      <c r="R440" s="16"/>
      <c r="S440" s="16"/>
      <c r="T440" s="17"/>
      <c r="U440" s="11"/>
      <c r="V440" s="16"/>
      <c r="W440" s="11"/>
      <c r="X440" s="11"/>
      <c r="Y440" s="15"/>
      <c r="Z440" s="11"/>
    </row>
    <row r="441" spans="1:26" x14ac:dyDescent="0.25">
      <c r="A441" s="11"/>
      <c r="B441" s="11"/>
      <c r="C441" s="11"/>
      <c r="D441" s="11"/>
      <c r="E441" s="12"/>
      <c r="F441" s="13"/>
      <c r="G441" s="13"/>
      <c r="H441" s="13"/>
      <c r="I441" s="11"/>
      <c r="J441" s="11"/>
      <c r="K441" s="11"/>
      <c r="L441" s="11"/>
      <c r="M441" s="15"/>
      <c r="N441" s="15"/>
      <c r="O441" s="15"/>
      <c r="P441" s="15"/>
      <c r="Q441" s="16"/>
      <c r="R441" s="16"/>
      <c r="S441" s="16"/>
      <c r="T441" s="17"/>
      <c r="U441" s="11"/>
      <c r="V441" s="16"/>
      <c r="W441" s="11"/>
      <c r="X441" s="11"/>
      <c r="Y441" s="15"/>
      <c r="Z441" s="11"/>
    </row>
    <row r="442" spans="1:26" x14ac:dyDescent="0.25">
      <c r="A442" s="11"/>
      <c r="B442" s="11"/>
      <c r="C442" s="11"/>
      <c r="D442" s="11"/>
      <c r="E442" s="12"/>
      <c r="F442" s="13"/>
      <c r="G442" s="13"/>
      <c r="H442" s="13"/>
      <c r="I442" s="11"/>
      <c r="J442" s="11"/>
      <c r="K442" s="11"/>
      <c r="L442" s="11"/>
      <c r="M442" s="15"/>
      <c r="N442" s="15"/>
      <c r="O442" s="15"/>
      <c r="P442" s="15"/>
      <c r="Q442" s="16"/>
      <c r="R442" s="16"/>
      <c r="S442" s="16"/>
      <c r="T442" s="17"/>
      <c r="U442" s="11"/>
      <c r="V442" s="16"/>
      <c r="W442" s="11"/>
      <c r="X442" s="11"/>
      <c r="Y442" s="15"/>
      <c r="Z442" s="11"/>
    </row>
    <row r="443" spans="1:26" x14ac:dyDescent="0.25">
      <c r="A443" s="11"/>
      <c r="B443" s="11"/>
      <c r="C443" s="11"/>
      <c r="D443" s="11"/>
      <c r="E443" s="12"/>
      <c r="F443" s="13"/>
      <c r="G443" s="13"/>
      <c r="H443" s="13"/>
      <c r="I443" s="11"/>
      <c r="J443" s="11"/>
      <c r="K443" s="11"/>
      <c r="L443" s="11"/>
      <c r="M443" s="15"/>
      <c r="N443" s="15"/>
      <c r="O443" s="15"/>
      <c r="P443" s="15"/>
      <c r="Q443" s="16"/>
      <c r="R443" s="16"/>
      <c r="S443" s="16"/>
      <c r="T443" s="17"/>
      <c r="U443" s="11"/>
      <c r="V443" s="16"/>
      <c r="W443" s="11"/>
      <c r="X443" s="11"/>
      <c r="Y443" s="15"/>
      <c r="Z443" s="11"/>
    </row>
    <row r="444" spans="1:26" x14ac:dyDescent="0.25">
      <c r="A444" s="11"/>
      <c r="B444" s="11"/>
      <c r="C444" s="11"/>
      <c r="D444" s="11"/>
      <c r="E444" s="12"/>
      <c r="F444" s="13"/>
      <c r="G444" s="13"/>
      <c r="H444" s="13"/>
      <c r="I444" s="11"/>
      <c r="J444" s="11"/>
      <c r="K444" s="11"/>
      <c r="L444" s="11"/>
      <c r="M444" s="15"/>
      <c r="N444" s="15"/>
      <c r="O444" s="15"/>
      <c r="P444" s="15"/>
      <c r="Q444" s="16"/>
      <c r="R444" s="16"/>
      <c r="S444" s="16"/>
      <c r="T444" s="17"/>
      <c r="U444" s="11"/>
      <c r="V444" s="16"/>
      <c r="W444" s="11"/>
      <c r="X444" s="11"/>
      <c r="Y444" s="15"/>
      <c r="Z444" s="11"/>
    </row>
    <row r="445" spans="1:26" x14ac:dyDescent="0.25">
      <c r="A445" s="11"/>
      <c r="B445" s="11"/>
      <c r="C445" s="11"/>
      <c r="D445" s="11"/>
      <c r="E445" s="12"/>
      <c r="F445" s="13"/>
      <c r="G445" s="13"/>
      <c r="H445" s="13"/>
      <c r="I445" s="11"/>
      <c r="J445" s="11"/>
      <c r="K445" s="11"/>
      <c r="L445" s="11"/>
      <c r="M445" s="15"/>
      <c r="N445" s="15"/>
      <c r="O445" s="15"/>
      <c r="P445" s="15"/>
      <c r="Q445" s="16"/>
      <c r="R445" s="16"/>
      <c r="S445" s="16"/>
      <c r="T445" s="17"/>
      <c r="U445" s="11"/>
      <c r="V445" s="16"/>
      <c r="W445" s="11"/>
      <c r="X445" s="11"/>
      <c r="Y445" s="15"/>
      <c r="Z445" s="11"/>
    </row>
    <row r="446" spans="1:26" x14ac:dyDescent="0.25">
      <c r="A446" s="11"/>
      <c r="B446" s="11"/>
      <c r="C446" s="11"/>
      <c r="D446" s="11"/>
      <c r="E446" s="12"/>
      <c r="F446" s="13"/>
      <c r="G446" s="13"/>
      <c r="H446" s="13"/>
      <c r="I446" s="11"/>
      <c r="J446" s="11"/>
      <c r="K446" s="11"/>
      <c r="L446" s="11"/>
      <c r="M446" s="15"/>
      <c r="N446" s="15"/>
      <c r="O446" s="15"/>
      <c r="P446" s="15"/>
      <c r="Q446" s="16"/>
      <c r="R446" s="16"/>
      <c r="S446" s="16"/>
      <c r="T446" s="17"/>
      <c r="U446" s="11"/>
      <c r="V446" s="16"/>
      <c r="W446" s="11"/>
      <c r="X446" s="11"/>
      <c r="Y446" s="15"/>
      <c r="Z446" s="11"/>
    </row>
    <row r="447" spans="1:26" x14ac:dyDescent="0.25">
      <c r="A447" s="11"/>
      <c r="B447" s="11"/>
      <c r="C447" s="11"/>
      <c r="D447" s="11"/>
      <c r="E447" s="12"/>
      <c r="F447" s="13"/>
      <c r="G447" s="13"/>
      <c r="H447" s="13"/>
      <c r="I447" s="11"/>
      <c r="J447" s="11"/>
      <c r="K447" s="11"/>
      <c r="L447" s="11"/>
      <c r="M447" s="15"/>
      <c r="N447" s="15"/>
      <c r="O447" s="15"/>
      <c r="P447" s="15"/>
      <c r="Q447" s="16"/>
      <c r="R447" s="16"/>
      <c r="S447" s="16"/>
      <c r="T447" s="17"/>
      <c r="U447" s="11"/>
      <c r="V447" s="16"/>
      <c r="W447" s="11"/>
      <c r="X447" s="11"/>
      <c r="Y447" s="15"/>
      <c r="Z447" s="11"/>
    </row>
    <row r="448" spans="1:26" x14ac:dyDescent="0.25">
      <c r="A448" s="11"/>
      <c r="B448" s="11"/>
      <c r="C448" s="11"/>
      <c r="D448" s="11"/>
      <c r="E448" s="12"/>
      <c r="F448" s="13"/>
      <c r="G448" s="13"/>
      <c r="H448" s="13"/>
      <c r="I448" s="11"/>
      <c r="J448" s="11"/>
      <c r="K448" s="11"/>
      <c r="L448" s="11"/>
      <c r="M448" s="15"/>
      <c r="N448" s="15"/>
      <c r="O448" s="15"/>
      <c r="P448" s="15"/>
      <c r="Q448" s="16"/>
      <c r="R448" s="16"/>
      <c r="S448" s="16"/>
      <c r="T448" s="17"/>
      <c r="U448" s="11"/>
      <c r="V448" s="16"/>
      <c r="W448" s="11"/>
      <c r="X448" s="11"/>
      <c r="Y448" s="15"/>
      <c r="Z448" s="11"/>
    </row>
    <row r="449" spans="1:26" x14ac:dyDescent="0.25">
      <c r="A449" s="11"/>
      <c r="B449" s="11"/>
      <c r="C449" s="11"/>
      <c r="D449" s="11"/>
      <c r="E449" s="12"/>
      <c r="F449" s="13"/>
      <c r="G449" s="13"/>
      <c r="H449" s="13"/>
      <c r="I449" s="11"/>
      <c r="J449" s="11"/>
      <c r="K449" s="11"/>
      <c r="L449" s="11"/>
      <c r="M449" s="15"/>
      <c r="N449" s="15"/>
      <c r="O449" s="15"/>
      <c r="P449" s="15"/>
      <c r="Q449" s="16"/>
      <c r="R449" s="16"/>
      <c r="S449" s="16"/>
      <c r="T449" s="17"/>
      <c r="U449" s="11"/>
      <c r="V449" s="16"/>
      <c r="W449" s="11"/>
      <c r="X449" s="11"/>
      <c r="Y449" s="15"/>
      <c r="Z449" s="11"/>
    </row>
    <row r="450" spans="1:26" x14ac:dyDescent="0.25">
      <c r="A450" s="11"/>
      <c r="B450" s="11"/>
      <c r="C450" s="11"/>
      <c r="D450" s="11"/>
      <c r="E450" s="12"/>
      <c r="F450" s="13"/>
      <c r="G450" s="13"/>
      <c r="H450" s="13"/>
      <c r="I450" s="11"/>
      <c r="J450" s="11"/>
      <c r="K450" s="11"/>
      <c r="L450" s="11"/>
      <c r="M450" s="15"/>
      <c r="N450" s="15"/>
      <c r="O450" s="15"/>
      <c r="P450" s="15"/>
      <c r="Q450" s="16"/>
      <c r="R450" s="16"/>
      <c r="S450" s="16"/>
      <c r="T450" s="17"/>
      <c r="U450" s="11"/>
      <c r="V450" s="16"/>
      <c r="W450" s="11"/>
      <c r="X450" s="11"/>
      <c r="Y450" s="15"/>
      <c r="Z450" s="11"/>
    </row>
    <row r="451" spans="1:26" x14ac:dyDescent="0.25">
      <c r="A451" s="18"/>
      <c r="B451" s="18"/>
      <c r="C451" s="18"/>
      <c r="D451" s="18"/>
      <c r="E451" s="19"/>
      <c r="F451" s="20"/>
      <c r="G451" s="13"/>
      <c r="H451" s="20"/>
      <c r="I451" s="18"/>
      <c r="J451" s="18"/>
      <c r="K451" s="18"/>
      <c r="L451" s="18"/>
      <c r="M451" s="21"/>
      <c r="N451" s="21"/>
      <c r="O451" s="21"/>
      <c r="P451" s="21"/>
      <c r="Q451" s="22"/>
      <c r="R451" s="19"/>
      <c r="S451" s="22"/>
      <c r="T451" s="23"/>
      <c r="U451" s="18"/>
      <c r="V451" s="22"/>
      <c r="W451" s="18"/>
      <c r="X451" s="18"/>
      <c r="Y451" s="21"/>
      <c r="Z451" s="18"/>
    </row>
    <row r="452" spans="1:26" x14ac:dyDescent="0.25">
      <c r="A452" s="11"/>
      <c r="B452" s="11"/>
      <c r="C452" s="11"/>
      <c r="D452" s="11"/>
      <c r="E452" s="12"/>
      <c r="F452" s="13"/>
      <c r="G452" s="13"/>
      <c r="H452" s="13"/>
      <c r="I452" s="11"/>
      <c r="J452" s="11"/>
      <c r="K452" s="11"/>
      <c r="L452" s="11"/>
      <c r="M452" s="15"/>
      <c r="N452" s="15"/>
      <c r="O452" s="15"/>
      <c r="P452" s="15"/>
      <c r="Q452" s="16"/>
      <c r="R452" s="16"/>
      <c r="S452" s="16"/>
      <c r="T452" s="17"/>
      <c r="U452" s="11"/>
      <c r="V452" s="16"/>
      <c r="W452" s="11"/>
      <c r="X452" s="11"/>
      <c r="Y452" s="15"/>
      <c r="Z452" s="11"/>
    </row>
    <row r="453" spans="1:26" x14ac:dyDescent="0.25">
      <c r="A453" s="11"/>
      <c r="B453" s="11"/>
      <c r="C453" s="11"/>
      <c r="D453" s="11"/>
      <c r="E453" s="12"/>
      <c r="F453" s="13"/>
      <c r="G453" s="13"/>
      <c r="H453" s="13"/>
      <c r="I453" s="11"/>
      <c r="J453" s="11"/>
      <c r="K453" s="11"/>
      <c r="L453" s="11"/>
      <c r="M453" s="15"/>
      <c r="N453" s="15"/>
      <c r="O453" s="15"/>
      <c r="P453" s="15"/>
      <c r="Q453" s="16"/>
      <c r="R453" s="16"/>
      <c r="S453" s="16"/>
      <c r="T453" s="17"/>
      <c r="U453" s="11"/>
      <c r="V453" s="16"/>
      <c r="W453" s="11"/>
      <c r="X453" s="11"/>
      <c r="Y453" s="15"/>
      <c r="Z453" s="11"/>
    </row>
    <row r="454" spans="1:26" x14ac:dyDescent="0.25">
      <c r="A454" s="11"/>
      <c r="B454" s="11"/>
      <c r="C454" s="11"/>
      <c r="D454" s="11"/>
      <c r="E454" s="12"/>
      <c r="F454" s="13"/>
      <c r="G454" s="13"/>
      <c r="H454" s="13"/>
      <c r="I454" s="11"/>
      <c r="J454" s="11"/>
      <c r="K454" s="11"/>
      <c r="L454" s="11"/>
      <c r="M454" s="15"/>
      <c r="N454" s="15"/>
      <c r="O454" s="15"/>
      <c r="P454" s="15"/>
      <c r="Q454" s="16"/>
      <c r="R454" s="16"/>
      <c r="S454" s="16"/>
      <c r="T454" s="17"/>
      <c r="U454" s="11"/>
      <c r="V454" s="16"/>
      <c r="W454" s="11"/>
      <c r="X454" s="11"/>
      <c r="Y454" s="15"/>
      <c r="Z454" s="11"/>
    </row>
    <row r="455" spans="1:26" x14ac:dyDescent="0.25">
      <c r="A455" s="11"/>
      <c r="B455" s="11"/>
      <c r="C455" s="11"/>
      <c r="D455" s="11"/>
      <c r="E455" s="12"/>
      <c r="F455" s="13"/>
      <c r="G455" s="13"/>
      <c r="H455" s="13"/>
      <c r="I455" s="11"/>
      <c r="J455" s="11"/>
      <c r="K455" s="11"/>
      <c r="L455" s="11"/>
      <c r="M455" s="15"/>
      <c r="N455" s="15"/>
      <c r="O455" s="15"/>
      <c r="P455" s="15"/>
      <c r="Q455" s="16"/>
      <c r="R455" s="16"/>
      <c r="S455" s="16"/>
      <c r="T455" s="17"/>
      <c r="U455" s="11"/>
      <c r="V455" s="16"/>
      <c r="W455" s="11"/>
      <c r="X455" s="11"/>
      <c r="Y455" s="15"/>
      <c r="Z455" s="11"/>
    </row>
    <row r="456" spans="1:26" x14ac:dyDescent="0.25">
      <c r="A456" s="11"/>
      <c r="B456" s="11"/>
      <c r="C456" s="11"/>
      <c r="D456" s="11"/>
      <c r="E456" s="12"/>
      <c r="F456" s="13"/>
      <c r="G456" s="13"/>
      <c r="H456" s="13"/>
      <c r="I456" s="11"/>
      <c r="J456" s="11"/>
      <c r="K456" s="11"/>
      <c r="L456" s="11"/>
      <c r="M456" s="15"/>
      <c r="N456" s="15"/>
      <c r="O456" s="15"/>
      <c r="P456" s="15"/>
      <c r="Q456" s="16"/>
      <c r="R456" s="16"/>
      <c r="S456" s="16"/>
      <c r="T456" s="17"/>
      <c r="U456" s="11"/>
      <c r="V456" s="16"/>
      <c r="W456" s="11"/>
      <c r="X456" s="11"/>
      <c r="Y456" s="15"/>
      <c r="Z456" s="11"/>
    </row>
    <row r="457" spans="1:26" x14ac:dyDescent="0.25">
      <c r="A457" s="11"/>
      <c r="B457" s="11"/>
      <c r="C457" s="11"/>
      <c r="D457" s="11"/>
      <c r="E457" s="12"/>
      <c r="F457" s="13"/>
      <c r="G457" s="13"/>
      <c r="H457" s="13"/>
      <c r="I457" s="11"/>
      <c r="J457" s="11"/>
      <c r="K457" s="11"/>
      <c r="L457" s="11"/>
      <c r="M457" s="15"/>
      <c r="N457" s="15"/>
      <c r="O457" s="15"/>
      <c r="P457" s="15"/>
      <c r="Q457" s="16"/>
      <c r="R457" s="16"/>
      <c r="S457" s="16"/>
      <c r="T457" s="17"/>
      <c r="U457" s="11"/>
      <c r="V457" s="16"/>
      <c r="W457" s="11"/>
      <c r="X457" s="11"/>
      <c r="Y457" s="15"/>
      <c r="Z457" s="11"/>
    </row>
    <row r="458" spans="1:26" x14ac:dyDescent="0.25">
      <c r="A458" s="11"/>
      <c r="B458" s="11"/>
      <c r="C458" s="11"/>
      <c r="D458" s="11"/>
      <c r="E458" s="12"/>
      <c r="F458" s="13"/>
      <c r="G458" s="13"/>
      <c r="H458" s="13"/>
      <c r="I458" s="11"/>
      <c r="J458" s="11"/>
      <c r="K458" s="11"/>
      <c r="L458" s="11"/>
      <c r="M458" s="15"/>
      <c r="N458" s="15"/>
      <c r="O458" s="15"/>
      <c r="P458" s="15"/>
      <c r="Q458" s="16"/>
      <c r="R458" s="16"/>
      <c r="S458" s="16"/>
      <c r="T458" s="17"/>
      <c r="U458" s="11"/>
      <c r="V458" s="16"/>
      <c r="W458" s="11"/>
      <c r="X458" s="11"/>
      <c r="Y458" s="15"/>
      <c r="Z458" s="11"/>
    </row>
    <row r="459" spans="1:26" x14ac:dyDescent="0.25">
      <c r="A459" s="11"/>
      <c r="B459" s="11"/>
      <c r="C459" s="11"/>
      <c r="D459" s="11"/>
      <c r="E459" s="12"/>
      <c r="F459" s="13"/>
      <c r="G459" s="13"/>
      <c r="H459" s="13"/>
      <c r="I459" s="11"/>
      <c r="J459" s="11"/>
      <c r="K459" s="11"/>
      <c r="L459" s="11"/>
      <c r="M459" s="15"/>
      <c r="N459" s="15"/>
      <c r="O459" s="15"/>
      <c r="P459" s="15"/>
      <c r="Q459" s="16"/>
      <c r="R459" s="16"/>
      <c r="S459" s="16"/>
      <c r="T459" s="17"/>
      <c r="U459" s="11"/>
      <c r="V459" s="16"/>
      <c r="W459" s="11"/>
      <c r="X459" s="11"/>
      <c r="Y459" s="15"/>
      <c r="Z459" s="11"/>
    </row>
    <row r="460" spans="1:26" x14ac:dyDescent="0.25">
      <c r="A460" s="11"/>
      <c r="B460" s="11"/>
      <c r="C460" s="11"/>
      <c r="D460" s="11"/>
      <c r="E460" s="12"/>
      <c r="F460" s="13"/>
      <c r="G460" s="13"/>
      <c r="H460" s="13"/>
      <c r="I460" s="11"/>
      <c r="J460" s="11"/>
      <c r="K460" s="11"/>
      <c r="L460" s="11"/>
      <c r="M460" s="15"/>
      <c r="N460" s="15"/>
      <c r="O460" s="15"/>
      <c r="P460" s="15"/>
      <c r="Q460" s="16"/>
      <c r="R460" s="16"/>
      <c r="S460" s="16"/>
      <c r="T460" s="17"/>
      <c r="U460" s="11"/>
      <c r="V460" s="16"/>
      <c r="W460" s="11"/>
      <c r="X460" s="11"/>
      <c r="Y460" s="15"/>
      <c r="Z460" s="11"/>
    </row>
    <row r="461" spans="1:26" x14ac:dyDescent="0.25">
      <c r="A461" s="18"/>
      <c r="B461" s="18"/>
      <c r="C461" s="18"/>
      <c r="D461" s="18"/>
      <c r="E461" s="19"/>
      <c r="F461" s="20"/>
      <c r="G461" s="13"/>
      <c r="H461" s="20"/>
      <c r="I461" s="18"/>
      <c r="J461" s="18"/>
      <c r="K461" s="18"/>
      <c r="L461" s="18"/>
      <c r="M461" s="21"/>
      <c r="N461" s="21"/>
      <c r="O461" s="21"/>
      <c r="P461" s="21"/>
      <c r="Q461" s="22"/>
      <c r="R461" s="19"/>
      <c r="S461" s="22"/>
      <c r="T461" s="23"/>
      <c r="U461" s="18"/>
      <c r="V461" s="22"/>
      <c r="W461" s="18"/>
      <c r="X461" s="18"/>
      <c r="Y461" s="21"/>
      <c r="Z461" s="18"/>
    </row>
    <row r="462" spans="1:26" x14ac:dyDescent="0.25">
      <c r="A462" s="11"/>
      <c r="B462" s="11"/>
      <c r="C462" s="11"/>
      <c r="D462" s="11"/>
      <c r="E462" s="12"/>
      <c r="F462" s="13"/>
      <c r="G462" s="13"/>
      <c r="H462" s="13"/>
      <c r="I462" s="11"/>
      <c r="J462" s="11"/>
      <c r="K462" s="11"/>
      <c r="L462" s="11"/>
      <c r="M462" s="15"/>
      <c r="N462" s="15"/>
      <c r="O462" s="15"/>
      <c r="P462" s="15"/>
      <c r="Q462" s="16"/>
      <c r="R462" s="16"/>
      <c r="S462" s="16"/>
      <c r="T462" s="17"/>
      <c r="U462" s="11"/>
      <c r="V462" s="16"/>
      <c r="W462" s="11"/>
      <c r="X462" s="11"/>
      <c r="Y462" s="15"/>
      <c r="Z462" s="11"/>
    </row>
    <row r="463" spans="1:26" x14ac:dyDescent="0.25">
      <c r="A463" s="11"/>
      <c r="B463" s="11"/>
      <c r="C463" s="11"/>
      <c r="D463" s="11"/>
      <c r="E463" s="12"/>
      <c r="F463" s="13"/>
      <c r="G463" s="13"/>
      <c r="H463" s="13"/>
      <c r="I463" s="11"/>
      <c r="J463" s="11"/>
      <c r="K463" s="11"/>
      <c r="L463" s="11"/>
      <c r="M463" s="15"/>
      <c r="N463" s="15"/>
      <c r="O463" s="15"/>
      <c r="P463" s="15"/>
      <c r="Q463" s="16"/>
      <c r="R463" s="16"/>
      <c r="S463" s="16"/>
      <c r="T463" s="17"/>
      <c r="U463" s="11"/>
      <c r="V463" s="16"/>
      <c r="W463" s="11"/>
      <c r="X463" s="11"/>
      <c r="Y463" s="15"/>
      <c r="Z463" s="11"/>
    </row>
    <row r="464" spans="1:26" x14ac:dyDescent="0.25">
      <c r="A464" s="11"/>
      <c r="B464" s="11"/>
      <c r="C464" s="11"/>
      <c r="D464" s="11"/>
      <c r="E464" s="12"/>
      <c r="F464" s="13"/>
      <c r="G464" s="13"/>
      <c r="H464" s="13"/>
      <c r="I464" s="11"/>
      <c r="J464" s="11"/>
      <c r="K464" s="11"/>
      <c r="L464" s="11"/>
      <c r="M464" s="15"/>
      <c r="N464" s="15"/>
      <c r="O464" s="15"/>
      <c r="P464" s="15"/>
      <c r="Q464" s="16"/>
      <c r="R464" s="16"/>
      <c r="S464" s="16"/>
      <c r="T464" s="17"/>
      <c r="U464" s="11"/>
      <c r="V464" s="16"/>
      <c r="W464" s="11"/>
      <c r="X464" s="11"/>
      <c r="Y464" s="15"/>
      <c r="Z464" s="11"/>
    </row>
    <row r="465" spans="1:26" x14ac:dyDescent="0.25">
      <c r="A465" s="11"/>
      <c r="B465" s="11"/>
      <c r="C465" s="11"/>
      <c r="D465" s="11"/>
      <c r="E465" s="12"/>
      <c r="F465" s="13"/>
      <c r="G465" s="13"/>
      <c r="H465" s="13"/>
      <c r="I465" s="11"/>
      <c r="J465" s="11"/>
      <c r="K465" s="11"/>
      <c r="L465" s="11"/>
      <c r="M465" s="15"/>
      <c r="N465" s="15"/>
      <c r="O465" s="15"/>
      <c r="P465" s="15"/>
      <c r="Q465" s="16"/>
      <c r="R465" s="16"/>
      <c r="S465" s="16"/>
      <c r="T465" s="17"/>
      <c r="U465" s="11"/>
      <c r="V465" s="16"/>
      <c r="W465" s="11"/>
      <c r="X465" s="11"/>
      <c r="Y465" s="15"/>
      <c r="Z465" s="11"/>
    </row>
    <row r="466" spans="1:26" x14ac:dyDescent="0.25">
      <c r="A466" s="11"/>
      <c r="B466" s="11"/>
      <c r="C466" s="11"/>
      <c r="D466" s="11"/>
      <c r="E466" s="12"/>
      <c r="F466" s="13"/>
      <c r="G466" s="13"/>
      <c r="H466" s="13"/>
      <c r="I466" s="11"/>
      <c r="J466" s="11"/>
      <c r="K466" s="11"/>
      <c r="L466" s="11"/>
      <c r="M466" s="15"/>
      <c r="N466" s="15"/>
      <c r="O466" s="15"/>
      <c r="P466" s="15"/>
      <c r="Q466" s="16"/>
      <c r="R466" s="16"/>
      <c r="S466" s="16"/>
      <c r="T466" s="17"/>
      <c r="U466" s="11"/>
      <c r="V466" s="16"/>
      <c r="W466" s="11"/>
      <c r="X466" s="11"/>
      <c r="Y466" s="15"/>
      <c r="Z466" s="11"/>
    </row>
    <row r="467" spans="1:26" x14ac:dyDescent="0.25">
      <c r="A467" s="11"/>
      <c r="B467" s="11"/>
      <c r="C467" s="11"/>
      <c r="D467" s="11"/>
      <c r="E467" s="12"/>
      <c r="F467" s="13"/>
      <c r="G467" s="13"/>
      <c r="H467" s="13"/>
      <c r="I467" s="11"/>
      <c r="J467" s="11"/>
      <c r="K467" s="11"/>
      <c r="L467" s="11"/>
      <c r="M467" s="15"/>
      <c r="N467" s="15"/>
      <c r="O467" s="15"/>
      <c r="P467" s="15"/>
      <c r="Q467" s="16"/>
      <c r="R467" s="16"/>
      <c r="S467" s="16"/>
      <c r="T467" s="17"/>
      <c r="U467" s="11"/>
      <c r="V467" s="16"/>
      <c r="W467" s="11"/>
      <c r="X467" s="11"/>
      <c r="Y467" s="15"/>
      <c r="Z467" s="11"/>
    </row>
    <row r="468" spans="1:26" x14ac:dyDescent="0.25">
      <c r="A468" s="11"/>
      <c r="B468" s="11"/>
      <c r="C468" s="11"/>
      <c r="D468" s="11"/>
      <c r="E468" s="12"/>
      <c r="F468" s="13"/>
      <c r="G468" s="13"/>
      <c r="H468" s="13"/>
      <c r="I468" s="11"/>
      <c r="J468" s="11"/>
      <c r="K468" s="11"/>
      <c r="L468" s="11"/>
      <c r="M468" s="15"/>
      <c r="N468" s="15"/>
      <c r="O468" s="15"/>
      <c r="P468" s="15"/>
      <c r="Q468" s="16"/>
      <c r="R468" s="16"/>
      <c r="S468" s="16"/>
      <c r="T468" s="17"/>
      <c r="U468" s="11"/>
      <c r="V468" s="16"/>
      <c r="W468" s="11"/>
      <c r="X468" s="11"/>
      <c r="Y468" s="15"/>
      <c r="Z468" s="11"/>
    </row>
    <row r="469" spans="1:26" x14ac:dyDescent="0.25">
      <c r="A469" s="11"/>
      <c r="B469" s="11"/>
      <c r="C469" s="11"/>
      <c r="D469" s="11"/>
      <c r="E469" s="12"/>
      <c r="F469" s="13"/>
      <c r="G469" s="13"/>
      <c r="H469" s="13"/>
      <c r="I469" s="11"/>
      <c r="J469" s="11"/>
      <c r="K469" s="11"/>
      <c r="L469" s="11"/>
      <c r="M469" s="15"/>
      <c r="N469" s="15"/>
      <c r="O469" s="15"/>
      <c r="P469" s="15"/>
      <c r="Q469" s="16"/>
      <c r="R469" s="16"/>
      <c r="S469" s="16"/>
      <c r="T469" s="17"/>
      <c r="U469" s="11"/>
      <c r="V469" s="16"/>
      <c r="W469" s="11"/>
      <c r="X469" s="11"/>
      <c r="Y469" s="15"/>
      <c r="Z469" s="11"/>
    </row>
    <row r="470" spans="1:26" x14ac:dyDescent="0.25">
      <c r="A470" s="11"/>
      <c r="B470" s="11"/>
      <c r="C470" s="11"/>
      <c r="D470" s="11"/>
      <c r="E470" s="12"/>
      <c r="F470" s="13"/>
      <c r="G470" s="13"/>
      <c r="H470" s="13"/>
      <c r="I470" s="11"/>
      <c r="J470" s="11"/>
      <c r="K470" s="11"/>
      <c r="L470" s="11"/>
      <c r="M470" s="15"/>
      <c r="N470" s="15"/>
      <c r="O470" s="15"/>
      <c r="P470" s="15"/>
      <c r="Q470" s="16"/>
      <c r="R470" s="16"/>
      <c r="S470" s="16"/>
      <c r="T470" s="17"/>
      <c r="U470" s="11"/>
      <c r="V470" s="16"/>
      <c r="W470" s="11"/>
      <c r="X470" s="11"/>
      <c r="Y470" s="15"/>
      <c r="Z470" s="11"/>
    </row>
    <row r="471" spans="1:26" x14ac:dyDescent="0.25">
      <c r="A471" s="11"/>
      <c r="B471" s="11"/>
      <c r="C471" s="11"/>
      <c r="D471" s="11"/>
      <c r="E471" s="12"/>
      <c r="F471" s="13"/>
      <c r="G471" s="13"/>
      <c r="H471" s="13"/>
      <c r="I471" s="11"/>
      <c r="J471" s="11"/>
      <c r="K471" s="11"/>
      <c r="L471" s="11"/>
      <c r="M471" s="15"/>
      <c r="N471" s="15"/>
      <c r="O471" s="15"/>
      <c r="P471" s="15"/>
      <c r="Q471" s="16"/>
      <c r="R471" s="16"/>
      <c r="S471" s="16"/>
      <c r="T471" s="17"/>
      <c r="U471" s="11"/>
      <c r="V471" s="16"/>
      <c r="W471" s="11"/>
      <c r="X471" s="11"/>
      <c r="Y471" s="15"/>
      <c r="Z471" s="11"/>
    </row>
    <row r="472" spans="1:26" x14ac:dyDescent="0.25">
      <c r="A472" s="11"/>
      <c r="B472" s="11"/>
      <c r="C472" s="11"/>
      <c r="D472" s="11"/>
      <c r="E472" s="12"/>
      <c r="F472" s="13"/>
      <c r="G472" s="13"/>
      <c r="H472" s="13"/>
      <c r="I472" s="11"/>
      <c r="J472" s="11"/>
      <c r="K472" s="11"/>
      <c r="L472" s="11"/>
      <c r="M472" s="15"/>
      <c r="N472" s="15"/>
      <c r="O472" s="15"/>
      <c r="P472" s="15"/>
      <c r="Q472" s="16"/>
      <c r="R472" s="16"/>
      <c r="S472" s="16"/>
      <c r="T472" s="17"/>
      <c r="U472" s="11"/>
      <c r="V472" s="16"/>
      <c r="W472" s="11"/>
      <c r="X472" s="11"/>
      <c r="Y472" s="15"/>
      <c r="Z472" s="11"/>
    </row>
    <row r="473" spans="1:26" x14ac:dyDescent="0.25">
      <c r="A473" s="11"/>
      <c r="B473" s="11"/>
      <c r="C473" s="11"/>
      <c r="D473" s="11"/>
      <c r="E473" s="12"/>
      <c r="F473" s="13"/>
      <c r="G473" s="13"/>
      <c r="H473" s="13"/>
      <c r="I473" s="11"/>
      <c r="J473" s="11"/>
      <c r="K473" s="11"/>
      <c r="L473" s="11"/>
      <c r="M473" s="15"/>
      <c r="N473" s="15"/>
      <c r="O473" s="15"/>
      <c r="P473" s="15"/>
      <c r="Q473" s="16"/>
      <c r="R473" s="16"/>
      <c r="S473" s="16"/>
      <c r="T473" s="17"/>
      <c r="U473" s="11"/>
      <c r="V473" s="16"/>
      <c r="W473" s="11"/>
      <c r="X473" s="11"/>
      <c r="Y473" s="15"/>
      <c r="Z473" s="11"/>
    </row>
    <row r="474" spans="1:26" x14ac:dyDescent="0.25">
      <c r="A474" s="11"/>
      <c r="B474" s="11"/>
      <c r="C474" s="11"/>
      <c r="D474" s="11"/>
      <c r="E474" s="12"/>
      <c r="F474" s="13"/>
      <c r="G474" s="13"/>
      <c r="H474" s="13"/>
      <c r="I474" s="11"/>
      <c r="J474" s="11"/>
      <c r="K474" s="11"/>
      <c r="L474" s="11"/>
      <c r="M474" s="15"/>
      <c r="N474" s="15"/>
      <c r="O474" s="15"/>
      <c r="P474" s="15"/>
      <c r="Q474" s="16"/>
      <c r="R474" s="16"/>
      <c r="S474" s="16"/>
      <c r="T474" s="17"/>
      <c r="U474" s="11"/>
      <c r="V474" s="16"/>
      <c r="W474" s="11"/>
      <c r="X474" s="11"/>
      <c r="Y474" s="15"/>
      <c r="Z474" s="11"/>
    </row>
    <row r="475" spans="1:26" x14ac:dyDescent="0.25">
      <c r="A475" s="11"/>
      <c r="B475" s="11"/>
      <c r="C475" s="11"/>
      <c r="D475" s="11"/>
      <c r="E475" s="12"/>
      <c r="F475" s="13"/>
      <c r="G475" s="13"/>
      <c r="H475" s="13"/>
      <c r="I475" s="11"/>
      <c r="J475" s="11"/>
      <c r="K475" s="11"/>
      <c r="L475" s="11"/>
      <c r="M475" s="15"/>
      <c r="N475" s="15"/>
      <c r="O475" s="15"/>
      <c r="P475" s="15"/>
      <c r="Q475" s="16"/>
      <c r="R475" s="16"/>
      <c r="S475" s="16"/>
      <c r="T475" s="17"/>
      <c r="U475" s="11"/>
      <c r="V475" s="16"/>
      <c r="W475" s="11"/>
      <c r="X475" s="11"/>
      <c r="Y475" s="15"/>
      <c r="Z475" s="11"/>
    </row>
    <row r="476" spans="1:26" x14ac:dyDescent="0.25">
      <c r="A476" s="11"/>
      <c r="B476" s="11"/>
      <c r="C476" s="11"/>
      <c r="D476" s="11"/>
      <c r="E476" s="12"/>
      <c r="F476" s="13"/>
      <c r="G476" s="13"/>
      <c r="H476" s="13"/>
      <c r="I476" s="11"/>
      <c r="J476" s="11"/>
      <c r="K476" s="11"/>
      <c r="L476" s="11"/>
      <c r="M476" s="15"/>
      <c r="N476" s="15"/>
      <c r="O476" s="15"/>
      <c r="P476" s="15"/>
      <c r="Q476" s="16"/>
      <c r="R476" s="16"/>
      <c r="S476" s="16"/>
      <c r="T476" s="17"/>
      <c r="U476" s="11"/>
      <c r="V476" s="16"/>
      <c r="W476" s="11"/>
      <c r="X476" s="11"/>
      <c r="Y476" s="15"/>
      <c r="Z476" s="11"/>
    </row>
    <row r="477" spans="1:26" x14ac:dyDescent="0.25">
      <c r="A477" s="11"/>
      <c r="B477" s="11"/>
      <c r="C477" s="11"/>
      <c r="D477" s="11"/>
      <c r="E477" s="12"/>
      <c r="F477" s="13"/>
      <c r="G477" s="13"/>
      <c r="H477" s="13"/>
      <c r="I477" s="11"/>
      <c r="J477" s="11"/>
      <c r="K477" s="11"/>
      <c r="L477" s="11"/>
      <c r="M477" s="15"/>
      <c r="N477" s="15"/>
      <c r="O477" s="15"/>
      <c r="P477" s="15"/>
      <c r="Q477" s="16"/>
      <c r="R477" s="16"/>
      <c r="S477" s="16"/>
      <c r="T477" s="17"/>
      <c r="U477" s="11"/>
      <c r="V477" s="16"/>
      <c r="W477" s="11"/>
      <c r="X477" s="11"/>
      <c r="Y477" s="15"/>
      <c r="Z477" s="11"/>
    </row>
    <row r="478" spans="1:26" x14ac:dyDescent="0.25">
      <c r="A478" s="11"/>
      <c r="B478" s="11"/>
      <c r="C478" s="11"/>
      <c r="D478" s="11"/>
      <c r="E478" s="12"/>
      <c r="F478" s="13"/>
      <c r="G478" s="13"/>
      <c r="H478" s="13"/>
      <c r="I478" s="11"/>
      <c r="J478" s="11"/>
      <c r="K478" s="11"/>
      <c r="L478" s="11"/>
      <c r="M478" s="15"/>
      <c r="N478" s="15"/>
      <c r="O478" s="15"/>
      <c r="P478" s="15"/>
      <c r="Q478" s="16"/>
      <c r="R478" s="16"/>
      <c r="S478" s="16"/>
      <c r="T478" s="17"/>
      <c r="U478" s="11"/>
      <c r="V478" s="16"/>
      <c r="W478" s="11"/>
      <c r="X478" s="11"/>
      <c r="Y478" s="15"/>
      <c r="Z478" s="11"/>
    </row>
    <row r="479" spans="1:26" x14ac:dyDescent="0.25">
      <c r="A479" s="11"/>
      <c r="B479" s="11"/>
      <c r="C479" s="11"/>
      <c r="D479" s="11"/>
      <c r="E479" s="12"/>
      <c r="F479" s="13"/>
      <c r="G479" s="13"/>
      <c r="H479" s="13"/>
      <c r="I479" s="11"/>
      <c r="J479" s="11"/>
      <c r="K479" s="11"/>
      <c r="L479" s="11"/>
      <c r="M479" s="15"/>
      <c r="N479" s="15"/>
      <c r="O479" s="15"/>
      <c r="P479" s="15"/>
      <c r="Q479" s="16"/>
      <c r="R479" s="16"/>
      <c r="S479" s="16"/>
      <c r="T479" s="17"/>
      <c r="U479" s="11"/>
      <c r="V479" s="16"/>
      <c r="W479" s="11"/>
      <c r="X479" s="11"/>
      <c r="Y479" s="15"/>
      <c r="Z479" s="11"/>
    </row>
    <row r="480" spans="1:26" x14ac:dyDescent="0.25">
      <c r="A480" s="11"/>
      <c r="B480" s="11"/>
      <c r="C480" s="11"/>
      <c r="D480" s="11"/>
      <c r="E480" s="12"/>
      <c r="F480" s="13"/>
      <c r="G480" s="13"/>
      <c r="H480" s="13"/>
      <c r="I480" s="11"/>
      <c r="J480" s="11"/>
      <c r="K480" s="11"/>
      <c r="L480" s="11"/>
      <c r="M480" s="15"/>
      <c r="N480" s="15"/>
      <c r="O480" s="15"/>
      <c r="P480" s="15"/>
      <c r="Q480" s="16"/>
      <c r="R480" s="16"/>
      <c r="S480" s="16"/>
      <c r="T480" s="17"/>
      <c r="U480" s="11"/>
      <c r="V480" s="16"/>
      <c r="W480" s="11"/>
      <c r="X480" s="11"/>
      <c r="Y480" s="15"/>
      <c r="Z480" s="11"/>
    </row>
    <row r="481" spans="1:26" x14ac:dyDescent="0.25">
      <c r="A481" s="11"/>
      <c r="B481" s="11"/>
      <c r="C481" s="11"/>
      <c r="D481" s="11"/>
      <c r="E481" s="12"/>
      <c r="F481" s="13"/>
      <c r="G481" s="13"/>
      <c r="H481" s="13"/>
      <c r="I481" s="11"/>
      <c r="J481" s="11"/>
      <c r="K481" s="11"/>
      <c r="L481" s="11"/>
      <c r="M481" s="15"/>
      <c r="N481" s="15"/>
      <c r="O481" s="15"/>
      <c r="P481" s="15"/>
      <c r="Q481" s="16"/>
      <c r="R481" s="16"/>
      <c r="S481" s="16"/>
      <c r="T481" s="17"/>
      <c r="U481" s="11"/>
      <c r="V481" s="16"/>
      <c r="W481" s="11"/>
      <c r="X481" s="11"/>
      <c r="Y481" s="15"/>
      <c r="Z481" s="11"/>
    </row>
    <row r="482" spans="1:26" x14ac:dyDescent="0.25">
      <c r="A482" s="11"/>
      <c r="B482" s="11"/>
      <c r="C482" s="11"/>
      <c r="D482" s="11"/>
      <c r="E482" s="12"/>
      <c r="F482" s="13"/>
      <c r="G482" s="13"/>
      <c r="H482" s="13"/>
      <c r="I482" s="11"/>
      <c r="J482" s="11"/>
      <c r="K482" s="11"/>
      <c r="L482" s="11"/>
      <c r="M482" s="15"/>
      <c r="N482" s="15"/>
      <c r="O482" s="15"/>
      <c r="P482" s="15"/>
      <c r="Q482" s="16"/>
      <c r="R482" s="16"/>
      <c r="S482" s="16"/>
      <c r="T482" s="17"/>
      <c r="U482" s="11"/>
      <c r="V482" s="16"/>
      <c r="W482" s="11"/>
      <c r="X482" s="11"/>
      <c r="Y482" s="15"/>
      <c r="Z482" s="11"/>
    </row>
    <row r="483" spans="1:26" x14ac:dyDescent="0.25">
      <c r="A483" s="11"/>
      <c r="B483" s="11"/>
      <c r="C483" s="11"/>
      <c r="D483" s="11"/>
      <c r="E483" s="12"/>
      <c r="F483" s="13"/>
      <c r="G483" s="13"/>
      <c r="H483" s="13"/>
      <c r="I483" s="11"/>
      <c r="J483" s="11"/>
      <c r="K483" s="11"/>
      <c r="L483" s="11"/>
      <c r="M483" s="15"/>
      <c r="N483" s="15"/>
      <c r="O483" s="15"/>
      <c r="P483" s="15"/>
      <c r="Q483" s="16"/>
      <c r="R483" s="16"/>
      <c r="S483" s="16"/>
      <c r="T483" s="17"/>
      <c r="U483" s="11"/>
      <c r="V483" s="16"/>
      <c r="W483" s="11"/>
      <c r="X483" s="11"/>
      <c r="Y483" s="15"/>
      <c r="Z483" s="11"/>
    </row>
    <row r="484" spans="1:26" x14ac:dyDescent="0.25">
      <c r="A484" s="11"/>
      <c r="B484" s="11"/>
      <c r="C484" s="11"/>
      <c r="D484" s="11"/>
      <c r="E484" s="12"/>
      <c r="F484" s="13"/>
      <c r="G484" s="13"/>
      <c r="H484" s="13"/>
      <c r="I484" s="11"/>
      <c r="J484" s="11"/>
      <c r="K484" s="11"/>
      <c r="L484" s="11"/>
      <c r="M484" s="15"/>
      <c r="N484" s="15"/>
      <c r="O484" s="15"/>
      <c r="P484" s="15"/>
      <c r="Q484" s="16"/>
      <c r="R484" s="16"/>
      <c r="S484" s="16"/>
      <c r="T484" s="17"/>
      <c r="U484" s="11"/>
      <c r="V484" s="16"/>
      <c r="W484" s="11"/>
      <c r="X484" s="11"/>
      <c r="Y484" s="15"/>
      <c r="Z484" s="11"/>
    </row>
    <row r="485" spans="1:26" x14ac:dyDescent="0.25">
      <c r="A485" s="11"/>
      <c r="B485" s="11"/>
      <c r="C485" s="11"/>
      <c r="D485" s="11"/>
      <c r="E485" s="12"/>
      <c r="F485" s="13"/>
      <c r="G485" s="13"/>
      <c r="H485" s="13"/>
      <c r="I485" s="11"/>
      <c r="J485" s="11"/>
      <c r="K485" s="11"/>
      <c r="L485" s="11"/>
      <c r="M485" s="15"/>
      <c r="N485" s="15"/>
      <c r="O485" s="15"/>
      <c r="P485" s="15"/>
      <c r="Q485" s="16"/>
      <c r="R485" s="16"/>
      <c r="S485" s="16"/>
      <c r="T485" s="17"/>
      <c r="U485" s="11"/>
      <c r="V485" s="16"/>
      <c r="W485" s="11"/>
      <c r="X485" s="11"/>
      <c r="Y485" s="15"/>
      <c r="Z485" s="11"/>
    </row>
    <row r="486" spans="1:26" x14ac:dyDescent="0.25">
      <c r="A486" s="11"/>
      <c r="B486" s="11"/>
      <c r="C486" s="11"/>
      <c r="D486" s="11"/>
      <c r="E486" s="12"/>
      <c r="F486" s="13"/>
      <c r="G486" s="13"/>
      <c r="H486" s="13"/>
      <c r="I486" s="11"/>
      <c r="J486" s="11"/>
      <c r="K486" s="11"/>
      <c r="L486" s="11"/>
      <c r="M486" s="15"/>
      <c r="N486" s="15"/>
      <c r="O486" s="15"/>
      <c r="P486" s="15"/>
      <c r="Q486" s="16"/>
      <c r="R486" s="16"/>
      <c r="S486" s="16"/>
      <c r="T486" s="17"/>
      <c r="U486" s="11"/>
      <c r="V486" s="16"/>
      <c r="W486" s="11"/>
      <c r="X486" s="11"/>
      <c r="Y486" s="15"/>
      <c r="Z486" s="11"/>
    </row>
    <row r="487" spans="1:26" x14ac:dyDescent="0.25">
      <c r="A487" s="11"/>
      <c r="B487" s="11"/>
      <c r="C487" s="11"/>
      <c r="D487" s="11"/>
      <c r="E487" s="12"/>
      <c r="F487" s="13"/>
      <c r="G487" s="13"/>
      <c r="H487" s="13"/>
      <c r="I487" s="11"/>
      <c r="J487" s="11"/>
      <c r="K487" s="11"/>
      <c r="L487" s="11"/>
      <c r="M487" s="15"/>
      <c r="N487" s="15"/>
      <c r="O487" s="15"/>
      <c r="P487" s="15"/>
      <c r="Q487" s="16"/>
      <c r="R487" s="16"/>
      <c r="S487" s="16"/>
      <c r="T487" s="17"/>
      <c r="U487" s="11"/>
      <c r="V487" s="16"/>
      <c r="W487" s="11"/>
      <c r="X487" s="11"/>
      <c r="Y487" s="15"/>
      <c r="Z487" s="11"/>
    </row>
    <row r="488" spans="1:26" x14ac:dyDescent="0.25">
      <c r="A488" s="11"/>
      <c r="B488" s="11"/>
      <c r="C488" s="11"/>
      <c r="D488" s="11"/>
      <c r="E488" s="12"/>
      <c r="F488" s="13"/>
      <c r="G488" s="13"/>
      <c r="H488" s="13"/>
      <c r="I488" s="11"/>
      <c r="J488" s="11"/>
      <c r="K488" s="11"/>
      <c r="L488" s="11"/>
      <c r="M488" s="15"/>
      <c r="N488" s="15"/>
      <c r="O488" s="15"/>
      <c r="P488" s="15"/>
      <c r="Q488" s="16"/>
      <c r="R488" s="16"/>
      <c r="S488" s="16"/>
      <c r="T488" s="17"/>
      <c r="U488" s="11"/>
      <c r="V488" s="16"/>
      <c r="W488" s="11"/>
      <c r="X488" s="11"/>
      <c r="Y488" s="15"/>
      <c r="Z488" s="11"/>
    </row>
    <row r="489" spans="1:26" x14ac:dyDescent="0.25">
      <c r="A489" s="18"/>
      <c r="B489" s="18"/>
      <c r="C489" s="18"/>
      <c r="D489" s="18"/>
      <c r="E489" s="19"/>
      <c r="F489" s="20"/>
      <c r="G489" s="13"/>
      <c r="H489" s="20"/>
      <c r="I489" s="18"/>
      <c r="J489" s="18"/>
      <c r="K489" s="18"/>
      <c r="L489" s="18"/>
      <c r="M489" s="21"/>
      <c r="N489" s="21"/>
      <c r="O489" s="21"/>
      <c r="P489" s="21"/>
      <c r="Q489" s="22"/>
      <c r="R489" s="19"/>
      <c r="S489" s="22"/>
      <c r="T489" s="23"/>
      <c r="U489" s="18"/>
      <c r="V489" s="22"/>
      <c r="W489" s="18"/>
      <c r="X489" s="18"/>
      <c r="Y489" s="21"/>
      <c r="Z489" s="18"/>
    </row>
    <row r="490" spans="1:26" x14ac:dyDescent="0.25">
      <c r="A490" s="11"/>
      <c r="B490" s="11"/>
      <c r="C490" s="11"/>
      <c r="D490" s="11"/>
      <c r="E490" s="12"/>
      <c r="F490" s="13"/>
      <c r="G490" s="13"/>
      <c r="H490" s="13"/>
      <c r="I490" s="11"/>
      <c r="J490" s="11"/>
      <c r="K490" s="11"/>
      <c r="L490" s="11"/>
      <c r="M490" s="15"/>
      <c r="N490" s="15"/>
      <c r="O490" s="15"/>
      <c r="P490" s="15"/>
      <c r="Q490" s="16"/>
      <c r="R490" s="16"/>
      <c r="S490" s="16"/>
      <c r="T490" s="17"/>
      <c r="U490" s="11"/>
      <c r="V490" s="16"/>
      <c r="W490" s="11"/>
      <c r="X490" s="11"/>
      <c r="Y490" s="15"/>
      <c r="Z490" s="11"/>
    </row>
    <row r="491" spans="1:26" x14ac:dyDescent="0.25">
      <c r="A491" s="11"/>
      <c r="B491" s="11"/>
      <c r="C491" s="11"/>
      <c r="D491" s="11"/>
      <c r="E491" s="12"/>
      <c r="F491" s="13"/>
      <c r="G491" s="13"/>
      <c r="H491" s="13"/>
      <c r="I491" s="11"/>
      <c r="J491" s="11"/>
      <c r="K491" s="11"/>
      <c r="L491" s="11"/>
      <c r="M491" s="15"/>
      <c r="N491" s="15"/>
      <c r="O491" s="15"/>
      <c r="P491" s="15"/>
      <c r="Q491" s="16"/>
      <c r="R491" s="16"/>
      <c r="S491" s="16"/>
      <c r="T491" s="17"/>
      <c r="U491" s="11"/>
      <c r="V491" s="16"/>
      <c r="W491" s="11"/>
      <c r="X491" s="11"/>
      <c r="Y491" s="15"/>
      <c r="Z491" s="11"/>
    </row>
    <row r="492" spans="1:26" x14ac:dyDescent="0.25">
      <c r="A492" s="11"/>
      <c r="B492" s="11"/>
      <c r="C492" s="11"/>
      <c r="D492" s="11"/>
      <c r="E492" s="12"/>
      <c r="F492" s="13"/>
      <c r="G492" s="13"/>
      <c r="H492" s="13"/>
      <c r="I492" s="11"/>
      <c r="J492" s="11"/>
      <c r="K492" s="11"/>
      <c r="L492" s="11"/>
      <c r="M492" s="15"/>
      <c r="N492" s="15"/>
      <c r="O492" s="15"/>
      <c r="P492" s="15"/>
      <c r="Q492" s="16"/>
      <c r="R492" s="16"/>
      <c r="S492" s="16"/>
      <c r="T492" s="17"/>
      <c r="U492" s="11"/>
      <c r="V492" s="16"/>
      <c r="W492" s="11"/>
      <c r="X492" s="11"/>
      <c r="Y492" s="15"/>
      <c r="Z492" s="11"/>
    </row>
    <row r="493" spans="1:26" x14ac:dyDescent="0.25">
      <c r="A493" s="11"/>
      <c r="B493" s="11"/>
      <c r="C493" s="11"/>
      <c r="D493" s="11"/>
      <c r="E493" s="12"/>
      <c r="F493" s="13"/>
      <c r="G493" s="13"/>
      <c r="H493" s="13"/>
      <c r="I493" s="11"/>
      <c r="J493" s="11"/>
      <c r="K493" s="11"/>
      <c r="L493" s="11"/>
      <c r="M493" s="15"/>
      <c r="N493" s="15"/>
      <c r="O493" s="15"/>
      <c r="P493" s="15"/>
      <c r="Q493" s="16"/>
      <c r="R493" s="16"/>
      <c r="S493" s="16"/>
      <c r="T493" s="17"/>
      <c r="U493" s="11"/>
      <c r="V493" s="16"/>
      <c r="W493" s="11"/>
      <c r="X493" s="11"/>
      <c r="Y493" s="15"/>
      <c r="Z493" s="11"/>
    </row>
    <row r="494" spans="1:26" x14ac:dyDescent="0.25">
      <c r="A494" s="11"/>
      <c r="B494" s="11"/>
      <c r="C494" s="11"/>
      <c r="D494" s="11"/>
      <c r="E494" s="12"/>
      <c r="F494" s="13"/>
      <c r="G494" s="13"/>
      <c r="H494" s="13"/>
      <c r="I494" s="11"/>
      <c r="J494" s="11"/>
      <c r="K494" s="11"/>
      <c r="L494" s="11"/>
      <c r="M494" s="15"/>
      <c r="N494" s="15"/>
      <c r="O494" s="15"/>
      <c r="P494" s="15"/>
      <c r="Q494" s="16"/>
      <c r="R494" s="16"/>
      <c r="S494" s="16"/>
      <c r="T494" s="17"/>
      <c r="U494" s="11"/>
      <c r="V494" s="16"/>
      <c r="W494" s="11"/>
      <c r="X494" s="11"/>
      <c r="Y494" s="15"/>
      <c r="Z494" s="11"/>
    </row>
    <row r="495" spans="1:26" x14ac:dyDescent="0.25">
      <c r="A495" s="11"/>
      <c r="B495" s="11"/>
      <c r="C495" s="11"/>
      <c r="D495" s="11"/>
      <c r="E495" s="12"/>
      <c r="F495" s="13"/>
      <c r="G495" s="13"/>
      <c r="H495" s="13"/>
      <c r="I495" s="11"/>
      <c r="J495" s="11"/>
      <c r="K495" s="11"/>
      <c r="L495" s="11"/>
      <c r="M495" s="15"/>
      <c r="N495" s="15"/>
      <c r="O495" s="15"/>
      <c r="P495" s="15"/>
      <c r="Q495" s="16"/>
      <c r="R495" s="16"/>
      <c r="S495" s="16"/>
      <c r="T495" s="17"/>
      <c r="U495" s="11"/>
      <c r="V495" s="16"/>
      <c r="W495" s="11"/>
      <c r="X495" s="11"/>
      <c r="Y495" s="15"/>
      <c r="Z495" s="11"/>
    </row>
    <row r="496" spans="1:26" x14ac:dyDescent="0.25">
      <c r="A496" s="11"/>
      <c r="B496" s="11"/>
      <c r="C496" s="11"/>
      <c r="D496" s="11"/>
      <c r="E496" s="12"/>
      <c r="F496" s="13"/>
      <c r="G496" s="13"/>
      <c r="H496" s="13"/>
      <c r="I496" s="11"/>
      <c r="J496" s="11"/>
      <c r="K496" s="11"/>
      <c r="L496" s="11"/>
      <c r="M496" s="15"/>
      <c r="N496" s="15"/>
      <c r="O496" s="15"/>
      <c r="P496" s="15"/>
      <c r="Q496" s="16"/>
      <c r="R496" s="16"/>
      <c r="S496" s="16"/>
      <c r="T496" s="17"/>
      <c r="U496" s="11"/>
      <c r="V496" s="16"/>
      <c r="W496" s="11"/>
      <c r="X496" s="11"/>
      <c r="Y496" s="15"/>
      <c r="Z496" s="11"/>
    </row>
    <row r="497" spans="1:26" x14ac:dyDescent="0.25">
      <c r="A497" s="11"/>
      <c r="B497" s="11"/>
      <c r="C497" s="11"/>
      <c r="D497" s="11"/>
      <c r="E497" s="12"/>
      <c r="F497" s="13"/>
      <c r="G497" s="13"/>
      <c r="H497" s="13"/>
      <c r="I497" s="11"/>
      <c r="J497" s="11"/>
      <c r="K497" s="11"/>
      <c r="L497" s="11"/>
      <c r="M497" s="15"/>
      <c r="N497" s="15"/>
      <c r="O497" s="15"/>
      <c r="P497" s="15"/>
      <c r="Q497" s="16"/>
      <c r="R497" s="16"/>
      <c r="S497" s="16"/>
      <c r="T497" s="17"/>
      <c r="U497" s="11"/>
      <c r="V497" s="16"/>
      <c r="W497" s="11"/>
      <c r="X497" s="11"/>
      <c r="Y497" s="15"/>
      <c r="Z497" s="11"/>
    </row>
    <row r="498" spans="1:26" x14ac:dyDescent="0.25">
      <c r="A498" s="11"/>
      <c r="B498" s="11"/>
      <c r="C498" s="11"/>
      <c r="D498" s="11"/>
      <c r="E498" s="12"/>
      <c r="F498" s="13"/>
      <c r="G498" s="13"/>
      <c r="H498" s="13"/>
      <c r="I498" s="11"/>
      <c r="J498" s="11"/>
      <c r="K498" s="11"/>
      <c r="L498" s="11"/>
      <c r="M498" s="15"/>
      <c r="N498" s="15"/>
      <c r="O498" s="15"/>
      <c r="P498" s="15"/>
      <c r="Q498" s="16"/>
      <c r="R498" s="16"/>
      <c r="S498" s="16"/>
      <c r="T498" s="17"/>
      <c r="U498" s="11"/>
      <c r="V498" s="16"/>
      <c r="W498" s="11"/>
      <c r="X498" s="11"/>
      <c r="Y498" s="15"/>
      <c r="Z498" s="11"/>
    </row>
    <row r="499" spans="1:26" x14ac:dyDescent="0.25">
      <c r="A499" s="11"/>
      <c r="B499" s="11"/>
      <c r="C499" s="11"/>
      <c r="D499" s="11"/>
      <c r="E499" s="12"/>
      <c r="F499" s="13"/>
      <c r="G499" s="13"/>
      <c r="H499" s="13"/>
      <c r="I499" s="11"/>
      <c r="J499" s="11"/>
      <c r="K499" s="11"/>
      <c r="L499" s="11"/>
      <c r="M499" s="15"/>
      <c r="N499" s="15"/>
      <c r="O499" s="15"/>
      <c r="P499" s="15"/>
      <c r="Q499" s="16"/>
      <c r="R499" s="16"/>
      <c r="S499" s="16"/>
      <c r="T499" s="17"/>
      <c r="U499" s="11"/>
      <c r="V499" s="16"/>
      <c r="W499" s="11"/>
      <c r="X499" s="11"/>
      <c r="Y499" s="15"/>
      <c r="Z499" s="11"/>
    </row>
    <row r="500" spans="1:26" x14ac:dyDescent="0.25">
      <c r="A500" s="11"/>
      <c r="B500" s="11"/>
      <c r="C500" s="11"/>
      <c r="D500" s="11"/>
      <c r="E500" s="12"/>
      <c r="F500" s="13"/>
      <c r="G500" s="13"/>
      <c r="H500" s="13"/>
      <c r="I500" s="11"/>
      <c r="J500" s="11"/>
      <c r="K500" s="11"/>
      <c r="L500" s="11"/>
      <c r="M500" s="15"/>
      <c r="N500" s="15"/>
      <c r="O500" s="15"/>
      <c r="P500" s="15"/>
      <c r="Q500" s="16"/>
      <c r="R500" s="16"/>
      <c r="S500" s="16"/>
      <c r="T500" s="17"/>
      <c r="U500" s="11"/>
      <c r="V500" s="16"/>
      <c r="W500" s="11"/>
      <c r="X500" s="11"/>
      <c r="Y500" s="15"/>
      <c r="Z500" s="11"/>
    </row>
    <row r="501" spans="1:26" x14ac:dyDescent="0.25">
      <c r="A501" s="11"/>
      <c r="B501" s="11"/>
      <c r="C501" s="11"/>
      <c r="D501" s="11"/>
      <c r="E501" s="12"/>
      <c r="F501" s="13"/>
      <c r="G501" s="13"/>
      <c r="H501" s="13"/>
      <c r="I501" s="11"/>
      <c r="J501" s="11"/>
      <c r="K501" s="11"/>
      <c r="L501" s="11"/>
      <c r="M501" s="15"/>
      <c r="N501" s="15"/>
      <c r="O501" s="15"/>
      <c r="P501" s="15"/>
      <c r="Q501" s="16"/>
      <c r="R501" s="16"/>
      <c r="S501" s="16"/>
      <c r="T501" s="17"/>
      <c r="U501" s="11"/>
      <c r="V501" s="16"/>
      <c r="W501" s="11"/>
      <c r="X501" s="11"/>
      <c r="Y501" s="15"/>
      <c r="Z501" s="11"/>
    </row>
    <row r="502" spans="1:26" x14ac:dyDescent="0.25">
      <c r="A502" s="11"/>
      <c r="B502" s="11"/>
      <c r="C502" s="11"/>
      <c r="D502" s="11"/>
      <c r="E502" s="12"/>
      <c r="F502" s="13"/>
      <c r="G502" s="13"/>
      <c r="H502" s="13"/>
      <c r="I502" s="11"/>
      <c r="J502" s="11"/>
      <c r="K502" s="11"/>
      <c r="L502" s="11"/>
      <c r="M502" s="15"/>
      <c r="N502" s="15"/>
      <c r="O502" s="15"/>
      <c r="P502" s="15"/>
      <c r="Q502" s="16"/>
      <c r="R502" s="16"/>
      <c r="S502" s="16"/>
      <c r="T502" s="17"/>
      <c r="U502" s="11"/>
      <c r="V502" s="16"/>
      <c r="W502" s="11"/>
      <c r="X502" s="11"/>
      <c r="Y502" s="15"/>
      <c r="Z502" s="11"/>
    </row>
    <row r="503" spans="1:26" x14ac:dyDescent="0.25">
      <c r="A503" s="11"/>
      <c r="B503" s="11"/>
      <c r="C503" s="11"/>
      <c r="D503" s="11"/>
      <c r="E503" s="12"/>
      <c r="F503" s="13"/>
      <c r="G503" s="13"/>
      <c r="H503" s="13"/>
      <c r="I503" s="11"/>
      <c r="J503" s="11"/>
      <c r="K503" s="11"/>
      <c r="L503" s="11"/>
      <c r="M503" s="15"/>
      <c r="N503" s="15"/>
      <c r="O503" s="15"/>
      <c r="P503" s="15"/>
      <c r="Q503" s="16"/>
      <c r="R503" s="16"/>
      <c r="S503" s="16"/>
      <c r="T503" s="17"/>
      <c r="U503" s="11"/>
      <c r="V503" s="16"/>
      <c r="W503" s="11"/>
      <c r="X503" s="11"/>
      <c r="Y503" s="15"/>
      <c r="Z503" s="11"/>
    </row>
    <row r="504" spans="1:26" x14ac:dyDescent="0.25">
      <c r="A504" s="11"/>
      <c r="B504" s="11"/>
      <c r="C504" s="11"/>
      <c r="D504" s="11"/>
      <c r="E504" s="12"/>
      <c r="F504" s="13"/>
      <c r="G504" s="13"/>
      <c r="H504" s="13"/>
      <c r="I504" s="11"/>
      <c r="J504" s="11"/>
      <c r="K504" s="11"/>
      <c r="L504" s="11"/>
      <c r="M504" s="15"/>
      <c r="N504" s="15"/>
      <c r="O504" s="15"/>
      <c r="P504" s="15"/>
      <c r="Q504" s="16"/>
      <c r="R504" s="16"/>
      <c r="S504" s="16"/>
      <c r="T504" s="17"/>
      <c r="U504" s="11"/>
      <c r="V504" s="16"/>
      <c r="W504" s="11"/>
      <c r="X504" s="11"/>
      <c r="Y504" s="15"/>
      <c r="Z504" s="11"/>
    </row>
    <row r="505" spans="1:26" x14ac:dyDescent="0.25">
      <c r="A505" s="11"/>
      <c r="B505" s="11"/>
      <c r="C505" s="11"/>
      <c r="D505" s="11"/>
      <c r="E505" s="12"/>
      <c r="F505" s="13"/>
      <c r="G505" s="13"/>
      <c r="H505" s="13"/>
      <c r="I505" s="11"/>
      <c r="J505" s="11"/>
      <c r="K505" s="11"/>
      <c r="L505" s="11"/>
      <c r="M505" s="15"/>
      <c r="N505" s="15"/>
      <c r="O505" s="15"/>
      <c r="P505" s="15"/>
      <c r="Q505" s="16"/>
      <c r="R505" s="16"/>
      <c r="S505" s="16"/>
      <c r="T505" s="17"/>
      <c r="U505" s="11"/>
      <c r="V505" s="16"/>
      <c r="W505" s="11"/>
      <c r="X505" s="11"/>
      <c r="Y505" s="15"/>
      <c r="Z505" s="11"/>
    </row>
    <row r="506" spans="1:26" x14ac:dyDescent="0.25">
      <c r="A506" s="11"/>
      <c r="B506" s="11"/>
      <c r="C506" s="11"/>
      <c r="D506" s="11"/>
      <c r="E506" s="12"/>
      <c r="F506" s="13"/>
      <c r="G506" s="13"/>
      <c r="H506" s="13"/>
      <c r="I506" s="11"/>
      <c r="J506" s="11"/>
      <c r="K506" s="11"/>
      <c r="L506" s="11"/>
      <c r="M506" s="15"/>
      <c r="N506" s="15"/>
      <c r="O506" s="15"/>
      <c r="P506" s="15"/>
      <c r="Q506" s="16"/>
      <c r="R506" s="16"/>
      <c r="S506" s="16"/>
      <c r="T506" s="17"/>
      <c r="U506" s="11"/>
      <c r="V506" s="16"/>
      <c r="W506" s="11"/>
      <c r="X506" s="11"/>
      <c r="Y506" s="15"/>
      <c r="Z506" s="11"/>
    </row>
    <row r="507" spans="1:26" x14ac:dyDescent="0.25">
      <c r="A507" s="11"/>
      <c r="B507" s="11"/>
      <c r="C507" s="11"/>
      <c r="D507" s="11"/>
      <c r="E507" s="12"/>
      <c r="F507" s="13"/>
      <c r="G507" s="13"/>
      <c r="H507" s="13"/>
      <c r="I507" s="11"/>
      <c r="J507" s="11"/>
      <c r="K507" s="11"/>
      <c r="L507" s="11"/>
      <c r="M507" s="15"/>
      <c r="N507" s="15"/>
      <c r="O507" s="15"/>
      <c r="P507" s="15"/>
      <c r="Q507" s="16"/>
      <c r="R507" s="16"/>
      <c r="S507" s="16"/>
      <c r="T507" s="17"/>
      <c r="U507" s="11"/>
      <c r="V507" s="16"/>
      <c r="W507" s="11"/>
      <c r="X507" s="11"/>
      <c r="Y507" s="15"/>
      <c r="Z507" s="11"/>
    </row>
    <row r="508" spans="1:26" x14ac:dyDescent="0.25">
      <c r="A508" s="11"/>
      <c r="B508" s="11"/>
      <c r="C508" s="11"/>
      <c r="D508" s="11"/>
      <c r="E508" s="12"/>
      <c r="F508" s="13"/>
      <c r="G508" s="13"/>
      <c r="H508" s="13"/>
      <c r="I508" s="11"/>
      <c r="J508" s="11"/>
      <c r="K508" s="11"/>
      <c r="L508" s="11"/>
      <c r="M508" s="15"/>
      <c r="N508" s="15"/>
      <c r="O508" s="15"/>
      <c r="P508" s="15"/>
      <c r="Q508" s="16"/>
      <c r="R508" s="16"/>
      <c r="S508" s="16"/>
      <c r="T508" s="17"/>
      <c r="U508" s="11"/>
      <c r="V508" s="16"/>
      <c r="W508" s="11"/>
      <c r="X508" s="11"/>
      <c r="Y508" s="15"/>
      <c r="Z508" s="11"/>
    </row>
    <row r="509" spans="1:26" x14ac:dyDescent="0.25">
      <c r="A509" s="11"/>
      <c r="B509" s="11"/>
      <c r="C509" s="11"/>
      <c r="D509" s="11"/>
      <c r="E509" s="12"/>
      <c r="F509" s="13"/>
      <c r="G509" s="13"/>
      <c r="H509" s="13"/>
      <c r="I509" s="11"/>
      <c r="J509" s="11"/>
      <c r="K509" s="11"/>
      <c r="L509" s="11"/>
      <c r="M509" s="15"/>
      <c r="N509" s="15"/>
      <c r="O509" s="15"/>
      <c r="P509" s="15"/>
      <c r="Q509" s="16"/>
      <c r="R509" s="16"/>
      <c r="S509" s="16"/>
      <c r="T509" s="17"/>
      <c r="U509" s="11"/>
      <c r="V509" s="16"/>
      <c r="W509" s="11"/>
      <c r="X509" s="11"/>
      <c r="Y509" s="15"/>
      <c r="Z509" s="11"/>
    </row>
    <row r="510" spans="1:26" x14ac:dyDescent="0.25">
      <c r="A510" s="18"/>
      <c r="B510" s="18"/>
      <c r="C510" s="18"/>
      <c r="D510" s="18"/>
      <c r="E510" s="19"/>
      <c r="F510" s="20"/>
      <c r="G510" s="13"/>
      <c r="H510" s="20"/>
      <c r="I510" s="18"/>
      <c r="J510" s="18"/>
      <c r="K510" s="18"/>
      <c r="L510" s="18"/>
      <c r="M510" s="21"/>
      <c r="N510" s="21"/>
      <c r="O510" s="21"/>
      <c r="P510" s="21"/>
      <c r="Q510" s="22"/>
      <c r="R510" s="19"/>
      <c r="S510" s="22"/>
      <c r="T510" s="23"/>
      <c r="U510" s="18"/>
      <c r="V510" s="22"/>
      <c r="W510" s="18"/>
      <c r="X510" s="18"/>
      <c r="Y510" s="21"/>
      <c r="Z510" s="18"/>
    </row>
    <row r="511" spans="1:26" x14ac:dyDescent="0.25">
      <c r="A511" s="11"/>
      <c r="B511" s="11"/>
      <c r="C511" s="11"/>
      <c r="D511" s="11"/>
      <c r="E511" s="12"/>
      <c r="F511" s="13"/>
      <c r="G511" s="13"/>
      <c r="H511" s="13"/>
      <c r="I511" s="11"/>
      <c r="J511" s="11"/>
      <c r="K511" s="11"/>
      <c r="L511" s="11"/>
      <c r="M511" s="15"/>
      <c r="N511" s="15"/>
      <c r="O511" s="15"/>
      <c r="P511" s="15"/>
      <c r="Q511" s="16"/>
      <c r="R511" s="16"/>
      <c r="S511" s="16"/>
      <c r="T511" s="17"/>
      <c r="U511" s="11"/>
      <c r="V511" s="16"/>
      <c r="W511" s="11"/>
      <c r="X511" s="11"/>
      <c r="Y511" s="15"/>
      <c r="Z511" s="11"/>
    </row>
    <row r="512" spans="1:26" x14ac:dyDescent="0.25">
      <c r="A512" s="11"/>
      <c r="B512" s="11"/>
      <c r="C512" s="11"/>
      <c r="D512" s="11"/>
      <c r="E512" s="12"/>
      <c r="F512" s="13"/>
      <c r="G512" s="13"/>
      <c r="H512" s="13"/>
      <c r="I512" s="11"/>
      <c r="J512" s="11"/>
      <c r="K512" s="11"/>
      <c r="L512" s="11"/>
      <c r="M512" s="15"/>
      <c r="N512" s="15"/>
      <c r="O512" s="15"/>
      <c r="P512" s="15"/>
      <c r="Q512" s="16"/>
      <c r="R512" s="16"/>
      <c r="S512" s="16"/>
      <c r="T512" s="17"/>
      <c r="U512" s="11"/>
      <c r="V512" s="16"/>
      <c r="W512" s="11"/>
      <c r="X512" s="11"/>
      <c r="Y512" s="15"/>
      <c r="Z512" s="11"/>
    </row>
    <row r="513" spans="1:26" x14ac:dyDescent="0.25">
      <c r="A513" s="11"/>
      <c r="B513" s="11"/>
      <c r="C513" s="11"/>
      <c r="D513" s="11"/>
      <c r="E513" s="12"/>
      <c r="F513" s="13"/>
      <c r="G513" s="13"/>
      <c r="H513" s="13"/>
      <c r="I513" s="11"/>
      <c r="J513" s="11"/>
      <c r="K513" s="11"/>
      <c r="L513" s="11"/>
      <c r="M513" s="15"/>
      <c r="N513" s="15"/>
      <c r="O513" s="15"/>
      <c r="P513" s="15"/>
      <c r="Q513" s="16"/>
      <c r="R513" s="16"/>
      <c r="S513" s="16"/>
      <c r="T513" s="17"/>
      <c r="U513" s="11"/>
      <c r="V513" s="16"/>
      <c r="W513" s="11"/>
      <c r="X513" s="11"/>
      <c r="Y513" s="15"/>
      <c r="Z513" s="11"/>
    </row>
    <row r="514" spans="1:26" x14ac:dyDescent="0.25">
      <c r="A514" s="11"/>
      <c r="B514" s="11"/>
      <c r="C514" s="11"/>
      <c r="D514" s="11"/>
      <c r="E514" s="12"/>
      <c r="F514" s="13"/>
      <c r="G514" s="13"/>
      <c r="H514" s="13"/>
      <c r="I514" s="11"/>
      <c r="J514" s="11"/>
      <c r="K514" s="11"/>
      <c r="L514" s="11"/>
      <c r="M514" s="15"/>
      <c r="N514" s="15"/>
      <c r="O514" s="15"/>
      <c r="P514" s="15"/>
      <c r="Q514" s="16"/>
      <c r="R514" s="16"/>
      <c r="S514" s="16"/>
      <c r="T514" s="17"/>
      <c r="U514" s="11"/>
      <c r="V514" s="16"/>
      <c r="W514" s="11"/>
      <c r="X514" s="11"/>
      <c r="Y514" s="15"/>
      <c r="Z514" s="11"/>
    </row>
    <row r="515" spans="1:26" x14ac:dyDescent="0.25">
      <c r="A515" s="11"/>
      <c r="B515" s="11"/>
      <c r="C515" s="11"/>
      <c r="D515" s="11"/>
      <c r="E515" s="12"/>
      <c r="F515" s="13"/>
      <c r="G515" s="13"/>
      <c r="H515" s="13"/>
      <c r="I515" s="11"/>
      <c r="J515" s="11"/>
      <c r="K515" s="11"/>
      <c r="L515" s="11"/>
      <c r="M515" s="15"/>
      <c r="N515" s="15"/>
      <c r="O515" s="15"/>
      <c r="P515" s="15"/>
      <c r="Q515" s="16"/>
      <c r="R515" s="16"/>
      <c r="S515" s="16"/>
      <c r="T515" s="17"/>
      <c r="U515" s="11"/>
      <c r="V515" s="16"/>
      <c r="W515" s="11"/>
      <c r="X515" s="11"/>
      <c r="Y515" s="15"/>
      <c r="Z515" s="11"/>
    </row>
    <row r="516" spans="1:26" x14ac:dyDescent="0.25">
      <c r="A516" s="11"/>
      <c r="B516" s="11"/>
      <c r="C516" s="11"/>
      <c r="D516" s="11"/>
      <c r="E516" s="12"/>
      <c r="F516" s="13"/>
      <c r="G516" s="13"/>
      <c r="H516" s="13"/>
      <c r="I516" s="11"/>
      <c r="J516" s="11"/>
      <c r="K516" s="11"/>
      <c r="L516" s="11"/>
      <c r="M516" s="15"/>
      <c r="N516" s="15"/>
      <c r="O516" s="15"/>
      <c r="P516" s="15"/>
      <c r="Q516" s="16"/>
      <c r="R516" s="16"/>
      <c r="S516" s="16"/>
      <c r="T516" s="17"/>
      <c r="U516" s="11"/>
      <c r="V516" s="16"/>
      <c r="W516" s="11"/>
      <c r="X516" s="11"/>
      <c r="Y516" s="15"/>
      <c r="Z516" s="11"/>
    </row>
    <row r="517" spans="1:26" x14ac:dyDescent="0.25">
      <c r="A517" s="11"/>
      <c r="B517" s="11"/>
      <c r="C517" s="11"/>
      <c r="D517" s="11"/>
      <c r="E517" s="12"/>
      <c r="F517" s="13"/>
      <c r="G517" s="13"/>
      <c r="H517" s="13"/>
      <c r="I517" s="11"/>
      <c r="J517" s="11"/>
      <c r="K517" s="11"/>
      <c r="L517" s="11"/>
      <c r="M517" s="15"/>
      <c r="N517" s="15"/>
      <c r="O517" s="15"/>
      <c r="P517" s="15"/>
      <c r="Q517" s="16"/>
      <c r="R517" s="16"/>
      <c r="S517" s="16"/>
      <c r="T517" s="17"/>
      <c r="U517" s="11"/>
      <c r="V517" s="16"/>
      <c r="W517" s="11"/>
      <c r="X517" s="11"/>
      <c r="Y517" s="15"/>
      <c r="Z517" s="11"/>
    </row>
    <row r="518" spans="1:26" x14ac:dyDescent="0.25">
      <c r="A518" s="11"/>
      <c r="B518" s="11"/>
      <c r="C518" s="11"/>
      <c r="D518" s="11"/>
      <c r="E518" s="12"/>
      <c r="F518" s="13"/>
      <c r="G518" s="13"/>
      <c r="H518" s="13"/>
      <c r="I518" s="11"/>
      <c r="J518" s="11"/>
      <c r="K518" s="11"/>
      <c r="L518" s="11"/>
      <c r="M518" s="15"/>
      <c r="N518" s="15"/>
      <c r="O518" s="15"/>
      <c r="P518" s="15"/>
      <c r="Q518" s="16"/>
      <c r="R518" s="16"/>
      <c r="S518" s="16"/>
      <c r="T518" s="17"/>
      <c r="U518" s="11"/>
      <c r="V518" s="16"/>
      <c r="W518" s="11"/>
      <c r="X518" s="11"/>
      <c r="Y518" s="15"/>
      <c r="Z518" s="11"/>
    </row>
    <row r="519" spans="1:26" x14ac:dyDescent="0.25">
      <c r="A519" s="11"/>
      <c r="B519" s="11"/>
      <c r="C519" s="11"/>
      <c r="D519" s="11"/>
      <c r="E519" s="12"/>
      <c r="F519" s="13"/>
      <c r="G519" s="13"/>
      <c r="H519" s="13"/>
      <c r="I519" s="11"/>
      <c r="J519" s="11"/>
      <c r="K519" s="11"/>
      <c r="L519" s="11"/>
      <c r="M519" s="15"/>
      <c r="N519" s="15"/>
      <c r="O519" s="15"/>
      <c r="P519" s="15"/>
      <c r="Q519" s="16"/>
      <c r="R519" s="16"/>
      <c r="S519" s="16"/>
      <c r="T519" s="17"/>
      <c r="U519" s="11"/>
      <c r="V519" s="16"/>
      <c r="W519" s="11"/>
      <c r="X519" s="11"/>
      <c r="Y519" s="15"/>
      <c r="Z519" s="11"/>
    </row>
    <row r="520" spans="1:26" x14ac:dyDescent="0.25">
      <c r="A520" s="11"/>
      <c r="B520" s="11"/>
      <c r="C520" s="11"/>
      <c r="D520" s="11"/>
      <c r="E520" s="12"/>
      <c r="F520" s="13"/>
      <c r="G520" s="13"/>
      <c r="H520" s="13"/>
      <c r="I520" s="11"/>
      <c r="J520" s="11"/>
      <c r="K520" s="11"/>
      <c r="L520" s="11"/>
      <c r="M520" s="15"/>
      <c r="N520" s="15"/>
      <c r="O520" s="15"/>
      <c r="P520" s="15"/>
      <c r="Q520" s="16"/>
      <c r="R520" s="16"/>
      <c r="S520" s="16"/>
      <c r="T520" s="17"/>
      <c r="U520" s="11"/>
      <c r="V520" s="16"/>
      <c r="W520" s="11"/>
      <c r="X520" s="11"/>
      <c r="Y520" s="15"/>
      <c r="Z520" s="11"/>
    </row>
    <row r="521" spans="1:26" x14ac:dyDescent="0.25">
      <c r="A521" s="11"/>
      <c r="B521" s="11"/>
      <c r="C521" s="11"/>
      <c r="D521" s="11"/>
      <c r="E521" s="12"/>
      <c r="F521" s="13"/>
      <c r="G521" s="13"/>
      <c r="H521" s="13"/>
      <c r="I521" s="11"/>
      <c r="J521" s="11"/>
      <c r="K521" s="11"/>
      <c r="L521" s="11"/>
      <c r="M521" s="15"/>
      <c r="N521" s="15"/>
      <c r="O521" s="15"/>
      <c r="P521" s="15"/>
      <c r="Q521" s="16"/>
      <c r="R521" s="16"/>
      <c r="S521" s="16"/>
      <c r="T521" s="17"/>
      <c r="U521" s="11"/>
      <c r="V521" s="16"/>
      <c r="W521" s="11"/>
      <c r="X521" s="11"/>
      <c r="Y521" s="15"/>
      <c r="Z521" s="11"/>
    </row>
    <row r="522" spans="1:26" x14ac:dyDescent="0.25">
      <c r="A522" s="18"/>
      <c r="B522" s="18"/>
      <c r="C522" s="18"/>
      <c r="D522" s="18"/>
      <c r="E522" s="19"/>
      <c r="F522" s="20"/>
      <c r="G522" s="13"/>
      <c r="H522" s="20"/>
      <c r="I522" s="18"/>
      <c r="J522" s="18"/>
      <c r="K522" s="18"/>
      <c r="L522" s="18"/>
      <c r="M522" s="21"/>
      <c r="N522" s="21"/>
      <c r="O522" s="21"/>
      <c r="P522" s="21"/>
      <c r="Q522" s="22"/>
      <c r="R522" s="19"/>
      <c r="S522" s="22"/>
      <c r="T522" s="23"/>
      <c r="U522" s="18"/>
      <c r="V522" s="22"/>
      <c r="W522" s="18"/>
      <c r="X522" s="18"/>
      <c r="Y522" s="21"/>
      <c r="Z522" s="18"/>
    </row>
    <row r="523" spans="1:26" x14ac:dyDescent="0.25">
      <c r="A523" s="11"/>
      <c r="B523" s="11"/>
      <c r="C523" s="11"/>
      <c r="D523" s="11"/>
      <c r="E523" s="12"/>
      <c r="F523" s="13"/>
      <c r="G523" s="13"/>
      <c r="H523" s="13"/>
      <c r="I523" s="11"/>
      <c r="J523" s="11"/>
      <c r="K523" s="11"/>
      <c r="L523" s="11"/>
      <c r="M523" s="15"/>
      <c r="N523" s="15"/>
      <c r="O523" s="15"/>
      <c r="P523" s="15"/>
      <c r="Q523" s="16"/>
      <c r="R523" s="16"/>
      <c r="S523" s="16"/>
      <c r="T523" s="17"/>
      <c r="U523" s="11"/>
      <c r="V523" s="16"/>
      <c r="W523" s="11"/>
      <c r="X523" s="11"/>
      <c r="Y523" s="15"/>
      <c r="Z523" s="11"/>
    </row>
    <row r="524" spans="1:26" x14ac:dyDescent="0.25">
      <c r="A524" s="11"/>
      <c r="B524" s="11"/>
      <c r="C524" s="11"/>
      <c r="D524" s="11"/>
      <c r="E524" s="12"/>
      <c r="F524" s="13"/>
      <c r="G524" s="13"/>
      <c r="H524" s="13"/>
      <c r="I524" s="11"/>
      <c r="J524" s="11"/>
      <c r="K524" s="11"/>
      <c r="L524" s="11"/>
      <c r="M524" s="15"/>
      <c r="N524" s="15"/>
      <c r="O524" s="15"/>
      <c r="P524" s="15"/>
      <c r="Q524" s="16"/>
      <c r="R524" s="16"/>
      <c r="S524" s="16"/>
      <c r="T524" s="17"/>
      <c r="U524" s="11"/>
      <c r="V524" s="16"/>
      <c r="W524" s="11"/>
      <c r="X524" s="11"/>
      <c r="Y524" s="15"/>
      <c r="Z524" s="11"/>
    </row>
    <row r="525" spans="1:26" x14ac:dyDescent="0.25">
      <c r="A525" s="11"/>
      <c r="B525" s="11"/>
      <c r="C525" s="11"/>
      <c r="D525" s="11"/>
      <c r="E525" s="12"/>
      <c r="F525" s="13"/>
      <c r="G525" s="13"/>
      <c r="H525" s="13"/>
      <c r="I525" s="11"/>
      <c r="J525" s="11"/>
      <c r="K525" s="11"/>
      <c r="L525" s="11"/>
      <c r="M525" s="15"/>
      <c r="N525" s="15"/>
      <c r="O525" s="15"/>
      <c r="P525" s="15"/>
      <c r="Q525" s="16"/>
      <c r="R525" s="16"/>
      <c r="S525" s="16"/>
      <c r="T525" s="17"/>
      <c r="U525" s="11"/>
      <c r="V525" s="16"/>
      <c r="W525" s="11"/>
      <c r="X525" s="11"/>
      <c r="Y525" s="15"/>
      <c r="Z525" s="11"/>
    </row>
    <row r="526" spans="1:26" x14ac:dyDescent="0.25">
      <c r="A526" s="11"/>
      <c r="B526" s="11"/>
      <c r="C526" s="11"/>
      <c r="D526" s="11"/>
      <c r="E526" s="12"/>
      <c r="F526" s="13"/>
      <c r="G526" s="13"/>
      <c r="H526" s="13"/>
      <c r="I526" s="11"/>
      <c r="J526" s="11"/>
      <c r="K526" s="11"/>
      <c r="L526" s="11"/>
      <c r="M526" s="15"/>
      <c r="N526" s="15"/>
      <c r="O526" s="15"/>
      <c r="P526" s="15"/>
      <c r="Q526" s="16"/>
      <c r="R526" s="16"/>
      <c r="S526" s="16"/>
      <c r="T526" s="17"/>
      <c r="U526" s="11"/>
      <c r="V526" s="16"/>
      <c r="W526" s="11"/>
      <c r="X526" s="11"/>
      <c r="Y526" s="15"/>
      <c r="Z526" s="11"/>
    </row>
    <row r="527" spans="1:26" x14ac:dyDescent="0.25">
      <c r="A527" s="18"/>
      <c r="B527" s="18"/>
      <c r="C527" s="18"/>
      <c r="D527" s="18"/>
      <c r="E527" s="19"/>
      <c r="F527" s="20"/>
      <c r="G527" s="13"/>
      <c r="H527" s="20"/>
      <c r="I527" s="18"/>
      <c r="J527" s="18"/>
      <c r="K527" s="18"/>
      <c r="L527" s="18"/>
      <c r="M527" s="21"/>
      <c r="N527" s="21"/>
      <c r="O527" s="21"/>
      <c r="P527" s="21"/>
      <c r="Q527" s="22"/>
      <c r="R527" s="19"/>
      <c r="S527" s="22"/>
      <c r="T527" s="23"/>
      <c r="U527" s="18"/>
      <c r="V527" s="22"/>
      <c r="W527" s="18"/>
      <c r="X527" s="18"/>
      <c r="Y527" s="21"/>
      <c r="Z527" s="18"/>
    </row>
    <row r="528" spans="1:26" x14ac:dyDescent="0.25">
      <c r="A528" s="11"/>
      <c r="B528" s="11"/>
      <c r="C528" s="11"/>
      <c r="D528" s="11"/>
      <c r="E528" s="12"/>
      <c r="F528" s="13"/>
      <c r="G528" s="13"/>
      <c r="H528" s="13"/>
      <c r="I528" s="11"/>
      <c r="J528" s="11"/>
      <c r="K528" s="11"/>
      <c r="L528" s="11"/>
      <c r="M528" s="15"/>
      <c r="N528" s="15"/>
      <c r="O528" s="15"/>
      <c r="P528" s="15"/>
      <c r="Q528" s="16"/>
      <c r="R528" s="16"/>
      <c r="S528" s="16"/>
      <c r="T528" s="17"/>
      <c r="U528" s="11"/>
      <c r="V528" s="16"/>
      <c r="W528" s="11"/>
      <c r="X528" s="11"/>
      <c r="Y528" s="15"/>
      <c r="Z528" s="11"/>
    </row>
    <row r="529" spans="1:26" x14ac:dyDescent="0.25">
      <c r="A529" s="11"/>
      <c r="B529" s="11"/>
      <c r="C529" s="11"/>
      <c r="D529" s="11"/>
      <c r="E529" s="12"/>
      <c r="F529" s="13"/>
      <c r="G529" s="13"/>
      <c r="H529" s="13"/>
      <c r="I529" s="11"/>
      <c r="J529" s="11"/>
      <c r="K529" s="11"/>
      <c r="L529" s="11"/>
      <c r="M529" s="15"/>
      <c r="N529" s="15"/>
      <c r="O529" s="15"/>
      <c r="P529" s="15"/>
      <c r="Q529" s="16"/>
      <c r="R529" s="16"/>
      <c r="S529" s="16"/>
      <c r="T529" s="17"/>
      <c r="U529" s="11"/>
      <c r="V529" s="16"/>
      <c r="W529" s="11"/>
      <c r="X529" s="11"/>
      <c r="Y529" s="15"/>
      <c r="Z529" s="11"/>
    </row>
    <row r="530" spans="1:26" x14ac:dyDescent="0.25">
      <c r="A530" s="11"/>
      <c r="B530" s="11"/>
      <c r="C530" s="11"/>
      <c r="D530" s="11"/>
      <c r="E530" s="12"/>
      <c r="F530" s="13"/>
      <c r="G530" s="13"/>
      <c r="H530" s="13"/>
      <c r="I530" s="11"/>
      <c r="J530" s="11"/>
      <c r="K530" s="11"/>
      <c r="L530" s="11"/>
      <c r="M530" s="15"/>
      <c r="N530" s="15"/>
      <c r="O530" s="15"/>
      <c r="P530" s="15"/>
      <c r="Q530" s="16"/>
      <c r="R530" s="16"/>
      <c r="S530" s="16"/>
      <c r="T530" s="17"/>
      <c r="U530" s="11"/>
      <c r="V530" s="16"/>
      <c r="W530" s="11"/>
      <c r="X530" s="11"/>
      <c r="Y530" s="15"/>
      <c r="Z530" s="11"/>
    </row>
    <row r="531" spans="1:26" x14ac:dyDescent="0.25">
      <c r="A531" s="11"/>
      <c r="B531" s="11"/>
      <c r="C531" s="11"/>
      <c r="D531" s="11"/>
      <c r="E531" s="12"/>
      <c r="F531" s="13"/>
      <c r="G531" s="13"/>
      <c r="H531" s="13"/>
      <c r="I531" s="11"/>
      <c r="J531" s="11"/>
      <c r="K531" s="11"/>
      <c r="L531" s="11"/>
      <c r="M531" s="15"/>
      <c r="N531" s="15"/>
      <c r="O531" s="15"/>
      <c r="P531" s="15"/>
      <c r="Q531" s="16"/>
      <c r="R531" s="16"/>
      <c r="S531" s="16"/>
      <c r="T531" s="17"/>
      <c r="U531" s="11"/>
      <c r="V531" s="16"/>
      <c r="W531" s="11"/>
      <c r="X531" s="11"/>
      <c r="Y531" s="15"/>
      <c r="Z531" s="11"/>
    </row>
    <row r="532" spans="1:26" x14ac:dyDescent="0.25">
      <c r="A532" s="11"/>
      <c r="B532" s="11"/>
      <c r="C532" s="11"/>
      <c r="D532" s="11"/>
      <c r="E532" s="12"/>
      <c r="F532" s="13"/>
      <c r="G532" s="13"/>
      <c r="H532" s="13"/>
      <c r="I532" s="11"/>
      <c r="J532" s="11"/>
      <c r="K532" s="11"/>
      <c r="L532" s="11"/>
      <c r="M532" s="15"/>
      <c r="N532" s="15"/>
      <c r="O532" s="15"/>
      <c r="P532" s="15"/>
      <c r="Q532" s="16"/>
      <c r="R532" s="16"/>
      <c r="S532" s="16"/>
      <c r="T532" s="17"/>
      <c r="U532" s="11"/>
      <c r="V532" s="16"/>
      <c r="W532" s="11"/>
      <c r="X532" s="11"/>
      <c r="Y532" s="15"/>
      <c r="Z532" s="11"/>
    </row>
    <row r="533" spans="1:26" x14ac:dyDescent="0.25">
      <c r="A533" s="11"/>
      <c r="B533" s="11"/>
      <c r="C533" s="11"/>
      <c r="D533" s="11"/>
      <c r="E533" s="12"/>
      <c r="F533" s="13"/>
      <c r="G533" s="13"/>
      <c r="H533" s="13"/>
      <c r="I533" s="11"/>
      <c r="J533" s="11"/>
      <c r="K533" s="11"/>
      <c r="L533" s="11"/>
      <c r="M533" s="15"/>
      <c r="N533" s="15"/>
      <c r="O533" s="15"/>
      <c r="P533" s="15"/>
      <c r="Q533" s="16"/>
      <c r="R533" s="16"/>
      <c r="S533" s="16"/>
      <c r="T533" s="17"/>
      <c r="U533" s="11"/>
      <c r="V533" s="16"/>
      <c r="W533" s="11"/>
      <c r="X533" s="11"/>
      <c r="Y533" s="15"/>
      <c r="Z533" s="11"/>
    </row>
    <row r="534" spans="1:26" x14ac:dyDescent="0.25">
      <c r="A534" s="11"/>
      <c r="B534" s="11"/>
      <c r="C534" s="11"/>
      <c r="D534" s="11"/>
      <c r="E534" s="12"/>
      <c r="F534" s="13"/>
      <c r="G534" s="13"/>
      <c r="H534" s="13"/>
      <c r="I534" s="11"/>
      <c r="J534" s="11"/>
      <c r="K534" s="11"/>
      <c r="L534" s="11"/>
      <c r="M534" s="15"/>
      <c r="N534" s="15"/>
      <c r="O534" s="15"/>
      <c r="P534" s="15"/>
      <c r="Q534" s="16"/>
      <c r="R534" s="16"/>
      <c r="S534" s="16"/>
      <c r="T534" s="17"/>
      <c r="U534" s="11"/>
      <c r="V534" s="16"/>
      <c r="W534" s="11"/>
      <c r="X534" s="11"/>
      <c r="Y534" s="15"/>
      <c r="Z534" s="11"/>
    </row>
    <row r="535" spans="1:26" x14ac:dyDescent="0.25">
      <c r="A535" s="11"/>
      <c r="B535" s="11"/>
      <c r="C535" s="11"/>
      <c r="D535" s="11"/>
      <c r="E535" s="12"/>
      <c r="F535" s="13"/>
      <c r="G535" s="13"/>
      <c r="H535" s="13"/>
      <c r="I535" s="11"/>
      <c r="J535" s="11"/>
      <c r="K535" s="11"/>
      <c r="L535" s="11"/>
      <c r="M535" s="15"/>
      <c r="N535" s="15"/>
      <c r="O535" s="15"/>
      <c r="P535" s="15"/>
      <c r="Q535" s="16"/>
      <c r="R535" s="16"/>
      <c r="S535" s="16"/>
      <c r="T535" s="17"/>
      <c r="U535" s="11"/>
      <c r="V535" s="16"/>
      <c r="W535" s="11"/>
      <c r="X535" s="11"/>
      <c r="Y535" s="15"/>
      <c r="Z535" s="11"/>
    </row>
    <row r="536" spans="1:26" x14ac:dyDescent="0.25">
      <c r="A536" s="11"/>
      <c r="B536" s="11"/>
      <c r="C536" s="11"/>
      <c r="D536" s="11"/>
      <c r="E536" s="12"/>
      <c r="F536" s="13"/>
      <c r="G536" s="13"/>
      <c r="H536" s="13"/>
      <c r="I536" s="11"/>
      <c r="J536" s="11"/>
      <c r="K536" s="11"/>
      <c r="L536" s="11"/>
      <c r="M536" s="15"/>
      <c r="N536" s="15"/>
      <c r="O536" s="15"/>
      <c r="P536" s="15"/>
      <c r="Q536" s="16"/>
      <c r="R536" s="16"/>
      <c r="S536" s="16"/>
      <c r="T536" s="17"/>
      <c r="U536" s="11"/>
      <c r="V536" s="16"/>
      <c r="W536" s="11"/>
      <c r="X536" s="11"/>
      <c r="Y536" s="15"/>
      <c r="Z536" s="11"/>
    </row>
    <row r="537" spans="1:26" x14ac:dyDescent="0.25">
      <c r="A537" s="11"/>
      <c r="B537" s="11"/>
      <c r="C537" s="11"/>
      <c r="D537" s="11"/>
      <c r="E537" s="12"/>
      <c r="F537" s="13"/>
      <c r="G537" s="13"/>
      <c r="H537" s="13"/>
      <c r="I537" s="11"/>
      <c r="J537" s="11"/>
      <c r="K537" s="11"/>
      <c r="L537" s="11"/>
      <c r="M537" s="15"/>
      <c r="N537" s="15"/>
      <c r="O537" s="15"/>
      <c r="P537" s="15"/>
      <c r="Q537" s="16"/>
      <c r="R537" s="16"/>
      <c r="S537" s="16"/>
      <c r="T537" s="17"/>
      <c r="U537" s="11"/>
      <c r="V537" s="16"/>
      <c r="W537" s="11"/>
      <c r="X537" s="11"/>
      <c r="Y537" s="15"/>
      <c r="Z537" s="11"/>
    </row>
    <row r="538" spans="1:26" x14ac:dyDescent="0.25">
      <c r="A538" s="11"/>
      <c r="B538" s="11"/>
      <c r="C538" s="11"/>
      <c r="D538" s="11"/>
      <c r="E538" s="12"/>
      <c r="F538" s="13"/>
      <c r="G538" s="13"/>
      <c r="H538" s="13"/>
      <c r="I538" s="11"/>
      <c r="J538" s="11"/>
      <c r="K538" s="11"/>
      <c r="L538" s="11"/>
      <c r="M538" s="15"/>
      <c r="N538" s="15"/>
      <c r="O538" s="15"/>
      <c r="P538" s="15"/>
      <c r="Q538" s="16"/>
      <c r="R538" s="16"/>
      <c r="S538" s="16"/>
      <c r="T538" s="17"/>
      <c r="U538" s="11"/>
      <c r="V538" s="16"/>
      <c r="W538" s="11"/>
      <c r="X538" s="11"/>
      <c r="Y538" s="15"/>
      <c r="Z538" s="11"/>
    </row>
    <row r="539" spans="1:26" x14ac:dyDescent="0.25">
      <c r="A539" s="11"/>
      <c r="B539" s="11"/>
      <c r="C539" s="11"/>
      <c r="D539" s="11"/>
      <c r="E539" s="12"/>
      <c r="F539" s="13"/>
      <c r="G539" s="13"/>
      <c r="H539" s="13"/>
      <c r="I539" s="11"/>
      <c r="J539" s="11"/>
      <c r="K539" s="11"/>
      <c r="L539" s="11"/>
      <c r="M539" s="15"/>
      <c r="N539" s="15"/>
      <c r="O539" s="15"/>
      <c r="P539" s="15"/>
      <c r="Q539" s="16"/>
      <c r="R539" s="16"/>
      <c r="S539" s="16"/>
      <c r="T539" s="17"/>
      <c r="U539" s="11"/>
      <c r="V539" s="16"/>
      <c r="W539" s="11"/>
      <c r="X539" s="11"/>
      <c r="Y539" s="15"/>
      <c r="Z539" s="11"/>
    </row>
    <row r="540" spans="1:26" x14ac:dyDescent="0.25">
      <c r="A540" s="18"/>
      <c r="B540" s="18"/>
      <c r="C540" s="18"/>
      <c r="D540" s="18"/>
      <c r="E540" s="19"/>
      <c r="F540" s="20"/>
      <c r="G540" s="13"/>
      <c r="H540" s="20"/>
      <c r="I540" s="18"/>
      <c r="J540" s="18"/>
      <c r="K540" s="18"/>
      <c r="L540" s="18"/>
      <c r="M540" s="21"/>
      <c r="N540" s="21"/>
      <c r="O540" s="21"/>
      <c r="P540" s="21"/>
      <c r="Q540" s="22"/>
      <c r="R540" s="19"/>
      <c r="S540" s="22"/>
      <c r="T540" s="23"/>
      <c r="U540" s="18"/>
      <c r="V540" s="22"/>
      <c r="W540" s="18"/>
      <c r="X540" s="18"/>
      <c r="Y540" s="21"/>
      <c r="Z540" s="18"/>
    </row>
    <row r="541" spans="1:26" x14ac:dyDescent="0.25">
      <c r="A541" s="11"/>
      <c r="B541" s="11"/>
      <c r="C541" s="11"/>
      <c r="D541" s="11"/>
      <c r="E541" s="12"/>
      <c r="F541" s="13"/>
      <c r="G541" s="13"/>
      <c r="H541" s="13"/>
      <c r="I541" s="11"/>
      <c r="J541" s="11"/>
      <c r="K541" s="11"/>
      <c r="L541" s="11"/>
      <c r="M541" s="15"/>
      <c r="N541" s="15"/>
      <c r="O541" s="15"/>
      <c r="P541" s="15"/>
      <c r="Q541" s="16"/>
      <c r="R541" s="16"/>
      <c r="S541" s="16"/>
      <c r="T541" s="17"/>
      <c r="U541" s="11"/>
      <c r="V541" s="16"/>
      <c r="W541" s="11"/>
      <c r="X541" s="11"/>
      <c r="Y541" s="15"/>
      <c r="Z541" s="11"/>
    </row>
    <row r="542" spans="1:26" x14ac:dyDescent="0.25">
      <c r="A542" s="11"/>
      <c r="B542" s="11"/>
      <c r="C542" s="11"/>
      <c r="D542" s="11"/>
      <c r="E542" s="12"/>
      <c r="F542" s="13"/>
      <c r="G542" s="13"/>
      <c r="H542" s="13"/>
      <c r="I542" s="11"/>
      <c r="J542" s="11"/>
      <c r="K542" s="11"/>
      <c r="L542" s="11"/>
      <c r="M542" s="15"/>
      <c r="N542" s="15"/>
      <c r="O542" s="15"/>
      <c r="P542" s="15"/>
      <c r="Q542" s="16"/>
      <c r="R542" s="16"/>
      <c r="S542" s="16"/>
      <c r="T542" s="17"/>
      <c r="U542" s="11"/>
      <c r="V542" s="16"/>
      <c r="W542" s="11"/>
      <c r="X542" s="11"/>
      <c r="Y542" s="15"/>
      <c r="Z542" s="11"/>
    </row>
    <row r="543" spans="1:26" x14ac:dyDescent="0.25">
      <c r="A543" s="18"/>
      <c r="B543" s="18"/>
      <c r="C543" s="18"/>
      <c r="D543" s="18"/>
      <c r="E543" s="19"/>
      <c r="F543" s="20"/>
      <c r="G543" s="13"/>
      <c r="H543" s="20"/>
      <c r="I543" s="18"/>
      <c r="J543" s="18"/>
      <c r="K543" s="18"/>
      <c r="L543" s="18"/>
      <c r="M543" s="21"/>
      <c r="N543" s="21"/>
      <c r="O543" s="21"/>
      <c r="P543" s="21"/>
      <c r="Q543" s="22"/>
      <c r="R543" s="19"/>
      <c r="S543" s="22"/>
      <c r="T543" s="23"/>
      <c r="U543" s="18"/>
      <c r="V543" s="22"/>
      <c r="W543" s="18"/>
      <c r="X543" s="18"/>
      <c r="Y543" s="21"/>
      <c r="Z543" s="18"/>
    </row>
    <row r="544" spans="1:26" x14ac:dyDescent="0.25">
      <c r="A544" s="11"/>
      <c r="B544" s="11"/>
      <c r="C544" s="11"/>
      <c r="D544" s="11"/>
      <c r="E544" s="12"/>
      <c r="F544" s="13"/>
      <c r="G544" s="13"/>
      <c r="H544" s="13"/>
      <c r="I544" s="11"/>
      <c r="J544" s="11"/>
      <c r="K544" s="11"/>
      <c r="L544" s="11"/>
      <c r="M544" s="15"/>
      <c r="N544" s="15"/>
      <c r="O544" s="15"/>
      <c r="P544" s="15"/>
      <c r="Q544" s="16"/>
      <c r="R544" s="16"/>
      <c r="S544" s="16"/>
      <c r="T544" s="17"/>
      <c r="U544" s="11"/>
      <c r="V544" s="16"/>
      <c r="W544" s="11"/>
      <c r="X544" s="11"/>
      <c r="Y544" s="15"/>
      <c r="Z544" s="11"/>
    </row>
    <row r="545" spans="1:26" x14ac:dyDescent="0.25">
      <c r="A545" s="11"/>
      <c r="B545" s="11"/>
      <c r="C545" s="11"/>
      <c r="D545" s="11"/>
      <c r="E545" s="12"/>
      <c r="F545" s="13"/>
      <c r="G545" s="13"/>
      <c r="H545" s="13"/>
      <c r="I545" s="11"/>
      <c r="J545" s="11"/>
      <c r="K545" s="11"/>
      <c r="L545" s="11"/>
      <c r="M545" s="15"/>
      <c r="N545" s="15"/>
      <c r="O545" s="15"/>
      <c r="P545" s="15"/>
      <c r="Q545" s="16"/>
      <c r="R545" s="16"/>
      <c r="S545" s="16"/>
      <c r="T545" s="17"/>
      <c r="U545" s="11"/>
      <c r="V545" s="16"/>
      <c r="W545" s="11"/>
      <c r="X545" s="11"/>
      <c r="Y545" s="15"/>
      <c r="Z545" s="11"/>
    </row>
    <row r="546" spans="1:26" x14ac:dyDescent="0.25">
      <c r="A546" s="11"/>
      <c r="B546" s="11"/>
      <c r="C546" s="11"/>
      <c r="D546" s="11"/>
      <c r="E546" s="12"/>
      <c r="F546" s="13"/>
      <c r="G546" s="13"/>
      <c r="H546" s="13"/>
      <c r="I546" s="11"/>
      <c r="J546" s="11"/>
      <c r="K546" s="11"/>
      <c r="L546" s="11"/>
      <c r="M546" s="15"/>
      <c r="N546" s="15"/>
      <c r="O546" s="15"/>
      <c r="P546" s="15"/>
      <c r="Q546" s="16"/>
      <c r="R546" s="16"/>
      <c r="S546" s="16"/>
      <c r="T546" s="17"/>
      <c r="U546" s="11"/>
      <c r="V546" s="16"/>
      <c r="W546" s="11"/>
      <c r="X546" s="11"/>
      <c r="Y546" s="15"/>
      <c r="Z546" s="11"/>
    </row>
    <row r="547" spans="1:26" x14ac:dyDescent="0.25">
      <c r="A547" s="11"/>
      <c r="B547" s="11"/>
      <c r="C547" s="11"/>
      <c r="D547" s="11"/>
      <c r="E547" s="12"/>
      <c r="F547" s="13"/>
      <c r="G547" s="13"/>
      <c r="H547" s="13"/>
      <c r="I547" s="11"/>
      <c r="J547" s="11"/>
      <c r="K547" s="11"/>
      <c r="L547" s="11"/>
      <c r="M547" s="15"/>
      <c r="N547" s="15"/>
      <c r="O547" s="15"/>
      <c r="P547" s="15"/>
      <c r="Q547" s="16"/>
      <c r="R547" s="16"/>
      <c r="S547" s="16"/>
      <c r="T547" s="17"/>
      <c r="U547" s="11"/>
      <c r="V547" s="16"/>
      <c r="W547" s="11"/>
      <c r="X547" s="11"/>
      <c r="Y547" s="15"/>
      <c r="Z547" s="11"/>
    </row>
    <row r="548" spans="1:26" x14ac:dyDescent="0.25">
      <c r="A548" s="11"/>
      <c r="B548" s="11"/>
      <c r="C548" s="11"/>
      <c r="D548" s="11"/>
      <c r="E548" s="12"/>
      <c r="F548" s="13"/>
      <c r="G548" s="13"/>
      <c r="H548" s="13"/>
      <c r="I548" s="11"/>
      <c r="J548" s="11"/>
      <c r="K548" s="11"/>
      <c r="L548" s="11"/>
      <c r="M548" s="15"/>
      <c r="N548" s="15"/>
      <c r="O548" s="15"/>
      <c r="P548" s="15"/>
      <c r="Q548" s="16"/>
      <c r="R548" s="16"/>
      <c r="S548" s="16"/>
      <c r="T548" s="17"/>
      <c r="U548" s="11"/>
      <c r="V548" s="16"/>
      <c r="W548" s="11"/>
      <c r="X548" s="11"/>
      <c r="Y548" s="15"/>
      <c r="Z548" s="11"/>
    </row>
    <row r="549" spans="1:26" x14ac:dyDescent="0.25">
      <c r="A549" s="11"/>
      <c r="B549" s="11"/>
      <c r="C549" s="11"/>
      <c r="D549" s="11"/>
      <c r="E549" s="12"/>
      <c r="F549" s="13"/>
      <c r="G549" s="13"/>
      <c r="H549" s="13"/>
      <c r="I549" s="11"/>
      <c r="J549" s="11"/>
      <c r="K549" s="11"/>
      <c r="L549" s="11"/>
      <c r="M549" s="15"/>
      <c r="N549" s="15"/>
      <c r="O549" s="15"/>
      <c r="P549" s="15"/>
      <c r="Q549" s="16"/>
      <c r="R549" s="16"/>
      <c r="S549" s="16"/>
      <c r="T549" s="17"/>
      <c r="U549" s="11"/>
      <c r="V549" s="16"/>
      <c r="W549" s="11"/>
      <c r="X549" s="11"/>
      <c r="Y549" s="15"/>
      <c r="Z549" s="11"/>
    </row>
    <row r="550" spans="1:26" x14ac:dyDescent="0.25">
      <c r="A550" s="11"/>
      <c r="B550" s="11"/>
      <c r="C550" s="11"/>
      <c r="D550" s="11"/>
      <c r="E550" s="12"/>
      <c r="F550" s="13"/>
      <c r="G550" s="13"/>
      <c r="H550" s="13"/>
      <c r="I550" s="11"/>
      <c r="J550" s="11"/>
      <c r="K550" s="11"/>
      <c r="L550" s="11"/>
      <c r="M550" s="15"/>
      <c r="N550" s="15"/>
      <c r="O550" s="15"/>
      <c r="P550" s="15"/>
      <c r="Q550" s="16"/>
      <c r="R550" s="16"/>
      <c r="S550" s="16"/>
      <c r="T550" s="17"/>
      <c r="U550" s="11"/>
      <c r="V550" s="16"/>
      <c r="W550" s="11"/>
      <c r="X550" s="11"/>
      <c r="Y550" s="15"/>
      <c r="Z550" s="11"/>
    </row>
    <row r="551" spans="1:26" x14ac:dyDescent="0.25">
      <c r="A551" s="11"/>
      <c r="B551" s="11"/>
      <c r="C551" s="11"/>
      <c r="D551" s="11"/>
      <c r="E551" s="12"/>
      <c r="F551" s="13"/>
      <c r="G551" s="13"/>
      <c r="H551" s="13"/>
      <c r="I551" s="11"/>
      <c r="J551" s="11"/>
      <c r="K551" s="11"/>
      <c r="L551" s="11"/>
      <c r="M551" s="15"/>
      <c r="N551" s="15"/>
      <c r="O551" s="15"/>
      <c r="P551" s="15"/>
      <c r="Q551" s="16"/>
      <c r="R551" s="16"/>
      <c r="S551" s="16"/>
      <c r="T551" s="17"/>
      <c r="U551" s="11"/>
      <c r="V551" s="16"/>
      <c r="W551" s="11"/>
      <c r="X551" s="11"/>
      <c r="Y551" s="15"/>
      <c r="Z551" s="11"/>
    </row>
    <row r="552" spans="1:26" x14ac:dyDescent="0.25">
      <c r="A552" s="11"/>
      <c r="B552" s="11"/>
      <c r="C552" s="11"/>
      <c r="D552" s="11"/>
      <c r="E552" s="12"/>
      <c r="F552" s="13"/>
      <c r="G552" s="13"/>
      <c r="H552" s="13"/>
      <c r="I552" s="11"/>
      <c r="J552" s="11"/>
      <c r="K552" s="11"/>
      <c r="L552" s="11"/>
      <c r="M552" s="15"/>
      <c r="N552" s="15"/>
      <c r="O552" s="15"/>
      <c r="P552" s="15"/>
      <c r="Q552" s="16"/>
      <c r="R552" s="16"/>
      <c r="S552" s="16"/>
      <c r="T552" s="17"/>
      <c r="U552" s="11"/>
      <c r="V552" s="16"/>
      <c r="W552" s="11"/>
      <c r="X552" s="11"/>
      <c r="Y552" s="15"/>
      <c r="Z552" s="11"/>
    </row>
    <row r="553" spans="1:26" x14ac:dyDescent="0.25">
      <c r="A553" s="11"/>
      <c r="B553" s="11"/>
      <c r="C553" s="11"/>
      <c r="D553" s="11"/>
      <c r="E553" s="12"/>
      <c r="F553" s="13"/>
      <c r="G553" s="13"/>
      <c r="H553" s="13"/>
      <c r="I553" s="11"/>
      <c r="J553" s="11"/>
      <c r="K553" s="11"/>
      <c r="L553" s="11"/>
      <c r="M553" s="15"/>
      <c r="N553" s="15"/>
      <c r="O553" s="15"/>
      <c r="P553" s="15"/>
      <c r="Q553" s="16"/>
      <c r="R553" s="16"/>
      <c r="S553" s="16"/>
      <c r="T553" s="17"/>
      <c r="U553" s="11"/>
      <c r="V553" s="16"/>
      <c r="W553" s="11"/>
      <c r="X553" s="11"/>
      <c r="Y553" s="15"/>
      <c r="Z553" s="11"/>
    </row>
    <row r="554" spans="1:26" x14ac:dyDescent="0.25">
      <c r="A554" s="11"/>
      <c r="B554" s="11"/>
      <c r="C554" s="11"/>
      <c r="D554" s="11"/>
      <c r="E554" s="12"/>
      <c r="F554" s="13"/>
      <c r="G554" s="13"/>
      <c r="H554" s="13"/>
      <c r="I554" s="11"/>
      <c r="J554" s="11"/>
      <c r="K554" s="11"/>
      <c r="L554" s="11"/>
      <c r="M554" s="15"/>
      <c r="N554" s="15"/>
      <c r="O554" s="15"/>
      <c r="P554" s="15"/>
      <c r="Q554" s="16"/>
      <c r="R554" s="16"/>
      <c r="S554" s="16"/>
      <c r="T554" s="17"/>
      <c r="U554" s="11"/>
      <c r="V554" s="16"/>
      <c r="W554" s="11"/>
      <c r="X554" s="11"/>
      <c r="Y554" s="15"/>
      <c r="Z554" s="11"/>
    </row>
    <row r="555" spans="1:26" x14ac:dyDescent="0.25">
      <c r="A555" s="11"/>
      <c r="B555" s="11"/>
      <c r="C555" s="11"/>
      <c r="D555" s="11"/>
      <c r="E555" s="12"/>
      <c r="F555" s="13"/>
      <c r="G555" s="13"/>
      <c r="H555" s="13"/>
      <c r="I555" s="11"/>
      <c r="J555" s="11"/>
      <c r="K555" s="11"/>
      <c r="L555" s="11"/>
      <c r="M555" s="15"/>
      <c r="N555" s="15"/>
      <c r="O555" s="15"/>
      <c r="P555" s="15"/>
      <c r="Q555" s="16"/>
      <c r="R555" s="16"/>
      <c r="S555" s="16"/>
      <c r="T555" s="17"/>
      <c r="U555" s="11"/>
      <c r="V555" s="16"/>
      <c r="W555" s="11"/>
      <c r="X555" s="11"/>
      <c r="Y555" s="15"/>
      <c r="Z555" s="11"/>
    </row>
    <row r="556" spans="1:26" x14ac:dyDescent="0.25">
      <c r="A556" s="11"/>
      <c r="B556" s="11"/>
      <c r="C556" s="11"/>
      <c r="D556" s="11"/>
      <c r="E556" s="12"/>
      <c r="F556" s="13"/>
      <c r="G556" s="13"/>
      <c r="H556" s="13"/>
      <c r="I556" s="11"/>
      <c r="J556" s="11"/>
      <c r="K556" s="11"/>
      <c r="L556" s="11"/>
      <c r="M556" s="15"/>
      <c r="N556" s="15"/>
      <c r="O556" s="15"/>
      <c r="P556" s="15"/>
      <c r="Q556" s="16"/>
      <c r="R556" s="16"/>
      <c r="S556" s="16"/>
      <c r="T556" s="17"/>
      <c r="U556" s="11"/>
      <c r="V556" s="16"/>
      <c r="W556" s="11"/>
      <c r="X556" s="11"/>
      <c r="Y556" s="15"/>
      <c r="Z556" s="11"/>
    </row>
    <row r="557" spans="1:26" x14ac:dyDescent="0.25">
      <c r="A557" s="11"/>
      <c r="B557" s="11"/>
      <c r="C557" s="11"/>
      <c r="D557" s="11"/>
      <c r="E557" s="12"/>
      <c r="F557" s="13"/>
      <c r="G557" s="13"/>
      <c r="H557" s="13"/>
      <c r="I557" s="11"/>
      <c r="J557" s="11"/>
      <c r="K557" s="11"/>
      <c r="L557" s="11"/>
      <c r="M557" s="15"/>
      <c r="N557" s="15"/>
      <c r="O557" s="15"/>
      <c r="P557" s="15"/>
      <c r="Q557" s="16"/>
      <c r="R557" s="16"/>
      <c r="S557" s="16"/>
      <c r="T557" s="17"/>
      <c r="U557" s="11"/>
      <c r="V557" s="16"/>
      <c r="W557" s="11"/>
      <c r="X557" s="11"/>
      <c r="Y557" s="15"/>
      <c r="Z557" s="11"/>
    </row>
    <row r="558" spans="1:26" x14ac:dyDescent="0.25">
      <c r="A558" s="11"/>
      <c r="B558" s="11"/>
      <c r="C558" s="11"/>
      <c r="D558" s="11"/>
      <c r="E558" s="12"/>
      <c r="F558" s="13"/>
      <c r="G558" s="13"/>
      <c r="H558" s="13"/>
      <c r="I558" s="11"/>
      <c r="J558" s="11"/>
      <c r="K558" s="11"/>
      <c r="L558" s="11"/>
      <c r="M558" s="15"/>
      <c r="N558" s="15"/>
      <c r="O558" s="15"/>
      <c r="P558" s="15"/>
      <c r="Q558" s="16"/>
      <c r="R558" s="16"/>
      <c r="S558" s="16"/>
      <c r="T558" s="17"/>
      <c r="U558" s="11"/>
      <c r="V558" s="16"/>
      <c r="W558" s="11"/>
      <c r="X558" s="11"/>
      <c r="Y558" s="15"/>
      <c r="Z558" s="11"/>
    </row>
    <row r="559" spans="1:26" x14ac:dyDescent="0.25">
      <c r="A559" s="11"/>
      <c r="B559" s="11"/>
      <c r="C559" s="11"/>
      <c r="D559" s="11"/>
      <c r="E559" s="12"/>
      <c r="F559" s="13"/>
      <c r="G559" s="13"/>
      <c r="H559" s="13"/>
      <c r="I559" s="11"/>
      <c r="J559" s="11"/>
      <c r="K559" s="11"/>
      <c r="L559" s="11"/>
      <c r="M559" s="15"/>
      <c r="N559" s="15"/>
      <c r="O559" s="15"/>
      <c r="P559" s="15"/>
      <c r="Q559" s="16"/>
      <c r="R559" s="16"/>
      <c r="S559" s="16"/>
      <c r="T559" s="17"/>
      <c r="U559" s="11"/>
      <c r="V559" s="16"/>
      <c r="W559" s="11"/>
      <c r="X559" s="11"/>
      <c r="Y559" s="15"/>
      <c r="Z559" s="11"/>
    </row>
    <row r="560" spans="1:26" x14ac:dyDescent="0.25">
      <c r="A560" s="18"/>
      <c r="B560" s="18"/>
      <c r="C560" s="18"/>
      <c r="D560" s="18"/>
      <c r="E560" s="19"/>
      <c r="F560" s="20"/>
      <c r="G560" s="13"/>
      <c r="H560" s="20"/>
      <c r="I560" s="18"/>
      <c r="J560" s="18"/>
      <c r="K560" s="18"/>
      <c r="L560" s="18"/>
      <c r="M560" s="21"/>
      <c r="N560" s="21"/>
      <c r="O560" s="21"/>
      <c r="P560" s="21"/>
      <c r="Q560" s="22"/>
      <c r="R560" s="19"/>
      <c r="S560" s="22"/>
      <c r="T560" s="23"/>
      <c r="U560" s="18"/>
      <c r="V560" s="22"/>
      <c r="W560" s="18"/>
      <c r="X560" s="18"/>
      <c r="Y560" s="21"/>
      <c r="Z560" s="18"/>
    </row>
    <row r="561" spans="1:26" x14ac:dyDescent="0.25">
      <c r="A561" s="18"/>
      <c r="B561" s="18"/>
      <c r="C561" s="18"/>
      <c r="D561" s="18"/>
      <c r="E561" s="19"/>
      <c r="F561" s="20"/>
      <c r="G561" s="13"/>
      <c r="H561" s="20"/>
      <c r="I561" s="18"/>
      <c r="J561" s="18"/>
      <c r="K561" s="18"/>
      <c r="L561" s="18"/>
      <c r="M561" s="21"/>
      <c r="N561" s="21"/>
      <c r="O561" s="21"/>
      <c r="P561" s="21"/>
      <c r="Q561" s="22"/>
      <c r="R561" s="19"/>
      <c r="S561" s="22"/>
      <c r="T561" s="23"/>
      <c r="U561" s="18"/>
      <c r="V561" s="22"/>
      <c r="W561" s="18"/>
      <c r="X561" s="18"/>
      <c r="Y561" s="21"/>
      <c r="Z561" s="18"/>
    </row>
    <row r="562" spans="1:26" x14ac:dyDescent="0.25">
      <c r="A562" s="11"/>
      <c r="B562" s="11"/>
      <c r="C562" s="11"/>
      <c r="D562" s="11"/>
      <c r="E562" s="12"/>
      <c r="F562" s="13"/>
      <c r="G562" s="13"/>
      <c r="H562" s="13"/>
      <c r="I562" s="11"/>
      <c r="J562" s="11"/>
      <c r="K562" s="11"/>
      <c r="L562" s="11"/>
      <c r="M562" s="15"/>
      <c r="N562" s="15"/>
      <c r="O562" s="15"/>
      <c r="P562" s="15"/>
      <c r="Q562" s="16"/>
      <c r="R562" s="16"/>
      <c r="S562" s="16"/>
      <c r="T562" s="17"/>
      <c r="U562" s="11"/>
      <c r="V562" s="16"/>
      <c r="W562" s="11"/>
      <c r="X562" s="11"/>
      <c r="Y562" s="15"/>
      <c r="Z562" s="11"/>
    </row>
    <row r="563" spans="1:26" x14ac:dyDescent="0.25">
      <c r="A563" s="18"/>
      <c r="B563" s="18"/>
      <c r="C563" s="18"/>
      <c r="D563" s="18"/>
      <c r="E563" s="19"/>
      <c r="F563" s="20"/>
      <c r="G563" s="13"/>
      <c r="H563" s="20"/>
      <c r="I563" s="18"/>
      <c r="J563" s="18"/>
      <c r="K563" s="18"/>
      <c r="L563" s="18"/>
      <c r="M563" s="21"/>
      <c r="N563" s="21"/>
      <c r="O563" s="21"/>
      <c r="P563" s="21"/>
      <c r="Q563" s="22"/>
      <c r="R563" s="19"/>
      <c r="S563" s="22"/>
      <c r="T563" s="23"/>
      <c r="U563" s="18"/>
      <c r="V563" s="22"/>
      <c r="W563" s="18"/>
      <c r="X563" s="18"/>
      <c r="Y563" s="21"/>
      <c r="Z563" s="18"/>
    </row>
    <row r="564" spans="1:26" x14ac:dyDescent="0.25">
      <c r="A564" s="11"/>
      <c r="B564" s="11"/>
      <c r="C564" s="11"/>
      <c r="D564" s="11"/>
      <c r="E564" s="12"/>
      <c r="F564" s="13"/>
      <c r="G564" s="13"/>
      <c r="H564" s="13"/>
      <c r="I564" s="11"/>
      <c r="J564" s="11"/>
      <c r="K564" s="11"/>
      <c r="L564" s="11"/>
      <c r="M564" s="15"/>
      <c r="N564" s="15"/>
      <c r="O564" s="15"/>
      <c r="P564" s="15"/>
      <c r="Q564" s="16"/>
      <c r="R564" s="16"/>
      <c r="S564" s="16"/>
      <c r="T564" s="17"/>
      <c r="U564" s="11"/>
      <c r="V564" s="16"/>
      <c r="W564" s="11"/>
      <c r="X564" s="11"/>
      <c r="Y564" s="15"/>
      <c r="Z564" s="11"/>
    </row>
    <row r="565" spans="1:26" x14ac:dyDescent="0.25">
      <c r="A565" s="11"/>
      <c r="B565" s="11"/>
      <c r="C565" s="11"/>
      <c r="D565" s="11"/>
      <c r="E565" s="12"/>
      <c r="F565" s="13"/>
      <c r="G565" s="13"/>
      <c r="H565" s="13"/>
      <c r="I565" s="11"/>
      <c r="J565" s="11"/>
      <c r="K565" s="11"/>
      <c r="L565" s="11"/>
      <c r="M565" s="15"/>
      <c r="N565" s="15"/>
      <c r="O565" s="15"/>
      <c r="P565" s="15"/>
      <c r="Q565" s="16"/>
      <c r="R565" s="16"/>
      <c r="S565" s="16"/>
      <c r="T565" s="17"/>
      <c r="U565" s="11"/>
      <c r="V565" s="16"/>
      <c r="W565" s="11"/>
      <c r="X565" s="11"/>
      <c r="Y565" s="15"/>
      <c r="Z565" s="11"/>
    </row>
    <row r="566" spans="1:26" x14ac:dyDescent="0.25">
      <c r="A566" s="18"/>
      <c r="B566" s="18"/>
      <c r="C566" s="18"/>
      <c r="D566" s="18"/>
      <c r="E566" s="19"/>
      <c r="F566" s="20"/>
      <c r="G566" s="13"/>
      <c r="H566" s="20"/>
      <c r="I566" s="18"/>
      <c r="J566" s="18"/>
      <c r="K566" s="18"/>
      <c r="L566" s="18"/>
      <c r="M566" s="21"/>
      <c r="N566" s="21"/>
      <c r="O566" s="21"/>
      <c r="P566" s="21"/>
      <c r="Q566" s="22"/>
      <c r="R566" s="19"/>
      <c r="S566" s="22"/>
      <c r="T566" s="23"/>
      <c r="U566" s="18"/>
      <c r="V566" s="22"/>
      <c r="W566" s="18"/>
      <c r="X566" s="18"/>
      <c r="Y566" s="21"/>
      <c r="Z566" s="18"/>
    </row>
    <row r="567" spans="1:26" x14ac:dyDescent="0.25">
      <c r="A567" s="11"/>
      <c r="B567" s="11"/>
      <c r="C567" s="11"/>
      <c r="D567" s="11"/>
      <c r="E567" s="12"/>
      <c r="F567" s="13"/>
      <c r="G567" s="13"/>
      <c r="H567" s="13"/>
      <c r="I567" s="11"/>
      <c r="J567" s="11"/>
      <c r="K567" s="11"/>
      <c r="L567" s="11"/>
      <c r="M567" s="15"/>
      <c r="N567" s="15"/>
      <c r="O567" s="15"/>
      <c r="P567" s="15"/>
      <c r="Q567" s="16"/>
      <c r="R567" s="16"/>
      <c r="S567" s="16"/>
      <c r="T567" s="17"/>
      <c r="U567" s="11"/>
      <c r="V567" s="16"/>
      <c r="W567" s="11"/>
      <c r="X567" s="11"/>
      <c r="Y567" s="15"/>
      <c r="Z567" s="11"/>
    </row>
    <row r="568" spans="1:26" x14ac:dyDescent="0.25">
      <c r="A568" s="18"/>
      <c r="B568" s="18"/>
      <c r="C568" s="18"/>
      <c r="D568" s="18"/>
      <c r="E568" s="19"/>
      <c r="F568" s="20"/>
      <c r="G568" s="13"/>
      <c r="H568" s="20"/>
      <c r="I568" s="18"/>
      <c r="J568" s="18"/>
      <c r="K568" s="18"/>
      <c r="L568" s="18"/>
      <c r="M568" s="21"/>
      <c r="N568" s="21"/>
      <c r="O568" s="21"/>
      <c r="P568" s="21"/>
      <c r="Q568" s="22"/>
      <c r="R568" s="19"/>
      <c r="S568" s="22"/>
      <c r="T568" s="23"/>
      <c r="U568" s="18"/>
      <c r="V568" s="22"/>
      <c r="W568" s="18"/>
      <c r="X568" s="18"/>
      <c r="Y568" s="21"/>
      <c r="Z568" s="18"/>
    </row>
    <row r="569" spans="1:26" x14ac:dyDescent="0.25">
      <c r="A569" s="18"/>
      <c r="B569" s="18"/>
      <c r="C569" s="18"/>
      <c r="D569" s="18"/>
      <c r="E569" s="19"/>
      <c r="F569" s="20"/>
      <c r="G569" s="13"/>
      <c r="H569" s="20"/>
      <c r="I569" s="18"/>
      <c r="J569" s="18"/>
      <c r="K569" s="18"/>
      <c r="L569" s="18"/>
      <c r="M569" s="21"/>
      <c r="N569" s="21"/>
      <c r="O569" s="21"/>
      <c r="P569" s="21"/>
      <c r="Q569" s="22"/>
      <c r="R569" s="19"/>
      <c r="S569" s="22"/>
      <c r="T569" s="23"/>
      <c r="U569" s="18"/>
      <c r="V569" s="22"/>
      <c r="W569" s="18"/>
      <c r="X569" s="18"/>
      <c r="Y569" s="21"/>
      <c r="Z569" s="18"/>
    </row>
    <row r="570" spans="1:26" x14ac:dyDescent="0.25">
      <c r="A570" s="11"/>
      <c r="B570" s="11"/>
      <c r="C570" s="11"/>
      <c r="D570" s="11"/>
      <c r="E570" s="12"/>
      <c r="F570" s="13"/>
      <c r="G570" s="13"/>
      <c r="H570" s="13"/>
      <c r="I570" s="11"/>
      <c r="J570" s="11"/>
      <c r="K570" s="11"/>
      <c r="L570" s="11"/>
      <c r="M570" s="15"/>
      <c r="N570" s="15"/>
      <c r="O570" s="15"/>
      <c r="P570" s="15"/>
      <c r="Q570" s="16"/>
      <c r="R570" s="16"/>
      <c r="S570" s="16"/>
      <c r="T570" s="17"/>
      <c r="U570" s="11"/>
      <c r="V570" s="16"/>
      <c r="W570" s="11"/>
      <c r="X570" s="11"/>
      <c r="Y570" s="15"/>
      <c r="Z570" s="11"/>
    </row>
    <row r="571" spans="1:26" x14ac:dyDescent="0.25">
      <c r="A571" s="11"/>
      <c r="B571" s="11"/>
      <c r="C571" s="11"/>
      <c r="D571" s="11"/>
      <c r="E571" s="12"/>
      <c r="F571" s="13"/>
      <c r="G571" s="13"/>
      <c r="H571" s="13"/>
      <c r="I571" s="11"/>
      <c r="J571" s="11"/>
      <c r="K571" s="11"/>
      <c r="L571" s="11"/>
      <c r="M571" s="15"/>
      <c r="N571" s="15"/>
      <c r="O571" s="15"/>
      <c r="P571" s="15"/>
      <c r="Q571" s="16"/>
      <c r="R571" s="16"/>
      <c r="S571" s="16"/>
      <c r="T571" s="17"/>
      <c r="U571" s="11"/>
      <c r="V571" s="16"/>
      <c r="W571" s="11"/>
      <c r="X571" s="11"/>
      <c r="Y571" s="15"/>
      <c r="Z571" s="11"/>
    </row>
    <row r="572" spans="1:26" x14ac:dyDescent="0.25">
      <c r="A572" s="11"/>
      <c r="B572" s="11"/>
      <c r="C572" s="11"/>
      <c r="D572" s="11"/>
      <c r="E572" s="12"/>
      <c r="F572" s="13"/>
      <c r="G572" s="13"/>
      <c r="H572" s="13"/>
      <c r="I572" s="11"/>
      <c r="J572" s="11"/>
      <c r="K572" s="11"/>
      <c r="L572" s="11"/>
      <c r="M572" s="15"/>
      <c r="N572" s="15"/>
      <c r="O572" s="15"/>
      <c r="P572" s="15"/>
      <c r="Q572" s="16"/>
      <c r="R572" s="16"/>
      <c r="S572" s="16"/>
      <c r="T572" s="17"/>
      <c r="U572" s="11"/>
      <c r="V572" s="16"/>
      <c r="W572" s="11"/>
      <c r="X572" s="11"/>
      <c r="Y572" s="15"/>
      <c r="Z572" s="11"/>
    </row>
    <row r="573" spans="1:26" x14ac:dyDescent="0.25">
      <c r="A573" s="11"/>
      <c r="B573" s="11"/>
      <c r="C573" s="11"/>
      <c r="D573" s="11"/>
      <c r="E573" s="12"/>
      <c r="F573" s="13"/>
      <c r="G573" s="13"/>
      <c r="H573" s="13"/>
      <c r="I573" s="11"/>
      <c r="J573" s="11"/>
      <c r="K573" s="11"/>
      <c r="L573" s="11"/>
      <c r="M573" s="15"/>
      <c r="N573" s="15"/>
      <c r="O573" s="15"/>
      <c r="P573" s="15"/>
      <c r="Q573" s="16"/>
      <c r="R573" s="16"/>
      <c r="S573" s="16"/>
      <c r="T573" s="17"/>
      <c r="U573" s="11"/>
      <c r="V573" s="16"/>
      <c r="W573" s="11"/>
      <c r="X573" s="11"/>
      <c r="Y573" s="15"/>
      <c r="Z573" s="11"/>
    </row>
    <row r="574" spans="1:26" x14ac:dyDescent="0.25">
      <c r="A574" s="11"/>
      <c r="B574" s="11"/>
      <c r="C574" s="11"/>
      <c r="D574" s="11"/>
      <c r="E574" s="12"/>
      <c r="F574" s="13"/>
      <c r="G574" s="13"/>
      <c r="H574" s="13"/>
      <c r="I574" s="11"/>
      <c r="J574" s="11"/>
      <c r="K574" s="11"/>
      <c r="L574" s="11"/>
      <c r="M574" s="15"/>
      <c r="N574" s="15"/>
      <c r="O574" s="15"/>
      <c r="P574" s="15"/>
      <c r="Q574" s="16"/>
      <c r="R574" s="16"/>
      <c r="S574" s="16"/>
      <c r="T574" s="17"/>
      <c r="U574" s="11"/>
      <c r="V574" s="16"/>
      <c r="W574" s="11"/>
      <c r="X574" s="11"/>
      <c r="Y574" s="15"/>
      <c r="Z574" s="11"/>
    </row>
    <row r="575" spans="1:26" x14ac:dyDescent="0.25">
      <c r="A575" s="11"/>
      <c r="B575" s="11"/>
      <c r="C575" s="11"/>
      <c r="D575" s="11"/>
      <c r="E575" s="12"/>
      <c r="F575" s="13"/>
      <c r="G575" s="13"/>
      <c r="H575" s="13"/>
      <c r="I575" s="11"/>
      <c r="J575" s="11"/>
      <c r="K575" s="11"/>
      <c r="L575" s="11"/>
      <c r="M575" s="15"/>
      <c r="N575" s="15"/>
      <c r="O575" s="15"/>
      <c r="P575" s="15"/>
      <c r="Q575" s="16"/>
      <c r="R575" s="16"/>
      <c r="S575" s="16"/>
      <c r="T575" s="17"/>
      <c r="U575" s="11"/>
      <c r="V575" s="16"/>
      <c r="W575" s="11"/>
      <c r="X575" s="11"/>
      <c r="Y575" s="15"/>
      <c r="Z575" s="11"/>
    </row>
    <row r="576" spans="1:26" x14ac:dyDescent="0.25">
      <c r="A576" s="11"/>
      <c r="B576" s="11"/>
      <c r="C576" s="11"/>
      <c r="D576" s="11"/>
      <c r="E576" s="12"/>
      <c r="F576" s="13"/>
      <c r="G576" s="13"/>
      <c r="H576" s="13"/>
      <c r="I576" s="11"/>
      <c r="J576" s="11"/>
      <c r="K576" s="11"/>
      <c r="L576" s="11"/>
      <c r="M576" s="15"/>
      <c r="N576" s="15"/>
      <c r="O576" s="15"/>
      <c r="P576" s="15"/>
      <c r="Q576" s="16"/>
      <c r="R576" s="16"/>
      <c r="S576" s="16"/>
      <c r="T576" s="17"/>
      <c r="U576" s="11"/>
      <c r="V576" s="16"/>
      <c r="W576" s="11"/>
      <c r="X576" s="11"/>
      <c r="Y576" s="15"/>
      <c r="Z576" s="11"/>
    </row>
    <row r="577" spans="1:26" x14ac:dyDescent="0.25">
      <c r="A577" s="11"/>
      <c r="B577" s="11"/>
      <c r="C577" s="11"/>
      <c r="D577" s="11"/>
      <c r="E577" s="12"/>
      <c r="F577" s="13"/>
      <c r="G577" s="13"/>
      <c r="H577" s="13"/>
      <c r="I577" s="11"/>
      <c r="J577" s="11"/>
      <c r="K577" s="11"/>
      <c r="L577" s="11"/>
      <c r="M577" s="15"/>
      <c r="N577" s="15"/>
      <c r="O577" s="15"/>
      <c r="P577" s="15"/>
      <c r="Q577" s="16"/>
      <c r="R577" s="16"/>
      <c r="S577" s="16"/>
      <c r="T577" s="17"/>
      <c r="U577" s="11"/>
      <c r="V577" s="16"/>
      <c r="W577" s="11"/>
      <c r="X577" s="11"/>
      <c r="Y577" s="15"/>
      <c r="Z577" s="11"/>
    </row>
    <row r="578" spans="1:26" x14ac:dyDescent="0.25">
      <c r="A578" s="11"/>
      <c r="B578" s="11"/>
      <c r="C578" s="11"/>
      <c r="D578" s="11"/>
      <c r="E578" s="12"/>
      <c r="F578" s="13"/>
      <c r="G578" s="13"/>
      <c r="H578" s="13"/>
      <c r="I578" s="11"/>
      <c r="J578" s="11"/>
      <c r="K578" s="11"/>
      <c r="L578" s="11"/>
      <c r="M578" s="15"/>
      <c r="N578" s="15"/>
      <c r="O578" s="15"/>
      <c r="P578" s="15"/>
      <c r="Q578" s="16"/>
      <c r="R578" s="16"/>
      <c r="S578" s="16"/>
      <c r="T578" s="17"/>
      <c r="U578" s="11"/>
      <c r="V578" s="16"/>
      <c r="W578" s="11"/>
      <c r="X578" s="11"/>
      <c r="Y578" s="15"/>
      <c r="Z578" s="11"/>
    </row>
    <row r="579" spans="1:26" x14ac:dyDescent="0.25">
      <c r="A579" s="11"/>
      <c r="B579" s="11"/>
      <c r="C579" s="11"/>
      <c r="D579" s="11"/>
      <c r="E579" s="12"/>
      <c r="F579" s="13"/>
      <c r="G579" s="13"/>
      <c r="H579" s="13"/>
      <c r="I579" s="11"/>
      <c r="J579" s="11"/>
      <c r="K579" s="11"/>
      <c r="L579" s="11"/>
      <c r="M579" s="15"/>
      <c r="N579" s="15"/>
      <c r="O579" s="15"/>
      <c r="P579" s="15"/>
      <c r="Q579" s="16"/>
      <c r="R579" s="16"/>
      <c r="S579" s="16"/>
      <c r="T579" s="17"/>
      <c r="U579" s="11"/>
      <c r="V579" s="16"/>
      <c r="W579" s="11"/>
      <c r="X579" s="11"/>
      <c r="Y579" s="15"/>
      <c r="Z579" s="11"/>
    </row>
    <row r="580" spans="1:26" x14ac:dyDescent="0.25">
      <c r="A580" s="11"/>
      <c r="B580" s="11"/>
      <c r="C580" s="11"/>
      <c r="D580" s="11"/>
      <c r="E580" s="12"/>
      <c r="F580" s="13"/>
      <c r="G580" s="13"/>
      <c r="H580" s="13"/>
      <c r="I580" s="11"/>
      <c r="J580" s="11"/>
      <c r="K580" s="11"/>
      <c r="L580" s="11"/>
      <c r="M580" s="15"/>
      <c r="N580" s="15"/>
      <c r="O580" s="15"/>
      <c r="P580" s="15"/>
      <c r="Q580" s="16"/>
      <c r="R580" s="16"/>
      <c r="S580" s="16"/>
      <c r="T580" s="17"/>
      <c r="U580" s="11"/>
      <c r="V580" s="16"/>
      <c r="W580" s="11"/>
      <c r="X580" s="11"/>
      <c r="Y580" s="15"/>
      <c r="Z580" s="11"/>
    </row>
    <row r="581" spans="1:26" x14ac:dyDescent="0.25">
      <c r="A581" s="11"/>
      <c r="B581" s="11"/>
      <c r="C581" s="11"/>
      <c r="D581" s="11"/>
      <c r="E581" s="12"/>
      <c r="F581" s="13"/>
      <c r="G581" s="13"/>
      <c r="H581" s="13"/>
      <c r="I581" s="11"/>
      <c r="J581" s="11"/>
      <c r="K581" s="11"/>
      <c r="L581" s="11"/>
      <c r="M581" s="15"/>
      <c r="N581" s="15"/>
      <c r="O581" s="15"/>
      <c r="P581" s="15"/>
      <c r="Q581" s="16"/>
      <c r="R581" s="16"/>
      <c r="S581" s="16"/>
      <c r="T581" s="17"/>
      <c r="U581" s="11"/>
      <c r="V581" s="16"/>
      <c r="W581" s="11"/>
      <c r="X581" s="11"/>
      <c r="Y581" s="15"/>
      <c r="Z581" s="11"/>
    </row>
    <row r="582" spans="1:26" x14ac:dyDescent="0.25">
      <c r="A582" s="11"/>
      <c r="B582" s="11"/>
      <c r="C582" s="11"/>
      <c r="D582" s="11"/>
      <c r="E582" s="12"/>
      <c r="F582" s="13"/>
      <c r="G582" s="13"/>
      <c r="H582" s="13"/>
      <c r="I582" s="11"/>
      <c r="J582" s="11"/>
      <c r="K582" s="11"/>
      <c r="L582" s="11"/>
      <c r="M582" s="15"/>
      <c r="N582" s="15"/>
      <c r="O582" s="15"/>
      <c r="P582" s="15"/>
      <c r="Q582" s="16"/>
      <c r="R582" s="16"/>
      <c r="S582" s="16"/>
      <c r="T582" s="17"/>
      <c r="U582" s="11"/>
      <c r="V582" s="16"/>
      <c r="W582" s="11"/>
      <c r="X582" s="11"/>
      <c r="Y582" s="15"/>
      <c r="Z582" s="11"/>
    </row>
    <row r="583" spans="1:26" x14ac:dyDescent="0.25">
      <c r="A583" s="11"/>
      <c r="B583" s="11"/>
      <c r="C583" s="11"/>
      <c r="D583" s="11"/>
      <c r="E583" s="12"/>
      <c r="F583" s="13"/>
      <c r="G583" s="13"/>
      <c r="H583" s="13"/>
      <c r="I583" s="11"/>
      <c r="J583" s="11"/>
      <c r="K583" s="11"/>
      <c r="L583" s="11"/>
      <c r="M583" s="15"/>
      <c r="N583" s="15"/>
      <c r="O583" s="15"/>
      <c r="P583" s="15"/>
      <c r="Q583" s="16"/>
      <c r="R583" s="16"/>
      <c r="S583" s="16"/>
      <c r="T583" s="17"/>
      <c r="U583" s="11"/>
      <c r="V583" s="16"/>
      <c r="W583" s="11"/>
      <c r="X583" s="11"/>
      <c r="Y583" s="15"/>
      <c r="Z583" s="11"/>
    </row>
    <row r="584" spans="1:26" x14ac:dyDescent="0.25">
      <c r="A584" s="11"/>
      <c r="B584" s="11"/>
      <c r="C584" s="11"/>
      <c r="D584" s="11"/>
      <c r="E584" s="12"/>
      <c r="F584" s="13"/>
      <c r="G584" s="13"/>
      <c r="H584" s="13"/>
      <c r="I584" s="11"/>
      <c r="J584" s="11"/>
      <c r="K584" s="11"/>
      <c r="L584" s="11"/>
      <c r="M584" s="15"/>
      <c r="N584" s="15"/>
      <c r="O584" s="15"/>
      <c r="P584" s="15"/>
      <c r="Q584" s="16"/>
      <c r="R584" s="16"/>
      <c r="S584" s="16"/>
      <c r="T584" s="17"/>
      <c r="U584" s="11"/>
      <c r="V584" s="16"/>
      <c r="W584" s="11"/>
      <c r="X584" s="11"/>
      <c r="Y584" s="15"/>
      <c r="Z584" s="11"/>
    </row>
    <row r="585" spans="1:26" x14ac:dyDescent="0.25">
      <c r="A585" s="11"/>
      <c r="B585" s="11"/>
      <c r="C585" s="11"/>
      <c r="D585" s="11"/>
      <c r="E585" s="12"/>
      <c r="F585" s="13"/>
      <c r="G585" s="13"/>
      <c r="H585" s="13"/>
      <c r="I585" s="11"/>
      <c r="J585" s="11"/>
      <c r="K585" s="11"/>
      <c r="L585" s="11"/>
      <c r="M585" s="15"/>
      <c r="N585" s="15"/>
      <c r="O585" s="15"/>
      <c r="P585" s="15"/>
      <c r="Q585" s="16"/>
      <c r="R585" s="16"/>
      <c r="S585" s="16"/>
      <c r="T585" s="17"/>
      <c r="U585" s="11"/>
      <c r="V585" s="16"/>
      <c r="W585" s="11"/>
      <c r="X585" s="11"/>
      <c r="Y585" s="15"/>
      <c r="Z585" s="11"/>
    </row>
    <row r="586" spans="1:26" x14ac:dyDescent="0.25">
      <c r="A586" s="18"/>
      <c r="B586" s="18"/>
      <c r="C586" s="18"/>
      <c r="D586" s="18"/>
      <c r="E586" s="19"/>
      <c r="F586" s="20"/>
      <c r="G586" s="13"/>
      <c r="H586" s="20"/>
      <c r="I586" s="18"/>
      <c r="J586" s="18"/>
      <c r="K586" s="18"/>
      <c r="L586" s="18"/>
      <c r="M586" s="21"/>
      <c r="N586" s="21"/>
      <c r="O586" s="21"/>
      <c r="P586" s="21"/>
      <c r="Q586" s="22"/>
      <c r="R586" s="19"/>
      <c r="S586" s="22"/>
      <c r="T586" s="23"/>
      <c r="U586" s="18"/>
      <c r="V586" s="22"/>
      <c r="W586" s="18"/>
      <c r="X586" s="18"/>
      <c r="Y586" s="21"/>
      <c r="Z586" s="18"/>
    </row>
    <row r="587" spans="1:26" x14ac:dyDescent="0.25">
      <c r="A587" s="11"/>
      <c r="B587" s="11"/>
      <c r="C587" s="11"/>
      <c r="D587" s="11"/>
      <c r="E587" s="12"/>
      <c r="F587" s="13"/>
      <c r="G587" s="13"/>
      <c r="H587" s="13"/>
      <c r="I587" s="11"/>
      <c r="J587" s="11"/>
      <c r="K587" s="11"/>
      <c r="L587" s="11"/>
      <c r="M587" s="15"/>
      <c r="N587" s="15"/>
      <c r="O587" s="15"/>
      <c r="P587" s="15"/>
      <c r="Q587" s="16"/>
      <c r="R587" s="16"/>
      <c r="S587" s="16"/>
      <c r="T587" s="17"/>
      <c r="U587" s="11"/>
      <c r="V587" s="16"/>
      <c r="W587" s="11"/>
      <c r="X587" s="11"/>
      <c r="Y587" s="15"/>
      <c r="Z587" s="11"/>
    </row>
    <row r="588" spans="1:26" x14ac:dyDescent="0.25">
      <c r="A588" s="11"/>
      <c r="B588" s="11"/>
      <c r="C588" s="11"/>
      <c r="D588" s="11"/>
      <c r="E588" s="12"/>
      <c r="F588" s="13"/>
      <c r="G588" s="13"/>
      <c r="H588" s="13"/>
      <c r="I588" s="11"/>
      <c r="J588" s="11"/>
      <c r="K588" s="11"/>
      <c r="L588" s="11"/>
      <c r="M588" s="15"/>
      <c r="N588" s="15"/>
      <c r="O588" s="15"/>
      <c r="P588" s="15"/>
      <c r="Q588" s="16"/>
      <c r="R588" s="16"/>
      <c r="S588" s="16"/>
      <c r="T588" s="17"/>
      <c r="U588" s="11"/>
      <c r="V588" s="16"/>
      <c r="W588" s="11"/>
      <c r="X588" s="11"/>
      <c r="Y588" s="15"/>
      <c r="Z588" s="11"/>
    </row>
    <row r="589" spans="1:26" x14ac:dyDescent="0.25">
      <c r="A589" s="11"/>
      <c r="B589" s="11"/>
      <c r="C589" s="11"/>
      <c r="D589" s="11"/>
      <c r="E589" s="12"/>
      <c r="F589" s="13"/>
      <c r="G589" s="13"/>
      <c r="H589" s="13"/>
      <c r="I589" s="11"/>
      <c r="J589" s="11"/>
      <c r="K589" s="11"/>
      <c r="L589" s="11"/>
      <c r="M589" s="15"/>
      <c r="N589" s="15"/>
      <c r="O589" s="15"/>
      <c r="P589" s="15"/>
      <c r="Q589" s="16"/>
      <c r="R589" s="16"/>
      <c r="S589" s="16"/>
      <c r="T589" s="17"/>
      <c r="U589" s="11"/>
      <c r="V589" s="16"/>
      <c r="W589" s="11"/>
      <c r="X589" s="11"/>
      <c r="Y589" s="15"/>
      <c r="Z589" s="11"/>
    </row>
    <row r="590" spans="1:26" x14ac:dyDescent="0.25">
      <c r="A590" s="18"/>
      <c r="B590" s="18"/>
      <c r="C590" s="18"/>
      <c r="D590" s="18"/>
      <c r="E590" s="19"/>
      <c r="F590" s="20"/>
      <c r="G590" s="13"/>
      <c r="H590" s="20"/>
      <c r="I590" s="18"/>
      <c r="J590" s="18"/>
      <c r="K590" s="18"/>
      <c r="L590" s="18"/>
      <c r="M590" s="21"/>
      <c r="N590" s="21"/>
      <c r="O590" s="21"/>
      <c r="P590" s="21"/>
      <c r="Q590" s="22"/>
      <c r="R590" s="19"/>
      <c r="S590" s="22"/>
      <c r="T590" s="23"/>
      <c r="U590" s="18"/>
      <c r="V590" s="22"/>
      <c r="W590" s="18"/>
      <c r="X590" s="18"/>
      <c r="Y590" s="21"/>
      <c r="Z590" s="18"/>
    </row>
    <row r="591" spans="1:26" x14ac:dyDescent="0.25">
      <c r="A591" s="11"/>
      <c r="B591" s="11"/>
      <c r="C591" s="11"/>
      <c r="D591" s="11"/>
      <c r="E591" s="12"/>
      <c r="F591" s="13"/>
      <c r="G591" s="13"/>
      <c r="H591" s="13"/>
      <c r="I591" s="11"/>
      <c r="J591" s="11"/>
      <c r="K591" s="11"/>
      <c r="L591" s="11"/>
      <c r="M591" s="15"/>
      <c r="N591" s="15"/>
      <c r="O591" s="15"/>
      <c r="P591" s="15"/>
      <c r="Q591" s="16"/>
      <c r="R591" s="16"/>
      <c r="S591" s="16"/>
      <c r="T591" s="17"/>
      <c r="U591" s="11"/>
      <c r="V591" s="16"/>
      <c r="W591" s="11"/>
      <c r="X591" s="11"/>
      <c r="Y591" s="15"/>
      <c r="Z591" s="11"/>
    </row>
    <row r="592" spans="1:26" x14ac:dyDescent="0.25">
      <c r="A592" s="11"/>
      <c r="B592" s="11"/>
      <c r="C592" s="11"/>
      <c r="D592" s="11"/>
      <c r="E592" s="12"/>
      <c r="F592" s="13"/>
      <c r="G592" s="13"/>
      <c r="H592" s="13"/>
      <c r="I592" s="11"/>
      <c r="J592" s="11"/>
      <c r="K592" s="11"/>
      <c r="L592" s="11"/>
      <c r="M592" s="15"/>
      <c r="N592" s="15"/>
      <c r="O592" s="15"/>
      <c r="P592" s="15"/>
      <c r="Q592" s="16"/>
      <c r="R592" s="16"/>
      <c r="S592" s="16"/>
      <c r="T592" s="17"/>
      <c r="U592" s="11"/>
      <c r="V592" s="16"/>
      <c r="W592" s="11"/>
      <c r="X592" s="11"/>
      <c r="Y592" s="15"/>
      <c r="Z592" s="11"/>
    </row>
    <row r="593" spans="1:26" x14ac:dyDescent="0.25">
      <c r="A593" s="11"/>
      <c r="B593" s="11"/>
      <c r="C593" s="11"/>
      <c r="D593" s="11"/>
      <c r="E593" s="12"/>
      <c r="F593" s="13"/>
      <c r="G593" s="13"/>
      <c r="H593" s="13"/>
      <c r="I593" s="11"/>
      <c r="J593" s="11"/>
      <c r="K593" s="11"/>
      <c r="L593" s="11"/>
      <c r="M593" s="15"/>
      <c r="N593" s="15"/>
      <c r="O593" s="15"/>
      <c r="P593" s="15"/>
      <c r="Q593" s="16"/>
      <c r="R593" s="16"/>
      <c r="S593" s="16"/>
      <c r="T593" s="17"/>
      <c r="U593" s="11"/>
      <c r="V593" s="16"/>
      <c r="W593" s="11"/>
      <c r="X593" s="11"/>
      <c r="Y593" s="15"/>
      <c r="Z593" s="11"/>
    </row>
    <row r="594" spans="1:26" x14ac:dyDescent="0.25">
      <c r="A594" s="11"/>
      <c r="B594" s="11"/>
      <c r="C594" s="11"/>
      <c r="D594" s="11"/>
      <c r="E594" s="12"/>
      <c r="F594" s="13"/>
      <c r="G594" s="13"/>
      <c r="H594" s="13"/>
      <c r="I594" s="11"/>
      <c r="J594" s="11"/>
      <c r="K594" s="11"/>
      <c r="L594" s="11"/>
      <c r="M594" s="15"/>
      <c r="N594" s="15"/>
      <c r="O594" s="15"/>
      <c r="P594" s="15"/>
      <c r="Q594" s="16"/>
      <c r="R594" s="16"/>
      <c r="S594" s="16"/>
      <c r="T594" s="17"/>
      <c r="U594" s="11"/>
      <c r="V594" s="16"/>
      <c r="W594" s="11"/>
      <c r="X594" s="11"/>
      <c r="Y594" s="15"/>
      <c r="Z594" s="11"/>
    </row>
    <row r="595" spans="1:26" x14ac:dyDescent="0.25">
      <c r="A595" s="18"/>
      <c r="B595" s="18"/>
      <c r="C595" s="18"/>
      <c r="D595" s="18"/>
      <c r="E595" s="19"/>
      <c r="F595" s="20"/>
      <c r="G595" s="13"/>
      <c r="H595" s="20"/>
      <c r="I595" s="18"/>
      <c r="J595" s="18"/>
      <c r="K595" s="18"/>
      <c r="L595" s="18"/>
      <c r="M595" s="21"/>
      <c r="N595" s="21"/>
      <c r="O595" s="21"/>
      <c r="P595" s="21"/>
      <c r="Q595" s="22"/>
      <c r="R595" s="19"/>
      <c r="S595" s="22"/>
      <c r="T595" s="23"/>
      <c r="U595" s="18"/>
      <c r="V595" s="22"/>
      <c r="W595" s="18"/>
      <c r="X595" s="18"/>
      <c r="Y595" s="21"/>
      <c r="Z595" s="18"/>
    </row>
    <row r="596" spans="1:26" x14ac:dyDescent="0.25">
      <c r="A596" s="11"/>
      <c r="B596" s="11"/>
      <c r="C596" s="11"/>
      <c r="D596" s="11"/>
      <c r="E596" s="12"/>
      <c r="F596" s="13"/>
      <c r="G596" s="13"/>
      <c r="H596" s="13"/>
      <c r="I596" s="11"/>
      <c r="J596" s="11"/>
      <c r="K596" s="11"/>
      <c r="L596" s="11"/>
      <c r="M596" s="15"/>
      <c r="N596" s="15"/>
      <c r="O596" s="15"/>
      <c r="P596" s="15"/>
      <c r="Q596" s="16"/>
      <c r="R596" s="16"/>
      <c r="S596" s="16"/>
      <c r="T596" s="17"/>
      <c r="U596" s="11"/>
      <c r="V596" s="16"/>
      <c r="W596" s="11"/>
      <c r="X596" s="11"/>
      <c r="Y596" s="15"/>
      <c r="Z596" s="11"/>
    </row>
    <row r="597" spans="1:26" x14ac:dyDescent="0.25">
      <c r="A597" s="11"/>
      <c r="B597" s="11"/>
      <c r="C597" s="11"/>
      <c r="D597" s="11"/>
      <c r="E597" s="12"/>
      <c r="F597" s="13"/>
      <c r="G597" s="13"/>
      <c r="H597" s="13"/>
      <c r="I597" s="11"/>
      <c r="J597" s="11"/>
      <c r="K597" s="11"/>
      <c r="L597" s="11"/>
      <c r="M597" s="15"/>
      <c r="N597" s="15"/>
      <c r="O597" s="15"/>
      <c r="P597" s="15"/>
      <c r="Q597" s="16"/>
      <c r="R597" s="16"/>
      <c r="S597" s="16"/>
      <c r="T597" s="17"/>
      <c r="U597" s="11"/>
      <c r="V597" s="16"/>
      <c r="W597" s="11"/>
      <c r="X597" s="11"/>
      <c r="Y597" s="15"/>
      <c r="Z597" s="11"/>
    </row>
    <row r="598" spans="1:26" x14ac:dyDescent="0.25">
      <c r="A598" s="11"/>
      <c r="B598" s="11"/>
      <c r="C598" s="11"/>
      <c r="D598" s="11"/>
      <c r="E598" s="12"/>
      <c r="F598" s="13"/>
      <c r="G598" s="13"/>
      <c r="H598" s="13"/>
      <c r="I598" s="11"/>
      <c r="J598" s="11"/>
      <c r="K598" s="11"/>
      <c r="L598" s="11"/>
      <c r="M598" s="15"/>
      <c r="N598" s="15"/>
      <c r="O598" s="15"/>
      <c r="P598" s="15"/>
      <c r="Q598" s="16"/>
      <c r="R598" s="16"/>
      <c r="S598" s="16"/>
      <c r="T598" s="17"/>
      <c r="U598" s="11"/>
      <c r="V598" s="16"/>
      <c r="W598" s="11"/>
      <c r="X598" s="11"/>
      <c r="Y598" s="15"/>
      <c r="Z598" s="11"/>
    </row>
    <row r="599" spans="1:26" x14ac:dyDescent="0.25">
      <c r="A599" s="11"/>
      <c r="B599" s="11"/>
      <c r="C599" s="11"/>
      <c r="D599" s="11"/>
      <c r="E599" s="12"/>
      <c r="F599" s="13"/>
      <c r="G599" s="13"/>
      <c r="H599" s="13"/>
      <c r="I599" s="11"/>
      <c r="J599" s="11"/>
      <c r="K599" s="11"/>
      <c r="L599" s="11"/>
      <c r="M599" s="15"/>
      <c r="N599" s="15"/>
      <c r="O599" s="15"/>
      <c r="P599" s="15"/>
      <c r="Q599" s="16"/>
      <c r="R599" s="16"/>
      <c r="S599" s="16"/>
      <c r="T599" s="17"/>
      <c r="U599" s="11"/>
      <c r="V599" s="16"/>
      <c r="W599" s="11"/>
      <c r="X599" s="11"/>
      <c r="Y599" s="15"/>
      <c r="Z599" s="11"/>
    </row>
    <row r="600" spans="1:26" x14ac:dyDescent="0.25">
      <c r="A600" s="11"/>
      <c r="B600" s="11"/>
      <c r="C600" s="11"/>
      <c r="D600" s="11"/>
      <c r="E600" s="12"/>
      <c r="F600" s="13"/>
      <c r="G600" s="13"/>
      <c r="H600" s="13"/>
      <c r="I600" s="11"/>
      <c r="J600" s="11"/>
      <c r="K600" s="11"/>
      <c r="L600" s="11"/>
      <c r="M600" s="15"/>
      <c r="N600" s="15"/>
      <c r="O600" s="15"/>
      <c r="P600" s="15"/>
      <c r="Q600" s="16"/>
      <c r="R600" s="16"/>
      <c r="S600" s="16"/>
      <c r="T600" s="17"/>
      <c r="U600" s="11"/>
      <c r="V600" s="16"/>
      <c r="W600" s="11"/>
      <c r="X600" s="11"/>
      <c r="Y600" s="15"/>
      <c r="Z600" s="11"/>
    </row>
    <row r="601" spans="1:26" x14ac:dyDescent="0.25">
      <c r="A601" s="11"/>
      <c r="B601" s="11"/>
      <c r="C601" s="11"/>
      <c r="D601" s="11"/>
      <c r="E601" s="12"/>
      <c r="F601" s="13"/>
      <c r="G601" s="13"/>
      <c r="H601" s="13"/>
      <c r="I601" s="11"/>
      <c r="J601" s="11"/>
      <c r="K601" s="11"/>
      <c r="L601" s="11"/>
      <c r="M601" s="15"/>
      <c r="N601" s="15"/>
      <c r="O601" s="15"/>
      <c r="P601" s="15"/>
      <c r="Q601" s="16"/>
      <c r="R601" s="16"/>
      <c r="S601" s="16"/>
      <c r="T601" s="17"/>
      <c r="U601" s="11"/>
      <c r="V601" s="16"/>
      <c r="W601" s="11"/>
      <c r="X601" s="11"/>
      <c r="Y601" s="15"/>
      <c r="Z601" s="11"/>
    </row>
    <row r="602" spans="1:26" x14ac:dyDescent="0.25">
      <c r="A602" s="11"/>
      <c r="B602" s="11"/>
      <c r="C602" s="11"/>
      <c r="D602" s="11"/>
      <c r="E602" s="12"/>
      <c r="F602" s="13"/>
      <c r="G602" s="13"/>
      <c r="H602" s="13"/>
      <c r="I602" s="11"/>
      <c r="J602" s="11"/>
      <c r="K602" s="11"/>
      <c r="L602" s="11"/>
      <c r="M602" s="15"/>
      <c r="N602" s="15"/>
      <c r="O602" s="15"/>
      <c r="P602" s="15"/>
      <c r="Q602" s="16"/>
      <c r="R602" s="16"/>
      <c r="S602" s="16"/>
      <c r="T602" s="17"/>
      <c r="U602" s="11"/>
      <c r="V602" s="16"/>
      <c r="W602" s="11"/>
      <c r="X602" s="11"/>
      <c r="Y602" s="15"/>
      <c r="Z602" s="11"/>
    </row>
    <row r="603" spans="1:26" x14ac:dyDescent="0.25">
      <c r="A603" s="11"/>
      <c r="B603" s="11"/>
      <c r="C603" s="11"/>
      <c r="D603" s="11"/>
      <c r="E603" s="12"/>
      <c r="F603" s="13"/>
      <c r="G603" s="13"/>
      <c r="H603" s="13"/>
      <c r="I603" s="11"/>
      <c r="J603" s="11"/>
      <c r="K603" s="11"/>
      <c r="L603" s="11"/>
      <c r="M603" s="15"/>
      <c r="N603" s="15"/>
      <c r="O603" s="15"/>
      <c r="P603" s="15"/>
      <c r="Q603" s="16"/>
      <c r="R603" s="16"/>
      <c r="S603" s="16"/>
      <c r="T603" s="17"/>
      <c r="U603" s="11"/>
      <c r="V603" s="16"/>
      <c r="W603" s="11"/>
      <c r="X603" s="11"/>
      <c r="Y603" s="15"/>
      <c r="Z603" s="11"/>
    </row>
    <row r="604" spans="1:26" x14ac:dyDescent="0.25">
      <c r="A604" s="11"/>
      <c r="B604" s="11"/>
      <c r="C604" s="11"/>
      <c r="D604" s="11"/>
      <c r="E604" s="12"/>
      <c r="F604" s="13"/>
      <c r="G604" s="13"/>
      <c r="H604" s="13"/>
      <c r="I604" s="11"/>
      <c r="J604" s="11"/>
      <c r="K604" s="11"/>
      <c r="L604" s="11"/>
      <c r="M604" s="15"/>
      <c r="N604" s="15"/>
      <c r="O604" s="15"/>
      <c r="P604" s="15"/>
      <c r="Q604" s="16"/>
      <c r="R604" s="16"/>
      <c r="S604" s="16"/>
      <c r="T604" s="17"/>
      <c r="U604" s="11"/>
      <c r="V604" s="16"/>
      <c r="W604" s="11"/>
      <c r="X604" s="11"/>
      <c r="Y604" s="15"/>
      <c r="Z604" s="11"/>
    </row>
    <row r="605" spans="1:26" x14ac:dyDescent="0.25">
      <c r="A605" s="11"/>
      <c r="B605" s="11"/>
      <c r="C605" s="11"/>
      <c r="D605" s="11"/>
      <c r="E605" s="12"/>
      <c r="F605" s="13"/>
      <c r="G605" s="13"/>
      <c r="H605" s="13"/>
      <c r="I605" s="11"/>
      <c r="J605" s="11"/>
      <c r="K605" s="11"/>
      <c r="L605" s="11"/>
      <c r="M605" s="15"/>
      <c r="N605" s="15"/>
      <c r="O605" s="15"/>
      <c r="P605" s="15"/>
      <c r="Q605" s="16"/>
      <c r="R605" s="16"/>
      <c r="S605" s="16"/>
      <c r="T605" s="17"/>
      <c r="U605" s="11"/>
      <c r="V605" s="16"/>
      <c r="W605" s="11"/>
      <c r="X605" s="11"/>
      <c r="Y605" s="15"/>
      <c r="Z605" s="11"/>
    </row>
    <row r="606" spans="1:26" x14ac:dyDescent="0.25">
      <c r="A606" s="11"/>
      <c r="B606" s="11"/>
      <c r="C606" s="11"/>
      <c r="D606" s="11"/>
      <c r="E606" s="12"/>
      <c r="F606" s="13"/>
      <c r="G606" s="13"/>
      <c r="H606" s="13"/>
      <c r="I606" s="11"/>
      <c r="J606" s="11"/>
      <c r="K606" s="11"/>
      <c r="L606" s="11"/>
      <c r="M606" s="15"/>
      <c r="N606" s="15"/>
      <c r="O606" s="15"/>
      <c r="P606" s="15"/>
      <c r="Q606" s="16"/>
      <c r="R606" s="16"/>
      <c r="S606" s="16"/>
      <c r="T606" s="17"/>
      <c r="U606" s="11"/>
      <c r="V606" s="16"/>
      <c r="W606" s="11"/>
      <c r="X606" s="11"/>
      <c r="Y606" s="15"/>
      <c r="Z606" s="11"/>
    </row>
    <row r="607" spans="1:26" x14ac:dyDescent="0.25">
      <c r="A607" s="11"/>
      <c r="B607" s="11"/>
      <c r="C607" s="11"/>
      <c r="D607" s="11"/>
      <c r="E607" s="12"/>
      <c r="F607" s="13"/>
      <c r="G607" s="13"/>
      <c r="H607" s="13"/>
      <c r="I607" s="11"/>
      <c r="J607" s="11"/>
      <c r="K607" s="11"/>
      <c r="L607" s="11"/>
      <c r="M607" s="15"/>
      <c r="N607" s="15"/>
      <c r="O607" s="15"/>
      <c r="P607" s="15"/>
      <c r="Q607" s="16"/>
      <c r="R607" s="16"/>
      <c r="S607" s="16"/>
      <c r="T607" s="17"/>
      <c r="U607" s="11"/>
      <c r="V607" s="16"/>
      <c r="W607" s="11"/>
      <c r="X607" s="11"/>
      <c r="Y607" s="15"/>
      <c r="Z607" s="11"/>
    </row>
    <row r="608" spans="1:26" x14ac:dyDescent="0.25">
      <c r="A608" s="11"/>
      <c r="B608" s="11"/>
      <c r="C608" s="11"/>
      <c r="D608" s="11"/>
      <c r="E608" s="12"/>
      <c r="F608" s="13"/>
      <c r="G608" s="13"/>
      <c r="H608" s="13"/>
      <c r="I608" s="11"/>
      <c r="J608" s="11"/>
      <c r="K608" s="11"/>
      <c r="L608" s="11"/>
      <c r="M608" s="15"/>
      <c r="N608" s="15"/>
      <c r="O608" s="15"/>
      <c r="P608" s="15"/>
      <c r="Q608" s="16"/>
      <c r="R608" s="16"/>
      <c r="S608" s="16"/>
      <c r="T608" s="17"/>
      <c r="U608" s="11"/>
      <c r="V608" s="16"/>
      <c r="W608" s="11"/>
      <c r="X608" s="11"/>
      <c r="Y608" s="15"/>
      <c r="Z608" s="11"/>
    </row>
    <row r="609" spans="1:26" x14ac:dyDescent="0.25">
      <c r="A609" s="11"/>
      <c r="B609" s="11"/>
      <c r="C609" s="11"/>
      <c r="D609" s="11"/>
      <c r="E609" s="12"/>
      <c r="F609" s="13"/>
      <c r="G609" s="13"/>
      <c r="H609" s="13"/>
      <c r="I609" s="11"/>
      <c r="J609" s="11"/>
      <c r="K609" s="11"/>
      <c r="L609" s="11"/>
      <c r="M609" s="15"/>
      <c r="N609" s="15"/>
      <c r="O609" s="15"/>
      <c r="P609" s="15"/>
      <c r="Q609" s="16"/>
      <c r="R609" s="16"/>
      <c r="S609" s="16"/>
      <c r="T609" s="17"/>
      <c r="U609" s="11"/>
      <c r="V609" s="16"/>
      <c r="W609" s="11"/>
      <c r="X609" s="11"/>
      <c r="Y609" s="15"/>
      <c r="Z609" s="11"/>
    </row>
    <row r="610" spans="1:26" x14ac:dyDescent="0.25">
      <c r="A610" s="11"/>
      <c r="B610" s="11"/>
      <c r="C610" s="11"/>
      <c r="D610" s="11"/>
      <c r="E610" s="12"/>
      <c r="F610" s="13"/>
      <c r="G610" s="13"/>
      <c r="H610" s="13"/>
      <c r="I610" s="11"/>
      <c r="J610" s="11"/>
      <c r="K610" s="11"/>
      <c r="L610" s="11"/>
      <c r="M610" s="15"/>
      <c r="N610" s="15"/>
      <c r="O610" s="15"/>
      <c r="P610" s="15"/>
      <c r="Q610" s="16"/>
      <c r="R610" s="16"/>
      <c r="S610" s="16"/>
      <c r="T610" s="17"/>
      <c r="U610" s="11"/>
      <c r="V610" s="16"/>
      <c r="W610" s="11"/>
      <c r="X610" s="11"/>
      <c r="Y610" s="15"/>
      <c r="Z610" s="11"/>
    </row>
    <row r="611" spans="1:26" x14ac:dyDescent="0.25">
      <c r="A611" s="11"/>
      <c r="B611" s="11"/>
      <c r="C611" s="11"/>
      <c r="D611" s="11"/>
      <c r="E611" s="12"/>
      <c r="F611" s="13"/>
      <c r="G611" s="13"/>
      <c r="H611" s="13"/>
      <c r="I611" s="11"/>
      <c r="J611" s="11"/>
      <c r="K611" s="11"/>
      <c r="L611" s="11"/>
      <c r="M611" s="15"/>
      <c r="N611" s="15"/>
      <c r="O611" s="15"/>
      <c r="P611" s="15"/>
      <c r="Q611" s="16"/>
      <c r="R611" s="16"/>
      <c r="S611" s="16"/>
      <c r="T611" s="17"/>
      <c r="U611" s="11"/>
      <c r="V611" s="16"/>
      <c r="W611" s="11"/>
      <c r="X611" s="11"/>
      <c r="Y611" s="15"/>
      <c r="Z611" s="11"/>
    </row>
    <row r="612" spans="1:26" x14ac:dyDescent="0.25">
      <c r="A612" s="11"/>
      <c r="B612" s="11"/>
      <c r="C612" s="11"/>
      <c r="D612" s="11"/>
      <c r="E612" s="12"/>
      <c r="F612" s="13"/>
      <c r="G612" s="13"/>
      <c r="H612" s="13"/>
      <c r="I612" s="11"/>
      <c r="J612" s="11"/>
      <c r="K612" s="11"/>
      <c r="L612" s="11"/>
      <c r="M612" s="15"/>
      <c r="N612" s="15"/>
      <c r="O612" s="15"/>
      <c r="P612" s="15"/>
      <c r="Q612" s="16"/>
      <c r="R612" s="16"/>
      <c r="S612" s="16"/>
      <c r="T612" s="17"/>
      <c r="U612" s="11"/>
      <c r="V612" s="16"/>
      <c r="W612" s="11"/>
      <c r="X612" s="11"/>
      <c r="Y612" s="15"/>
      <c r="Z612" s="11"/>
    </row>
    <row r="613" spans="1:26" x14ac:dyDescent="0.25">
      <c r="A613" s="11"/>
      <c r="B613" s="11"/>
      <c r="C613" s="11"/>
      <c r="D613" s="11"/>
      <c r="E613" s="12"/>
      <c r="F613" s="13"/>
      <c r="G613" s="13"/>
      <c r="H613" s="13"/>
      <c r="I613" s="11"/>
      <c r="J613" s="11"/>
      <c r="K613" s="11"/>
      <c r="L613" s="11"/>
      <c r="M613" s="15"/>
      <c r="N613" s="15"/>
      <c r="O613" s="15"/>
      <c r="P613" s="15"/>
      <c r="Q613" s="16"/>
      <c r="R613" s="16"/>
      <c r="S613" s="16"/>
      <c r="T613" s="17"/>
      <c r="U613" s="11"/>
      <c r="V613" s="16"/>
      <c r="W613" s="11"/>
      <c r="X613" s="11"/>
      <c r="Y613" s="15"/>
      <c r="Z613" s="11"/>
    </row>
    <row r="614" spans="1:26" x14ac:dyDescent="0.25">
      <c r="A614" s="11"/>
      <c r="B614" s="11"/>
      <c r="C614" s="11"/>
      <c r="D614" s="11"/>
      <c r="E614" s="12"/>
      <c r="F614" s="13"/>
      <c r="G614" s="13"/>
      <c r="H614" s="13"/>
      <c r="I614" s="11"/>
      <c r="J614" s="11"/>
      <c r="K614" s="11"/>
      <c r="L614" s="11"/>
      <c r="M614" s="15"/>
      <c r="N614" s="15"/>
      <c r="O614" s="15"/>
      <c r="P614" s="15"/>
      <c r="Q614" s="16"/>
      <c r="R614" s="16"/>
      <c r="S614" s="16"/>
      <c r="T614" s="17"/>
      <c r="U614" s="11"/>
      <c r="V614" s="16"/>
      <c r="W614" s="11"/>
      <c r="X614" s="11"/>
      <c r="Y614" s="15"/>
      <c r="Z614" s="11"/>
    </row>
    <row r="615" spans="1:26" x14ac:dyDescent="0.25">
      <c r="A615" s="11"/>
      <c r="B615" s="11"/>
      <c r="C615" s="11"/>
      <c r="D615" s="11"/>
      <c r="E615" s="12"/>
      <c r="F615" s="13"/>
      <c r="G615" s="13"/>
      <c r="H615" s="13"/>
      <c r="I615" s="11"/>
      <c r="J615" s="11"/>
      <c r="K615" s="11"/>
      <c r="L615" s="11"/>
      <c r="M615" s="15"/>
      <c r="N615" s="15"/>
      <c r="O615" s="15"/>
      <c r="P615" s="15"/>
      <c r="Q615" s="16"/>
      <c r="R615" s="16"/>
      <c r="S615" s="16"/>
      <c r="T615" s="17"/>
      <c r="U615" s="11"/>
      <c r="V615" s="16"/>
      <c r="W615" s="11"/>
      <c r="X615" s="11"/>
      <c r="Y615" s="15"/>
      <c r="Z615" s="11"/>
    </row>
    <row r="616" spans="1:26" x14ac:dyDescent="0.25">
      <c r="A616" s="11"/>
      <c r="B616" s="11"/>
      <c r="C616" s="11"/>
      <c r="D616" s="11"/>
      <c r="E616" s="12"/>
      <c r="F616" s="13"/>
      <c r="G616" s="13"/>
      <c r="H616" s="13"/>
      <c r="I616" s="11"/>
      <c r="J616" s="11"/>
      <c r="K616" s="11"/>
      <c r="L616" s="11"/>
      <c r="M616" s="15"/>
      <c r="N616" s="15"/>
      <c r="O616" s="15"/>
      <c r="P616" s="15"/>
      <c r="Q616" s="16"/>
      <c r="R616" s="16"/>
      <c r="S616" s="16"/>
      <c r="T616" s="17"/>
      <c r="U616" s="11"/>
      <c r="V616" s="16"/>
      <c r="W616" s="11"/>
      <c r="X616" s="11"/>
      <c r="Y616" s="15"/>
      <c r="Z616" s="11"/>
    </row>
    <row r="617" spans="1:26" x14ac:dyDescent="0.25">
      <c r="A617" s="11"/>
      <c r="B617" s="11"/>
      <c r="C617" s="11"/>
      <c r="D617" s="11"/>
      <c r="E617" s="12"/>
      <c r="F617" s="13"/>
      <c r="G617" s="13"/>
      <c r="H617" s="13"/>
      <c r="I617" s="11"/>
      <c r="J617" s="11"/>
      <c r="K617" s="11"/>
      <c r="L617" s="11"/>
      <c r="M617" s="15"/>
      <c r="N617" s="15"/>
      <c r="O617" s="15"/>
      <c r="P617" s="15"/>
      <c r="Q617" s="16"/>
      <c r="R617" s="16"/>
      <c r="S617" s="16"/>
      <c r="T617" s="17"/>
      <c r="U617" s="11"/>
      <c r="V617" s="16"/>
      <c r="W617" s="11"/>
      <c r="X617" s="11"/>
      <c r="Y617" s="15"/>
      <c r="Z617" s="11"/>
    </row>
    <row r="618" spans="1:26" x14ac:dyDescent="0.25">
      <c r="A618" s="11"/>
      <c r="B618" s="11"/>
      <c r="C618" s="11"/>
      <c r="D618" s="11"/>
      <c r="E618" s="12"/>
      <c r="F618" s="13"/>
      <c r="G618" s="13"/>
      <c r="H618" s="13"/>
      <c r="I618" s="11"/>
      <c r="J618" s="11"/>
      <c r="K618" s="11"/>
      <c r="L618" s="11"/>
      <c r="M618" s="15"/>
      <c r="N618" s="15"/>
      <c r="O618" s="15"/>
      <c r="P618" s="15"/>
      <c r="Q618" s="16"/>
      <c r="R618" s="16"/>
      <c r="S618" s="16"/>
      <c r="T618" s="17"/>
      <c r="U618" s="11"/>
      <c r="V618" s="16"/>
      <c r="W618" s="11"/>
      <c r="X618" s="11"/>
      <c r="Y618" s="15"/>
      <c r="Z618" s="11"/>
    </row>
    <row r="619" spans="1:26" x14ac:dyDescent="0.25">
      <c r="A619" s="11"/>
      <c r="B619" s="11"/>
      <c r="C619" s="11"/>
      <c r="D619" s="11"/>
      <c r="E619" s="12"/>
      <c r="F619" s="13"/>
      <c r="G619" s="13"/>
      <c r="H619" s="13"/>
      <c r="I619" s="11"/>
      <c r="J619" s="11"/>
      <c r="K619" s="11"/>
      <c r="L619" s="11"/>
      <c r="M619" s="15"/>
      <c r="N619" s="15"/>
      <c r="O619" s="15"/>
      <c r="P619" s="15"/>
      <c r="Q619" s="16"/>
      <c r="R619" s="16"/>
      <c r="S619" s="16"/>
      <c r="T619" s="17"/>
      <c r="U619" s="11"/>
      <c r="V619" s="16"/>
      <c r="W619" s="11"/>
      <c r="X619" s="11"/>
      <c r="Y619" s="15"/>
      <c r="Z619" s="11"/>
    </row>
    <row r="620" spans="1:26" x14ac:dyDescent="0.25">
      <c r="A620" s="18"/>
      <c r="B620" s="18"/>
      <c r="C620" s="18"/>
      <c r="D620" s="18"/>
      <c r="E620" s="19"/>
      <c r="F620" s="20"/>
      <c r="G620" s="13"/>
      <c r="H620" s="20"/>
      <c r="I620" s="18"/>
      <c r="J620" s="18"/>
      <c r="K620" s="18"/>
      <c r="L620" s="18"/>
      <c r="M620" s="21"/>
      <c r="N620" s="21"/>
      <c r="O620" s="21"/>
      <c r="P620" s="21"/>
      <c r="Q620" s="22"/>
      <c r="R620" s="19"/>
      <c r="S620" s="22"/>
      <c r="T620" s="23"/>
      <c r="U620" s="18"/>
      <c r="V620" s="22"/>
      <c r="W620" s="18"/>
      <c r="X620" s="18"/>
      <c r="Y620" s="21"/>
      <c r="Z620" s="18"/>
    </row>
    <row r="621" spans="1:26" x14ac:dyDescent="0.25">
      <c r="A621" s="11"/>
      <c r="B621" s="11"/>
      <c r="C621" s="11"/>
      <c r="D621" s="11"/>
      <c r="E621" s="12"/>
      <c r="F621" s="13"/>
      <c r="G621" s="13"/>
      <c r="H621" s="13"/>
      <c r="I621" s="11"/>
      <c r="J621" s="11"/>
      <c r="K621" s="11"/>
      <c r="L621" s="11"/>
      <c r="M621" s="15"/>
      <c r="N621" s="15"/>
      <c r="O621" s="15"/>
      <c r="P621" s="15"/>
      <c r="Q621" s="16"/>
      <c r="R621" s="16"/>
      <c r="S621" s="16"/>
      <c r="T621" s="17"/>
      <c r="U621" s="11"/>
      <c r="V621" s="16"/>
      <c r="W621" s="11"/>
      <c r="X621" s="11"/>
      <c r="Y621" s="15"/>
      <c r="Z621" s="11"/>
    </row>
    <row r="622" spans="1:26" x14ac:dyDescent="0.25">
      <c r="A622" s="11"/>
      <c r="B622" s="11"/>
      <c r="C622" s="11"/>
      <c r="D622" s="11"/>
      <c r="E622" s="12"/>
      <c r="F622" s="13"/>
      <c r="G622" s="13"/>
      <c r="H622" s="13"/>
      <c r="I622" s="11"/>
      <c r="J622" s="11"/>
      <c r="K622" s="11"/>
      <c r="L622" s="11"/>
      <c r="M622" s="15"/>
      <c r="N622" s="15"/>
      <c r="O622" s="15"/>
      <c r="P622" s="15"/>
      <c r="Q622" s="16"/>
      <c r="R622" s="16"/>
      <c r="S622" s="16"/>
      <c r="T622" s="17"/>
      <c r="U622" s="11"/>
      <c r="V622" s="16"/>
      <c r="W622" s="11"/>
      <c r="X622" s="11"/>
      <c r="Y622" s="15"/>
      <c r="Z622" s="11"/>
    </row>
    <row r="623" spans="1:26" x14ac:dyDescent="0.25">
      <c r="A623" s="11"/>
      <c r="B623" s="11"/>
      <c r="C623" s="11"/>
      <c r="D623" s="11"/>
      <c r="E623" s="12"/>
      <c r="F623" s="13"/>
      <c r="G623" s="13"/>
      <c r="H623" s="13"/>
      <c r="I623" s="11"/>
      <c r="J623" s="11"/>
      <c r="K623" s="11"/>
      <c r="L623" s="11"/>
      <c r="M623" s="15"/>
      <c r="N623" s="15"/>
      <c r="O623" s="15"/>
      <c r="P623" s="15"/>
      <c r="Q623" s="16"/>
      <c r="R623" s="16"/>
      <c r="S623" s="16"/>
      <c r="T623" s="17"/>
      <c r="U623" s="11"/>
      <c r="V623" s="16"/>
      <c r="W623" s="11"/>
      <c r="X623" s="11"/>
      <c r="Y623" s="15"/>
      <c r="Z623" s="11"/>
    </row>
    <row r="624" spans="1:26" x14ac:dyDescent="0.25">
      <c r="A624" s="11"/>
      <c r="B624" s="11"/>
      <c r="C624" s="11"/>
      <c r="D624" s="11"/>
      <c r="E624" s="12"/>
      <c r="F624" s="13"/>
      <c r="G624" s="13"/>
      <c r="H624" s="13"/>
      <c r="I624" s="11"/>
      <c r="J624" s="11"/>
      <c r="K624" s="11"/>
      <c r="L624" s="11"/>
      <c r="M624" s="15"/>
      <c r="N624" s="15"/>
      <c r="O624" s="15"/>
      <c r="P624" s="15"/>
      <c r="Q624" s="16"/>
      <c r="R624" s="16"/>
      <c r="S624" s="16"/>
      <c r="T624" s="17"/>
      <c r="U624" s="11"/>
      <c r="V624" s="16"/>
      <c r="W624" s="11"/>
      <c r="X624" s="11"/>
      <c r="Y624" s="15"/>
      <c r="Z624" s="11"/>
    </row>
    <row r="625" spans="1:26" x14ac:dyDescent="0.25">
      <c r="A625" s="11"/>
      <c r="B625" s="11"/>
      <c r="C625" s="11"/>
      <c r="D625" s="11"/>
      <c r="E625" s="12"/>
      <c r="F625" s="13"/>
      <c r="G625" s="13"/>
      <c r="H625" s="13"/>
      <c r="I625" s="11"/>
      <c r="J625" s="11"/>
      <c r="K625" s="11"/>
      <c r="L625" s="11"/>
      <c r="M625" s="15"/>
      <c r="N625" s="15"/>
      <c r="O625" s="15"/>
      <c r="P625" s="15"/>
      <c r="Q625" s="16"/>
      <c r="R625" s="16"/>
      <c r="S625" s="16"/>
      <c r="T625" s="17"/>
      <c r="U625" s="11"/>
      <c r="V625" s="16"/>
      <c r="W625" s="11"/>
      <c r="X625" s="11"/>
      <c r="Y625" s="15"/>
      <c r="Z625" s="11"/>
    </row>
    <row r="626" spans="1:26" x14ac:dyDescent="0.25">
      <c r="A626" s="11"/>
      <c r="B626" s="11"/>
      <c r="C626" s="11"/>
      <c r="D626" s="11"/>
      <c r="E626" s="12"/>
      <c r="F626" s="13"/>
      <c r="G626" s="13"/>
      <c r="H626" s="13"/>
      <c r="I626" s="11"/>
      <c r="J626" s="11"/>
      <c r="K626" s="11"/>
      <c r="L626" s="11"/>
      <c r="M626" s="15"/>
      <c r="N626" s="15"/>
      <c r="O626" s="15"/>
      <c r="P626" s="15"/>
      <c r="Q626" s="16"/>
      <c r="R626" s="16"/>
      <c r="S626" s="16"/>
      <c r="T626" s="17"/>
      <c r="U626" s="11"/>
      <c r="V626" s="16"/>
      <c r="W626" s="11"/>
      <c r="X626" s="11"/>
      <c r="Y626" s="15"/>
      <c r="Z626" s="11"/>
    </row>
    <row r="627" spans="1:26" x14ac:dyDescent="0.25">
      <c r="A627" s="18"/>
      <c r="B627" s="18"/>
      <c r="C627" s="18"/>
      <c r="D627" s="18"/>
      <c r="E627" s="19"/>
      <c r="F627" s="20"/>
      <c r="G627" s="13"/>
      <c r="H627" s="20"/>
      <c r="I627" s="18"/>
      <c r="J627" s="18"/>
      <c r="K627" s="18"/>
      <c r="L627" s="18"/>
      <c r="M627" s="21"/>
      <c r="N627" s="21"/>
      <c r="O627" s="21"/>
      <c r="P627" s="21"/>
      <c r="Q627" s="22"/>
      <c r="R627" s="19"/>
      <c r="S627" s="22"/>
      <c r="T627" s="23"/>
      <c r="U627" s="18"/>
      <c r="V627" s="22"/>
      <c r="W627" s="18"/>
      <c r="X627" s="18"/>
      <c r="Y627" s="21"/>
      <c r="Z627" s="18"/>
    </row>
    <row r="628" spans="1:26" x14ac:dyDescent="0.25">
      <c r="A628" s="18"/>
      <c r="B628" s="18"/>
      <c r="C628" s="18"/>
      <c r="D628" s="18"/>
      <c r="E628" s="19"/>
      <c r="F628" s="20"/>
      <c r="G628" s="13"/>
      <c r="H628" s="20"/>
      <c r="I628" s="18"/>
      <c r="J628" s="18"/>
      <c r="K628" s="18"/>
      <c r="L628" s="18"/>
      <c r="M628" s="21"/>
      <c r="N628" s="21"/>
      <c r="O628" s="21"/>
      <c r="P628" s="21"/>
      <c r="Q628" s="22"/>
      <c r="R628" s="19"/>
      <c r="S628" s="22"/>
      <c r="T628" s="23"/>
      <c r="U628" s="18"/>
      <c r="V628" s="22"/>
      <c r="W628" s="18"/>
      <c r="X628" s="18"/>
      <c r="Y628" s="21"/>
      <c r="Z628" s="18"/>
    </row>
    <row r="629" spans="1:26" x14ac:dyDescent="0.25">
      <c r="A629" s="18"/>
      <c r="B629" s="18"/>
      <c r="C629" s="18"/>
      <c r="D629" s="18"/>
      <c r="E629" s="19"/>
      <c r="F629" s="20"/>
      <c r="G629" s="13"/>
      <c r="H629" s="20"/>
      <c r="I629" s="18"/>
      <c r="J629" s="18"/>
      <c r="K629" s="18"/>
      <c r="L629" s="18"/>
      <c r="M629" s="21"/>
      <c r="N629" s="21"/>
      <c r="O629" s="21"/>
      <c r="P629" s="21"/>
      <c r="Q629" s="22"/>
      <c r="R629" s="19"/>
      <c r="S629" s="22"/>
      <c r="T629" s="23"/>
      <c r="U629" s="18"/>
      <c r="V629" s="22"/>
      <c r="W629" s="18"/>
      <c r="X629" s="18"/>
      <c r="Y629" s="21"/>
      <c r="Z629" s="18"/>
    </row>
    <row r="630" spans="1:26" x14ac:dyDescent="0.25">
      <c r="A630" s="11"/>
      <c r="B630" s="11"/>
      <c r="C630" s="11"/>
      <c r="D630" s="11"/>
      <c r="E630" s="12"/>
      <c r="F630" s="13"/>
      <c r="G630" s="13"/>
      <c r="H630" s="13"/>
      <c r="I630" s="11"/>
      <c r="J630" s="11"/>
      <c r="K630" s="11"/>
      <c r="L630" s="11"/>
      <c r="M630" s="15"/>
      <c r="N630" s="15"/>
      <c r="O630" s="15"/>
      <c r="P630" s="15"/>
      <c r="Q630" s="16"/>
      <c r="R630" s="16"/>
      <c r="S630" s="16"/>
      <c r="T630" s="17"/>
      <c r="U630" s="11"/>
      <c r="V630" s="16"/>
      <c r="W630" s="11"/>
      <c r="X630" s="11"/>
      <c r="Y630" s="15"/>
      <c r="Z630" s="11"/>
    </row>
    <row r="631" spans="1:26" x14ac:dyDescent="0.25">
      <c r="A631" s="11"/>
      <c r="B631" s="11"/>
      <c r="C631" s="11"/>
      <c r="D631" s="11"/>
      <c r="E631" s="12"/>
      <c r="F631" s="13"/>
      <c r="G631" s="13"/>
      <c r="H631" s="13"/>
      <c r="I631" s="11"/>
      <c r="J631" s="11"/>
      <c r="K631" s="11"/>
      <c r="L631" s="11"/>
      <c r="M631" s="15"/>
      <c r="N631" s="15"/>
      <c r="O631" s="15"/>
      <c r="P631" s="15"/>
      <c r="Q631" s="16"/>
      <c r="R631" s="16"/>
      <c r="S631" s="16"/>
      <c r="T631" s="17"/>
      <c r="U631" s="11"/>
      <c r="V631" s="16"/>
      <c r="W631" s="11"/>
      <c r="X631" s="11"/>
      <c r="Y631" s="15"/>
      <c r="Z631" s="11"/>
    </row>
    <row r="632" spans="1:26" x14ac:dyDescent="0.25">
      <c r="A632" s="11"/>
      <c r="B632" s="11"/>
      <c r="C632" s="11"/>
      <c r="D632" s="11"/>
      <c r="E632" s="12"/>
      <c r="F632" s="13"/>
      <c r="G632" s="13"/>
      <c r="H632" s="13"/>
      <c r="I632" s="11"/>
      <c r="J632" s="11"/>
      <c r="K632" s="11"/>
      <c r="L632" s="11"/>
      <c r="M632" s="15"/>
      <c r="N632" s="15"/>
      <c r="O632" s="15"/>
      <c r="P632" s="15"/>
      <c r="Q632" s="16"/>
      <c r="R632" s="16"/>
      <c r="S632" s="16"/>
      <c r="T632" s="17"/>
      <c r="U632" s="11"/>
      <c r="V632" s="16"/>
      <c r="W632" s="11"/>
      <c r="X632" s="11"/>
      <c r="Y632" s="15"/>
      <c r="Z632" s="11"/>
    </row>
    <row r="633" spans="1:26" x14ac:dyDescent="0.25">
      <c r="A633" s="18"/>
      <c r="B633" s="18"/>
      <c r="C633" s="18"/>
      <c r="D633" s="18"/>
      <c r="E633" s="19"/>
      <c r="F633" s="20"/>
      <c r="G633" s="13"/>
      <c r="H633" s="20"/>
      <c r="I633" s="18"/>
      <c r="J633" s="18"/>
      <c r="K633" s="18"/>
      <c r="L633" s="18"/>
      <c r="M633" s="21"/>
      <c r="N633" s="21"/>
      <c r="O633" s="21"/>
      <c r="P633" s="21"/>
      <c r="Q633" s="22"/>
      <c r="R633" s="19"/>
      <c r="S633" s="22"/>
      <c r="T633" s="23"/>
      <c r="U633" s="18"/>
      <c r="V633" s="22"/>
      <c r="W633" s="18"/>
      <c r="X633" s="18"/>
      <c r="Y633" s="21"/>
      <c r="Z633" s="18"/>
    </row>
    <row r="634" spans="1:26" x14ac:dyDescent="0.25">
      <c r="A634" s="11"/>
      <c r="B634" s="11"/>
      <c r="C634" s="11"/>
      <c r="D634" s="11"/>
      <c r="E634" s="12"/>
      <c r="F634" s="13"/>
      <c r="G634" s="13"/>
      <c r="H634" s="13"/>
      <c r="I634" s="11"/>
      <c r="J634" s="11"/>
      <c r="K634" s="11"/>
      <c r="L634" s="11"/>
      <c r="M634" s="15"/>
      <c r="N634" s="15"/>
      <c r="O634" s="15"/>
      <c r="P634" s="15"/>
      <c r="Q634" s="16"/>
      <c r="R634" s="16"/>
      <c r="S634" s="16"/>
      <c r="T634" s="17"/>
      <c r="U634" s="11"/>
      <c r="V634" s="16"/>
      <c r="W634" s="11"/>
      <c r="X634" s="11"/>
      <c r="Y634" s="15"/>
      <c r="Z634" s="11"/>
    </row>
    <row r="635" spans="1:26" x14ac:dyDescent="0.25">
      <c r="A635" s="11"/>
      <c r="B635" s="11"/>
      <c r="C635" s="11"/>
      <c r="D635" s="11"/>
      <c r="E635" s="12"/>
      <c r="F635" s="13"/>
      <c r="G635" s="13"/>
      <c r="H635" s="13"/>
      <c r="I635" s="11"/>
      <c r="J635" s="11"/>
      <c r="K635" s="11"/>
      <c r="L635" s="11"/>
      <c r="M635" s="15"/>
      <c r="N635" s="15"/>
      <c r="O635" s="15"/>
      <c r="P635" s="15"/>
      <c r="Q635" s="16"/>
      <c r="R635" s="16"/>
      <c r="S635" s="16"/>
      <c r="T635" s="17"/>
      <c r="U635" s="11"/>
      <c r="V635" s="16"/>
      <c r="W635" s="11"/>
      <c r="X635" s="11"/>
      <c r="Y635" s="15"/>
      <c r="Z635" s="11"/>
    </row>
    <row r="636" spans="1:26" x14ac:dyDescent="0.25">
      <c r="A636" s="11"/>
      <c r="B636" s="11"/>
      <c r="C636" s="11"/>
      <c r="D636" s="11"/>
      <c r="E636" s="12"/>
      <c r="F636" s="13"/>
      <c r="G636" s="13"/>
      <c r="H636" s="13"/>
      <c r="I636" s="11"/>
      <c r="J636" s="11"/>
      <c r="K636" s="11"/>
      <c r="L636" s="11"/>
      <c r="M636" s="15"/>
      <c r="N636" s="15"/>
      <c r="O636" s="15"/>
      <c r="P636" s="15"/>
      <c r="Q636" s="16"/>
      <c r="R636" s="16"/>
      <c r="S636" s="16"/>
      <c r="T636" s="17"/>
      <c r="U636" s="11"/>
      <c r="V636" s="16"/>
      <c r="W636" s="11"/>
      <c r="X636" s="11"/>
      <c r="Y636" s="15"/>
      <c r="Z636" s="11"/>
    </row>
    <row r="637" spans="1:26" x14ac:dyDescent="0.25">
      <c r="A637" s="18"/>
      <c r="B637" s="18"/>
      <c r="C637" s="18"/>
      <c r="D637" s="18"/>
      <c r="E637" s="19"/>
      <c r="F637" s="20"/>
      <c r="G637" s="13"/>
      <c r="H637" s="20"/>
      <c r="I637" s="18"/>
      <c r="J637" s="18"/>
      <c r="K637" s="18"/>
      <c r="L637" s="18"/>
      <c r="M637" s="21"/>
      <c r="N637" s="21"/>
      <c r="O637" s="21"/>
      <c r="P637" s="21"/>
      <c r="Q637" s="22"/>
      <c r="R637" s="19"/>
      <c r="S637" s="22"/>
      <c r="T637" s="23"/>
      <c r="U637" s="18"/>
      <c r="V637" s="22"/>
      <c r="W637" s="18"/>
      <c r="X637" s="18"/>
      <c r="Y637" s="21"/>
      <c r="Z637" s="18"/>
    </row>
    <row r="638" spans="1:26" x14ac:dyDescent="0.25">
      <c r="A638" s="18"/>
      <c r="B638" s="18"/>
      <c r="C638" s="18"/>
      <c r="D638" s="18"/>
      <c r="E638" s="19"/>
      <c r="F638" s="20"/>
      <c r="G638" s="13"/>
      <c r="H638" s="20"/>
      <c r="I638" s="18"/>
      <c r="J638" s="18"/>
      <c r="K638" s="18"/>
      <c r="L638" s="18"/>
      <c r="M638" s="21"/>
      <c r="N638" s="21"/>
      <c r="O638" s="21"/>
      <c r="P638" s="21"/>
      <c r="Q638" s="22"/>
      <c r="R638" s="19"/>
      <c r="S638" s="22"/>
      <c r="T638" s="23"/>
      <c r="U638" s="18"/>
      <c r="V638" s="22"/>
      <c r="W638" s="18"/>
      <c r="X638" s="18"/>
      <c r="Y638" s="21"/>
      <c r="Z638" s="18"/>
    </row>
    <row r="639" spans="1:26" x14ac:dyDescent="0.25">
      <c r="A639" s="11"/>
      <c r="B639" s="11"/>
      <c r="C639" s="11"/>
      <c r="D639" s="11"/>
      <c r="E639" s="12"/>
      <c r="F639" s="13"/>
      <c r="G639" s="13"/>
      <c r="H639" s="13"/>
      <c r="I639" s="11"/>
      <c r="J639" s="11"/>
      <c r="K639" s="11"/>
      <c r="L639" s="11"/>
      <c r="M639" s="15"/>
      <c r="N639" s="15"/>
      <c r="O639" s="15"/>
      <c r="P639" s="15"/>
      <c r="Q639" s="16"/>
      <c r="R639" s="16"/>
      <c r="S639" s="16"/>
      <c r="T639" s="17"/>
      <c r="U639" s="11"/>
      <c r="V639" s="16"/>
      <c r="W639" s="11"/>
      <c r="X639" s="11"/>
      <c r="Y639" s="15"/>
      <c r="Z639" s="11"/>
    </row>
    <row r="640" spans="1:26" x14ac:dyDescent="0.25">
      <c r="A640" s="11"/>
      <c r="B640" s="11"/>
      <c r="C640" s="11"/>
      <c r="D640" s="11"/>
      <c r="E640" s="12"/>
      <c r="F640" s="13"/>
      <c r="G640" s="13"/>
      <c r="H640" s="13"/>
      <c r="I640" s="11"/>
      <c r="J640" s="11"/>
      <c r="K640" s="11"/>
      <c r="L640" s="11"/>
      <c r="M640" s="15"/>
      <c r="N640" s="15"/>
      <c r="O640" s="15"/>
      <c r="P640" s="15"/>
      <c r="Q640" s="16"/>
      <c r="R640" s="16"/>
      <c r="S640" s="16"/>
      <c r="T640" s="17"/>
      <c r="U640" s="11"/>
      <c r="V640" s="16"/>
      <c r="W640" s="11"/>
      <c r="X640" s="11"/>
      <c r="Y640" s="15"/>
      <c r="Z640" s="11"/>
    </row>
    <row r="641" spans="1:26" x14ac:dyDescent="0.25">
      <c r="A641" s="18"/>
      <c r="B641" s="18"/>
      <c r="C641" s="18"/>
      <c r="D641" s="18"/>
      <c r="E641" s="19"/>
      <c r="F641" s="20"/>
      <c r="G641" s="13"/>
      <c r="H641" s="20"/>
      <c r="I641" s="18"/>
      <c r="J641" s="18"/>
      <c r="K641" s="18"/>
      <c r="L641" s="18"/>
      <c r="M641" s="21"/>
      <c r="N641" s="21"/>
      <c r="O641" s="21"/>
      <c r="P641" s="21"/>
      <c r="Q641" s="22"/>
      <c r="R641" s="19"/>
      <c r="S641" s="22"/>
      <c r="T641" s="23"/>
      <c r="U641" s="18"/>
      <c r="V641" s="22"/>
      <c r="W641" s="18"/>
      <c r="X641" s="18"/>
      <c r="Y641" s="21"/>
      <c r="Z641" s="18"/>
    </row>
    <row r="642" spans="1:26" x14ac:dyDescent="0.25">
      <c r="A642" s="18"/>
      <c r="B642" s="18"/>
      <c r="C642" s="18"/>
      <c r="D642" s="18"/>
      <c r="E642" s="19"/>
      <c r="F642" s="20"/>
      <c r="G642" s="13"/>
      <c r="H642" s="20"/>
      <c r="I642" s="18"/>
      <c r="J642" s="18"/>
      <c r="K642" s="18"/>
      <c r="L642" s="18"/>
      <c r="M642" s="21"/>
      <c r="N642" s="21"/>
      <c r="O642" s="21"/>
      <c r="P642" s="21"/>
      <c r="Q642" s="22"/>
      <c r="R642" s="19"/>
      <c r="S642" s="22"/>
      <c r="T642" s="23"/>
      <c r="U642" s="18"/>
      <c r="V642" s="22"/>
      <c r="W642" s="18"/>
      <c r="X642" s="18"/>
      <c r="Y642" s="21"/>
      <c r="Z642" s="18"/>
    </row>
    <row r="643" spans="1:26" x14ac:dyDescent="0.25">
      <c r="A643" s="18"/>
      <c r="B643" s="18"/>
      <c r="C643" s="18"/>
      <c r="D643" s="18"/>
      <c r="E643" s="19"/>
      <c r="F643" s="20"/>
      <c r="G643" s="13"/>
      <c r="H643" s="20"/>
      <c r="I643" s="18"/>
      <c r="J643" s="18"/>
      <c r="K643" s="18"/>
      <c r="L643" s="18"/>
      <c r="M643" s="21"/>
      <c r="N643" s="21"/>
      <c r="O643" s="21"/>
      <c r="P643" s="21"/>
      <c r="Q643" s="22"/>
      <c r="R643" s="19"/>
      <c r="S643" s="22"/>
      <c r="T643" s="23"/>
      <c r="U643" s="18"/>
      <c r="V643" s="22"/>
      <c r="W643" s="18"/>
      <c r="X643" s="18"/>
      <c r="Y643" s="21"/>
      <c r="Z643" s="18"/>
    </row>
    <row r="644" spans="1:26" x14ac:dyDescent="0.25">
      <c r="A644" s="11"/>
      <c r="B644" s="11"/>
      <c r="C644" s="11"/>
      <c r="D644" s="11"/>
      <c r="E644" s="12"/>
      <c r="F644" s="13"/>
      <c r="G644" s="13"/>
      <c r="H644" s="13"/>
      <c r="I644" s="11"/>
      <c r="J644" s="11"/>
      <c r="K644" s="11"/>
      <c r="L644" s="11"/>
      <c r="M644" s="15"/>
      <c r="N644" s="15"/>
      <c r="O644" s="15"/>
      <c r="P644" s="15"/>
      <c r="Q644" s="16"/>
      <c r="R644" s="16"/>
      <c r="S644" s="16"/>
      <c r="T644" s="17"/>
      <c r="U644" s="11"/>
      <c r="V644" s="16"/>
      <c r="W644" s="11"/>
      <c r="X644" s="11"/>
      <c r="Y644" s="15"/>
      <c r="Z644" s="11"/>
    </row>
    <row r="645" spans="1:26" x14ac:dyDescent="0.25">
      <c r="A645" s="11"/>
      <c r="B645" s="11"/>
      <c r="C645" s="11"/>
      <c r="D645" s="11"/>
      <c r="E645" s="12"/>
      <c r="F645" s="13"/>
      <c r="G645" s="13"/>
      <c r="H645" s="13"/>
      <c r="I645" s="11"/>
      <c r="J645" s="11"/>
      <c r="K645" s="11"/>
      <c r="L645" s="11"/>
      <c r="M645" s="15"/>
      <c r="N645" s="15"/>
      <c r="O645" s="15"/>
      <c r="P645" s="15"/>
      <c r="Q645" s="16"/>
      <c r="R645" s="16"/>
      <c r="S645" s="16"/>
      <c r="T645" s="17"/>
      <c r="U645" s="11"/>
      <c r="V645" s="16"/>
      <c r="W645" s="11"/>
      <c r="X645" s="11"/>
      <c r="Y645" s="15"/>
      <c r="Z645" s="11"/>
    </row>
    <row r="646" spans="1:26" x14ac:dyDescent="0.25">
      <c r="A646" s="11"/>
      <c r="B646" s="11"/>
      <c r="C646" s="11"/>
      <c r="D646" s="11"/>
      <c r="E646" s="12"/>
      <c r="F646" s="13"/>
      <c r="G646" s="13"/>
      <c r="H646" s="13"/>
      <c r="I646" s="11"/>
      <c r="J646" s="11"/>
      <c r="K646" s="11"/>
      <c r="L646" s="11"/>
      <c r="M646" s="15"/>
      <c r="N646" s="15"/>
      <c r="O646" s="15"/>
      <c r="P646" s="15"/>
      <c r="Q646" s="16"/>
      <c r="R646" s="16"/>
      <c r="S646" s="16"/>
      <c r="T646" s="17"/>
      <c r="U646" s="11"/>
      <c r="V646" s="16"/>
      <c r="W646" s="11"/>
      <c r="X646" s="11"/>
      <c r="Y646" s="15"/>
      <c r="Z646" s="11"/>
    </row>
    <row r="647" spans="1:26" x14ac:dyDescent="0.25">
      <c r="A647" s="18"/>
      <c r="B647" s="18"/>
      <c r="C647" s="18"/>
      <c r="D647" s="18"/>
      <c r="E647" s="19"/>
      <c r="F647" s="20"/>
      <c r="G647" s="13"/>
      <c r="H647" s="20"/>
      <c r="I647" s="18"/>
      <c r="J647" s="18"/>
      <c r="K647" s="18"/>
      <c r="L647" s="18"/>
      <c r="M647" s="21"/>
      <c r="N647" s="21"/>
      <c r="O647" s="21"/>
      <c r="P647" s="21"/>
      <c r="Q647" s="22"/>
      <c r="R647" s="19"/>
      <c r="S647" s="22"/>
      <c r="T647" s="23"/>
      <c r="U647" s="18"/>
      <c r="V647" s="22"/>
      <c r="W647" s="18"/>
      <c r="X647" s="18"/>
      <c r="Y647" s="21"/>
      <c r="Z647" s="18"/>
    </row>
    <row r="648" spans="1:26" x14ac:dyDescent="0.25">
      <c r="A648" s="11"/>
      <c r="B648" s="11"/>
      <c r="C648" s="11"/>
      <c r="D648" s="11"/>
      <c r="E648" s="12"/>
      <c r="F648" s="13"/>
      <c r="G648" s="13"/>
      <c r="H648" s="13"/>
      <c r="I648" s="11"/>
      <c r="J648" s="11"/>
      <c r="K648" s="11"/>
      <c r="L648" s="11"/>
      <c r="M648" s="15"/>
      <c r="N648" s="15"/>
      <c r="O648" s="15"/>
      <c r="P648" s="15"/>
      <c r="Q648" s="16"/>
      <c r="R648" s="16"/>
      <c r="S648" s="16"/>
      <c r="T648" s="17"/>
      <c r="U648" s="11"/>
      <c r="V648" s="16"/>
      <c r="W648" s="11"/>
      <c r="X648" s="11"/>
      <c r="Y648" s="15"/>
      <c r="Z648" s="11"/>
    </row>
    <row r="649" spans="1:26" x14ac:dyDescent="0.25">
      <c r="A649" s="11"/>
      <c r="B649" s="11"/>
      <c r="C649" s="11"/>
      <c r="D649" s="11"/>
      <c r="E649" s="12"/>
      <c r="F649" s="13"/>
      <c r="G649" s="13"/>
      <c r="H649" s="13"/>
      <c r="I649" s="11"/>
      <c r="J649" s="11"/>
      <c r="K649" s="11"/>
      <c r="L649" s="11"/>
      <c r="M649" s="15"/>
      <c r="N649" s="15"/>
      <c r="O649" s="15"/>
      <c r="P649" s="15"/>
      <c r="Q649" s="16"/>
      <c r="R649" s="16"/>
      <c r="S649" s="16"/>
      <c r="T649" s="17"/>
      <c r="U649" s="11"/>
      <c r="V649" s="16"/>
      <c r="W649" s="11"/>
      <c r="X649" s="11"/>
      <c r="Y649" s="15"/>
      <c r="Z649" s="11"/>
    </row>
    <row r="650" spans="1:26" x14ac:dyDescent="0.25">
      <c r="A650" s="18"/>
      <c r="B650" s="18"/>
      <c r="C650" s="18"/>
      <c r="D650" s="18"/>
      <c r="E650" s="19"/>
      <c r="F650" s="20"/>
      <c r="G650" s="13"/>
      <c r="H650" s="20"/>
      <c r="I650" s="18"/>
      <c r="J650" s="18"/>
      <c r="K650" s="18"/>
      <c r="L650" s="18"/>
      <c r="M650" s="21"/>
      <c r="N650" s="21"/>
      <c r="O650" s="21"/>
      <c r="P650" s="21"/>
      <c r="Q650" s="22"/>
      <c r="R650" s="19"/>
      <c r="S650" s="22"/>
      <c r="T650" s="23"/>
      <c r="U650" s="18"/>
      <c r="V650" s="22"/>
      <c r="W650" s="18"/>
      <c r="X650" s="18"/>
      <c r="Y650" s="21"/>
      <c r="Z650" s="18"/>
    </row>
    <row r="651" spans="1:26" x14ac:dyDescent="0.25">
      <c r="A651" s="11"/>
      <c r="B651" s="11"/>
      <c r="C651" s="11"/>
      <c r="D651" s="11"/>
      <c r="E651" s="12"/>
      <c r="F651" s="13"/>
      <c r="G651" s="13"/>
      <c r="H651" s="13"/>
      <c r="I651" s="11"/>
      <c r="J651" s="11"/>
      <c r="K651" s="11"/>
      <c r="L651" s="11"/>
      <c r="M651" s="15"/>
      <c r="N651" s="15"/>
      <c r="O651" s="15"/>
      <c r="P651" s="15"/>
      <c r="Q651" s="16"/>
      <c r="R651" s="16"/>
      <c r="S651" s="16"/>
      <c r="T651" s="17"/>
      <c r="U651" s="11"/>
      <c r="V651" s="16"/>
      <c r="W651" s="11"/>
      <c r="X651" s="11"/>
      <c r="Y651" s="15"/>
      <c r="Z651" s="11"/>
    </row>
    <row r="652" spans="1:26" x14ac:dyDescent="0.25">
      <c r="A652" s="11"/>
      <c r="B652" s="11"/>
      <c r="C652" s="11"/>
      <c r="D652" s="11"/>
      <c r="E652" s="12"/>
      <c r="F652" s="13"/>
      <c r="G652" s="13"/>
      <c r="H652" s="13"/>
      <c r="I652" s="11"/>
      <c r="J652" s="11"/>
      <c r="K652" s="11"/>
      <c r="L652" s="11"/>
      <c r="M652" s="15"/>
      <c r="N652" s="15"/>
      <c r="O652" s="15"/>
      <c r="P652" s="15"/>
      <c r="Q652" s="16"/>
      <c r="R652" s="16"/>
      <c r="S652" s="16"/>
      <c r="T652" s="17"/>
      <c r="U652" s="11"/>
      <c r="V652" s="16"/>
      <c r="W652" s="11"/>
      <c r="X652" s="11"/>
      <c r="Y652" s="15"/>
      <c r="Z652" s="11"/>
    </row>
    <row r="653" spans="1:26" x14ac:dyDescent="0.25">
      <c r="A653" s="18"/>
      <c r="B653" s="18"/>
      <c r="C653" s="18"/>
      <c r="D653" s="18"/>
      <c r="E653" s="19"/>
      <c r="F653" s="20"/>
      <c r="G653" s="13"/>
      <c r="H653" s="20"/>
      <c r="I653" s="18"/>
      <c r="J653" s="18"/>
      <c r="K653" s="18"/>
      <c r="L653" s="18"/>
      <c r="M653" s="21"/>
      <c r="N653" s="21"/>
      <c r="O653" s="21"/>
      <c r="P653" s="21"/>
      <c r="Q653" s="22"/>
      <c r="R653" s="19"/>
      <c r="S653" s="22"/>
      <c r="T653" s="23"/>
      <c r="U653" s="18"/>
      <c r="V653" s="22"/>
      <c r="W653" s="18"/>
      <c r="X653" s="18"/>
      <c r="Y653" s="21"/>
      <c r="Z653" s="18"/>
    </row>
    <row r="654" spans="1:26" x14ac:dyDescent="0.25">
      <c r="A654" s="11"/>
      <c r="B654" s="11"/>
      <c r="C654" s="11"/>
      <c r="D654" s="11"/>
      <c r="E654" s="12"/>
      <c r="F654" s="13"/>
      <c r="G654" s="13"/>
      <c r="H654" s="13"/>
      <c r="I654" s="11"/>
      <c r="J654" s="11"/>
      <c r="K654" s="11"/>
      <c r="L654" s="11"/>
      <c r="M654" s="15"/>
      <c r="N654" s="15"/>
      <c r="O654" s="15"/>
      <c r="P654" s="15"/>
      <c r="Q654" s="16"/>
      <c r="R654" s="16"/>
      <c r="S654" s="16"/>
      <c r="T654" s="17"/>
      <c r="U654" s="11"/>
      <c r="V654" s="16"/>
      <c r="W654" s="11"/>
      <c r="X654" s="11"/>
      <c r="Y654" s="15"/>
      <c r="Z654" s="11"/>
    </row>
    <row r="655" spans="1:26" x14ac:dyDescent="0.25">
      <c r="A655" s="11"/>
      <c r="B655" s="11"/>
      <c r="C655" s="11"/>
      <c r="D655" s="11"/>
      <c r="E655" s="12"/>
      <c r="F655" s="13"/>
      <c r="G655" s="13"/>
      <c r="H655" s="13"/>
      <c r="I655" s="11"/>
      <c r="J655" s="11"/>
      <c r="K655" s="11"/>
      <c r="L655" s="11"/>
      <c r="M655" s="15"/>
      <c r="N655" s="15"/>
      <c r="O655" s="15"/>
      <c r="P655" s="15"/>
      <c r="Q655" s="16"/>
      <c r="R655" s="16"/>
      <c r="S655" s="16"/>
      <c r="T655" s="17"/>
      <c r="U655" s="11"/>
      <c r="V655" s="16"/>
      <c r="W655" s="11"/>
      <c r="X655" s="11"/>
      <c r="Y655" s="15"/>
      <c r="Z655" s="11"/>
    </row>
    <row r="656" spans="1:26" x14ac:dyDescent="0.25">
      <c r="A656" s="11"/>
      <c r="B656" s="11"/>
      <c r="C656" s="11"/>
      <c r="D656" s="11"/>
      <c r="E656" s="12"/>
      <c r="F656" s="13"/>
      <c r="G656" s="13"/>
      <c r="H656" s="13"/>
      <c r="I656" s="11"/>
      <c r="J656" s="11"/>
      <c r="K656" s="11"/>
      <c r="L656" s="11"/>
      <c r="M656" s="15"/>
      <c r="N656" s="15"/>
      <c r="O656" s="15"/>
      <c r="P656" s="15"/>
      <c r="Q656" s="16"/>
      <c r="R656" s="16"/>
      <c r="S656" s="16"/>
      <c r="T656" s="17"/>
      <c r="U656" s="11"/>
      <c r="V656" s="16"/>
      <c r="W656" s="11"/>
      <c r="X656" s="11"/>
      <c r="Y656" s="15"/>
      <c r="Z656" s="11"/>
    </row>
    <row r="657" spans="1:26" x14ac:dyDescent="0.25">
      <c r="A657" s="11"/>
      <c r="B657" s="11"/>
      <c r="C657" s="11"/>
      <c r="D657" s="11"/>
      <c r="E657" s="12"/>
      <c r="F657" s="13"/>
      <c r="G657" s="13"/>
      <c r="H657" s="13"/>
      <c r="I657" s="11"/>
      <c r="J657" s="11"/>
      <c r="K657" s="11"/>
      <c r="L657" s="11"/>
      <c r="M657" s="15"/>
      <c r="N657" s="15"/>
      <c r="O657" s="15"/>
      <c r="P657" s="15"/>
      <c r="Q657" s="16"/>
      <c r="R657" s="16"/>
      <c r="S657" s="16"/>
      <c r="T657" s="17"/>
      <c r="U657" s="11"/>
      <c r="V657" s="16"/>
      <c r="W657" s="11"/>
      <c r="X657" s="11"/>
      <c r="Y657" s="15"/>
      <c r="Z657" s="11"/>
    </row>
    <row r="658" spans="1:26" x14ac:dyDescent="0.25">
      <c r="A658" s="11"/>
      <c r="B658" s="11"/>
      <c r="C658" s="11"/>
      <c r="D658" s="11"/>
      <c r="E658" s="12"/>
      <c r="F658" s="13"/>
      <c r="G658" s="13"/>
      <c r="H658" s="13"/>
      <c r="I658" s="11"/>
      <c r="J658" s="11"/>
      <c r="K658" s="11"/>
      <c r="L658" s="11"/>
      <c r="M658" s="15"/>
      <c r="N658" s="15"/>
      <c r="O658" s="15"/>
      <c r="P658" s="15"/>
      <c r="Q658" s="16"/>
      <c r="R658" s="16"/>
      <c r="S658" s="16"/>
      <c r="T658" s="17"/>
      <c r="U658" s="11"/>
      <c r="V658" s="16"/>
      <c r="W658" s="11"/>
      <c r="X658" s="11"/>
      <c r="Y658" s="15"/>
      <c r="Z658" s="11"/>
    </row>
    <row r="659" spans="1:26" x14ac:dyDescent="0.25">
      <c r="A659" s="11"/>
      <c r="B659" s="11"/>
      <c r="C659" s="11"/>
      <c r="D659" s="11"/>
      <c r="E659" s="12"/>
      <c r="F659" s="13"/>
      <c r="G659" s="13"/>
      <c r="H659" s="13"/>
      <c r="I659" s="11"/>
      <c r="J659" s="11"/>
      <c r="K659" s="11"/>
      <c r="L659" s="11"/>
      <c r="M659" s="15"/>
      <c r="N659" s="15"/>
      <c r="O659" s="15"/>
      <c r="P659" s="15"/>
      <c r="Q659" s="16"/>
      <c r="R659" s="16"/>
      <c r="S659" s="16"/>
      <c r="T659" s="17"/>
      <c r="U659" s="11"/>
      <c r="V659" s="16"/>
      <c r="W659" s="11"/>
      <c r="X659" s="11"/>
      <c r="Y659" s="15"/>
      <c r="Z659" s="11"/>
    </row>
    <row r="660" spans="1:26" x14ac:dyDescent="0.25">
      <c r="A660" s="11"/>
      <c r="B660" s="11"/>
      <c r="C660" s="11"/>
      <c r="D660" s="11"/>
      <c r="E660" s="12"/>
      <c r="F660" s="13"/>
      <c r="G660" s="13"/>
      <c r="H660" s="13"/>
      <c r="I660" s="11"/>
      <c r="J660" s="11"/>
      <c r="K660" s="11"/>
      <c r="L660" s="11"/>
      <c r="M660" s="15"/>
      <c r="N660" s="15"/>
      <c r="O660" s="15"/>
      <c r="P660" s="15"/>
      <c r="Q660" s="16"/>
      <c r="R660" s="16"/>
      <c r="S660" s="16"/>
      <c r="T660" s="17"/>
      <c r="U660" s="11"/>
      <c r="V660" s="16"/>
      <c r="W660" s="11"/>
      <c r="X660" s="11"/>
      <c r="Y660" s="15"/>
      <c r="Z660" s="11"/>
    </row>
    <row r="661" spans="1:26" x14ac:dyDescent="0.25">
      <c r="A661" s="11"/>
      <c r="B661" s="11"/>
      <c r="C661" s="11"/>
      <c r="D661" s="11"/>
      <c r="E661" s="12"/>
      <c r="F661" s="13"/>
      <c r="G661" s="13"/>
      <c r="H661" s="13"/>
      <c r="I661" s="11"/>
      <c r="J661" s="11"/>
      <c r="K661" s="11"/>
      <c r="L661" s="11"/>
      <c r="M661" s="15"/>
      <c r="N661" s="15"/>
      <c r="O661" s="15"/>
      <c r="P661" s="15"/>
      <c r="Q661" s="16"/>
      <c r="R661" s="16"/>
      <c r="S661" s="16"/>
      <c r="T661" s="17"/>
      <c r="U661" s="11"/>
      <c r="V661" s="16"/>
      <c r="W661" s="11"/>
      <c r="X661" s="11"/>
      <c r="Y661" s="15"/>
      <c r="Z661" s="11"/>
    </row>
    <row r="662" spans="1:26" x14ac:dyDescent="0.25">
      <c r="A662" s="18"/>
      <c r="B662" s="18"/>
      <c r="C662" s="18"/>
      <c r="D662" s="18"/>
      <c r="E662" s="19"/>
      <c r="F662" s="20"/>
      <c r="G662" s="13"/>
      <c r="H662" s="20"/>
      <c r="I662" s="18"/>
      <c r="J662" s="18"/>
      <c r="K662" s="18"/>
      <c r="L662" s="18"/>
      <c r="M662" s="21"/>
      <c r="N662" s="21"/>
      <c r="O662" s="21"/>
      <c r="P662" s="21"/>
      <c r="Q662" s="22"/>
      <c r="R662" s="19"/>
      <c r="S662" s="22"/>
      <c r="T662" s="23"/>
      <c r="U662" s="18"/>
      <c r="V662" s="22"/>
      <c r="W662" s="18"/>
      <c r="X662" s="18"/>
      <c r="Y662" s="21"/>
      <c r="Z662" s="18"/>
    </row>
    <row r="663" spans="1:26" x14ac:dyDescent="0.25">
      <c r="A663" s="11"/>
      <c r="B663" s="11"/>
      <c r="C663" s="11"/>
      <c r="D663" s="11"/>
      <c r="E663" s="12"/>
      <c r="F663" s="13"/>
      <c r="G663" s="13"/>
      <c r="H663" s="13"/>
      <c r="I663" s="11"/>
      <c r="J663" s="11"/>
      <c r="K663" s="11"/>
      <c r="L663" s="11"/>
      <c r="M663" s="15"/>
      <c r="N663" s="15"/>
      <c r="O663" s="15"/>
      <c r="P663" s="15"/>
      <c r="Q663" s="16"/>
      <c r="R663" s="16"/>
      <c r="S663" s="16"/>
      <c r="T663" s="17"/>
      <c r="U663" s="11"/>
      <c r="V663" s="16"/>
      <c r="W663" s="11"/>
      <c r="X663" s="11"/>
      <c r="Y663" s="15"/>
      <c r="Z663" s="11"/>
    </row>
    <row r="664" spans="1:26" x14ac:dyDescent="0.25">
      <c r="A664" s="18"/>
      <c r="B664" s="18"/>
      <c r="C664" s="18"/>
      <c r="D664" s="18"/>
      <c r="E664" s="19"/>
      <c r="F664" s="20"/>
      <c r="G664" s="13"/>
      <c r="H664" s="20"/>
      <c r="I664" s="18"/>
      <c r="J664" s="18"/>
      <c r="K664" s="18"/>
      <c r="L664" s="18"/>
      <c r="M664" s="21"/>
      <c r="N664" s="21"/>
      <c r="O664" s="21"/>
      <c r="P664" s="21"/>
      <c r="Q664" s="22"/>
      <c r="R664" s="19"/>
      <c r="S664" s="22"/>
      <c r="T664" s="23"/>
      <c r="U664" s="18"/>
      <c r="V664" s="22"/>
      <c r="W664" s="18"/>
      <c r="X664" s="18"/>
      <c r="Y664" s="21"/>
      <c r="Z664" s="18"/>
    </row>
    <row r="665" spans="1:26" x14ac:dyDescent="0.25">
      <c r="A665" s="11"/>
      <c r="B665" s="11"/>
      <c r="C665" s="11"/>
      <c r="D665" s="11"/>
      <c r="E665" s="12"/>
      <c r="F665" s="13"/>
      <c r="G665" s="13"/>
      <c r="H665" s="13"/>
      <c r="I665" s="11"/>
      <c r="J665" s="11"/>
      <c r="K665" s="11"/>
      <c r="L665" s="11"/>
      <c r="M665" s="15"/>
      <c r="N665" s="15"/>
      <c r="O665" s="15"/>
      <c r="P665" s="15"/>
      <c r="Q665" s="16"/>
      <c r="R665" s="16"/>
      <c r="S665" s="16"/>
      <c r="T665" s="17"/>
      <c r="U665" s="11"/>
      <c r="V665" s="16"/>
      <c r="W665" s="11"/>
      <c r="X665" s="11"/>
      <c r="Y665" s="15"/>
      <c r="Z665" s="11"/>
    </row>
    <row r="666" spans="1:26" x14ac:dyDescent="0.25">
      <c r="A666" s="11"/>
      <c r="B666" s="11"/>
      <c r="C666" s="11"/>
      <c r="D666" s="11"/>
      <c r="E666" s="12"/>
      <c r="F666" s="13"/>
      <c r="G666" s="13"/>
      <c r="H666" s="13"/>
      <c r="I666" s="11"/>
      <c r="J666" s="11"/>
      <c r="K666" s="11"/>
      <c r="L666" s="11"/>
      <c r="M666" s="15"/>
      <c r="N666" s="15"/>
      <c r="O666" s="15"/>
      <c r="P666" s="15"/>
      <c r="Q666" s="16"/>
      <c r="R666" s="16"/>
      <c r="S666" s="16"/>
      <c r="T666" s="17"/>
      <c r="U666" s="11"/>
      <c r="V666" s="16"/>
      <c r="W666" s="11"/>
      <c r="X666" s="11"/>
      <c r="Y666" s="15"/>
      <c r="Z666" s="11"/>
    </row>
    <row r="667" spans="1:26" x14ac:dyDescent="0.25">
      <c r="A667" s="11"/>
      <c r="B667" s="11"/>
      <c r="C667" s="11"/>
      <c r="D667" s="11"/>
      <c r="E667" s="12"/>
      <c r="F667" s="13"/>
      <c r="G667" s="13"/>
      <c r="H667" s="13"/>
      <c r="I667" s="11"/>
      <c r="J667" s="11"/>
      <c r="K667" s="11"/>
      <c r="L667" s="11"/>
      <c r="M667" s="15"/>
      <c r="N667" s="15"/>
      <c r="O667" s="15"/>
      <c r="P667" s="15"/>
      <c r="Q667" s="16"/>
      <c r="R667" s="16"/>
      <c r="S667" s="16"/>
      <c r="T667" s="17"/>
      <c r="U667" s="11"/>
      <c r="V667" s="16"/>
      <c r="W667" s="11"/>
      <c r="X667" s="11"/>
      <c r="Y667" s="15"/>
      <c r="Z667" s="11"/>
    </row>
    <row r="668" spans="1:26" x14ac:dyDescent="0.25">
      <c r="A668" s="11"/>
      <c r="B668" s="11"/>
      <c r="C668" s="11"/>
      <c r="D668" s="11"/>
      <c r="E668" s="12"/>
      <c r="F668" s="13"/>
      <c r="G668" s="13"/>
      <c r="H668" s="13"/>
      <c r="I668" s="11"/>
      <c r="J668" s="11"/>
      <c r="K668" s="11"/>
      <c r="L668" s="11"/>
      <c r="M668" s="15"/>
      <c r="N668" s="15"/>
      <c r="O668" s="15"/>
      <c r="P668" s="15"/>
      <c r="Q668" s="16"/>
      <c r="R668" s="16"/>
      <c r="S668" s="16"/>
      <c r="T668" s="17"/>
      <c r="U668" s="11"/>
      <c r="V668" s="16"/>
      <c r="W668" s="11"/>
      <c r="X668" s="11"/>
      <c r="Y668" s="15"/>
      <c r="Z668" s="11"/>
    </row>
    <row r="669" spans="1:26" x14ac:dyDescent="0.25">
      <c r="A669" s="18"/>
      <c r="B669" s="18"/>
      <c r="C669" s="18"/>
      <c r="D669" s="18"/>
      <c r="E669" s="19"/>
      <c r="F669" s="20"/>
      <c r="G669" s="13"/>
      <c r="H669" s="20"/>
      <c r="I669" s="18"/>
      <c r="J669" s="18"/>
      <c r="K669" s="18"/>
      <c r="L669" s="18"/>
      <c r="M669" s="21"/>
      <c r="N669" s="21"/>
      <c r="O669" s="21"/>
      <c r="P669" s="21"/>
      <c r="Q669" s="22"/>
      <c r="R669" s="19"/>
      <c r="S669" s="22"/>
      <c r="T669" s="23"/>
      <c r="U669" s="18"/>
      <c r="V669" s="22"/>
      <c r="W669" s="18"/>
      <c r="X669" s="18"/>
      <c r="Y669" s="21"/>
      <c r="Z669" s="18"/>
    </row>
    <row r="670" spans="1:26" x14ac:dyDescent="0.25">
      <c r="A670" s="11"/>
      <c r="B670" s="11"/>
      <c r="C670" s="11"/>
      <c r="D670" s="11"/>
      <c r="E670" s="12"/>
      <c r="F670" s="13"/>
      <c r="G670" s="13"/>
      <c r="H670" s="13"/>
      <c r="I670" s="11"/>
      <c r="J670" s="11"/>
      <c r="K670" s="11"/>
      <c r="L670" s="11"/>
      <c r="M670" s="15"/>
      <c r="N670" s="15"/>
      <c r="O670" s="15"/>
      <c r="P670" s="15"/>
      <c r="Q670" s="16"/>
      <c r="R670" s="16"/>
      <c r="S670" s="16"/>
      <c r="T670" s="17"/>
      <c r="U670" s="11"/>
      <c r="V670" s="16"/>
      <c r="W670" s="11"/>
      <c r="X670" s="11"/>
      <c r="Y670" s="15"/>
      <c r="Z670" s="11"/>
    </row>
    <row r="671" spans="1:26" x14ac:dyDescent="0.25">
      <c r="A671" s="11"/>
      <c r="B671" s="11"/>
      <c r="C671" s="11"/>
      <c r="D671" s="11"/>
      <c r="E671" s="12"/>
      <c r="F671" s="13"/>
      <c r="G671" s="13"/>
      <c r="H671" s="13"/>
      <c r="I671" s="11"/>
      <c r="J671" s="11"/>
      <c r="K671" s="11"/>
      <c r="L671" s="11"/>
      <c r="M671" s="15"/>
      <c r="N671" s="15"/>
      <c r="O671" s="15"/>
      <c r="P671" s="15"/>
      <c r="Q671" s="16"/>
      <c r="R671" s="16"/>
      <c r="S671" s="16"/>
      <c r="T671" s="17"/>
      <c r="U671" s="11"/>
      <c r="V671" s="16"/>
      <c r="W671" s="11"/>
      <c r="X671" s="11"/>
      <c r="Y671" s="15"/>
      <c r="Z671" s="11"/>
    </row>
    <row r="672" spans="1:26" x14ac:dyDescent="0.25">
      <c r="A672" s="11"/>
      <c r="B672" s="11"/>
      <c r="C672" s="11"/>
      <c r="D672" s="11"/>
      <c r="E672" s="12"/>
      <c r="F672" s="13"/>
      <c r="G672" s="13"/>
      <c r="H672" s="13"/>
      <c r="I672" s="11"/>
      <c r="J672" s="11"/>
      <c r="K672" s="11"/>
      <c r="L672" s="11"/>
      <c r="M672" s="15"/>
      <c r="N672" s="15"/>
      <c r="O672" s="15"/>
      <c r="P672" s="15"/>
      <c r="Q672" s="16"/>
      <c r="R672" s="16"/>
      <c r="S672" s="16"/>
      <c r="T672" s="17"/>
      <c r="U672" s="11"/>
      <c r="V672" s="16"/>
      <c r="W672" s="11"/>
      <c r="X672" s="11"/>
      <c r="Y672" s="15"/>
      <c r="Z672" s="11"/>
    </row>
    <row r="673" spans="1:26" x14ac:dyDescent="0.25">
      <c r="A673" s="11"/>
      <c r="B673" s="11"/>
      <c r="C673" s="11"/>
      <c r="D673" s="11"/>
      <c r="E673" s="12"/>
      <c r="F673" s="13"/>
      <c r="G673" s="13"/>
      <c r="H673" s="13"/>
      <c r="I673" s="11"/>
      <c r="J673" s="11"/>
      <c r="K673" s="11"/>
      <c r="L673" s="11"/>
      <c r="M673" s="15"/>
      <c r="N673" s="15"/>
      <c r="O673" s="15"/>
      <c r="P673" s="15"/>
      <c r="Q673" s="16"/>
      <c r="R673" s="16"/>
      <c r="S673" s="16"/>
      <c r="T673" s="17"/>
      <c r="U673" s="11"/>
      <c r="V673" s="16"/>
      <c r="W673" s="11"/>
      <c r="X673" s="11"/>
      <c r="Y673" s="15"/>
      <c r="Z673" s="11"/>
    </row>
    <row r="674" spans="1:26" x14ac:dyDescent="0.25">
      <c r="A674" s="11"/>
      <c r="B674" s="11"/>
      <c r="C674" s="11"/>
      <c r="D674" s="11"/>
      <c r="E674" s="12"/>
      <c r="F674" s="13"/>
      <c r="G674" s="13"/>
      <c r="H674" s="13"/>
      <c r="I674" s="11"/>
      <c r="J674" s="11"/>
      <c r="K674" s="11"/>
      <c r="L674" s="11"/>
      <c r="M674" s="15"/>
      <c r="N674" s="15"/>
      <c r="O674" s="15"/>
      <c r="P674" s="15"/>
      <c r="Q674" s="16"/>
      <c r="R674" s="16"/>
      <c r="S674" s="16"/>
      <c r="T674" s="17"/>
      <c r="U674" s="11"/>
      <c r="V674" s="16"/>
      <c r="W674" s="11"/>
      <c r="X674" s="11"/>
      <c r="Y674" s="15"/>
      <c r="Z674" s="11"/>
    </row>
    <row r="675" spans="1:26" x14ac:dyDescent="0.25">
      <c r="A675" s="11"/>
      <c r="B675" s="11"/>
      <c r="C675" s="11"/>
      <c r="D675" s="11"/>
      <c r="E675" s="12"/>
      <c r="F675" s="13"/>
      <c r="G675" s="13"/>
      <c r="H675" s="13"/>
      <c r="I675" s="11"/>
      <c r="J675" s="11"/>
      <c r="K675" s="11"/>
      <c r="L675" s="11"/>
      <c r="M675" s="15"/>
      <c r="N675" s="15"/>
      <c r="O675" s="15"/>
      <c r="P675" s="15"/>
      <c r="Q675" s="16"/>
      <c r="R675" s="16"/>
      <c r="S675" s="16"/>
      <c r="T675" s="17"/>
      <c r="U675" s="11"/>
      <c r="V675" s="16"/>
      <c r="W675" s="11"/>
      <c r="X675" s="11"/>
      <c r="Y675" s="15"/>
      <c r="Z675" s="11"/>
    </row>
    <row r="676" spans="1:26" x14ac:dyDescent="0.25">
      <c r="A676" s="18"/>
      <c r="B676" s="18"/>
      <c r="C676" s="18"/>
      <c r="D676" s="18"/>
      <c r="E676" s="19"/>
      <c r="F676" s="20"/>
      <c r="G676" s="13"/>
      <c r="H676" s="20"/>
      <c r="I676" s="18"/>
      <c r="J676" s="18"/>
      <c r="K676" s="18"/>
      <c r="L676" s="18"/>
      <c r="M676" s="21"/>
      <c r="N676" s="21"/>
      <c r="O676" s="21"/>
      <c r="P676" s="21"/>
      <c r="Q676" s="22"/>
      <c r="R676" s="19"/>
      <c r="S676" s="22"/>
      <c r="T676" s="23"/>
      <c r="U676" s="18"/>
      <c r="V676" s="22"/>
      <c r="W676" s="18"/>
      <c r="X676" s="18"/>
      <c r="Y676" s="21"/>
      <c r="Z676" s="18"/>
    </row>
    <row r="677" spans="1:26" x14ac:dyDescent="0.25">
      <c r="A677" s="18"/>
      <c r="B677" s="18"/>
      <c r="C677" s="18"/>
      <c r="D677" s="18"/>
      <c r="E677" s="19"/>
      <c r="F677" s="20"/>
      <c r="G677" s="13"/>
      <c r="H677" s="20"/>
      <c r="I677" s="18"/>
      <c r="J677" s="18"/>
      <c r="K677" s="18"/>
      <c r="L677" s="18"/>
      <c r="M677" s="21"/>
      <c r="N677" s="21"/>
      <c r="O677" s="21"/>
      <c r="P677" s="21"/>
      <c r="Q677" s="22"/>
      <c r="R677" s="19"/>
      <c r="S677" s="22"/>
      <c r="T677" s="23"/>
      <c r="U677" s="18"/>
      <c r="V677" s="22"/>
      <c r="W677" s="18"/>
      <c r="X677" s="18"/>
      <c r="Y677" s="21"/>
      <c r="Z677" s="18"/>
    </row>
    <row r="678" spans="1:26" x14ac:dyDescent="0.25">
      <c r="A678" s="11"/>
      <c r="B678" s="11"/>
      <c r="C678" s="11"/>
      <c r="D678" s="11"/>
      <c r="E678" s="12"/>
      <c r="F678" s="13"/>
      <c r="G678" s="13"/>
      <c r="H678" s="13"/>
      <c r="I678" s="11"/>
      <c r="J678" s="11"/>
      <c r="K678" s="11"/>
      <c r="L678" s="11"/>
      <c r="M678" s="15"/>
      <c r="N678" s="15"/>
      <c r="O678" s="15"/>
      <c r="P678" s="15"/>
      <c r="Q678" s="16"/>
      <c r="R678" s="16"/>
      <c r="S678" s="16"/>
      <c r="T678" s="17"/>
      <c r="U678" s="11"/>
      <c r="V678" s="16"/>
      <c r="W678" s="11"/>
      <c r="X678" s="11"/>
      <c r="Y678" s="15"/>
      <c r="Z678" s="11"/>
    </row>
    <row r="679" spans="1:26" x14ac:dyDescent="0.25">
      <c r="A679" s="11"/>
      <c r="B679" s="11"/>
      <c r="C679" s="11"/>
      <c r="D679" s="11"/>
      <c r="E679" s="12"/>
      <c r="F679" s="13"/>
      <c r="G679" s="13"/>
      <c r="H679" s="13"/>
      <c r="I679" s="11"/>
      <c r="J679" s="11"/>
      <c r="K679" s="11"/>
      <c r="L679" s="11"/>
      <c r="M679" s="15"/>
      <c r="N679" s="15"/>
      <c r="O679" s="15"/>
      <c r="P679" s="15"/>
      <c r="Q679" s="16"/>
      <c r="R679" s="16"/>
      <c r="S679" s="16"/>
      <c r="T679" s="17"/>
      <c r="U679" s="11"/>
      <c r="V679" s="16"/>
      <c r="W679" s="11"/>
      <c r="X679" s="11"/>
      <c r="Y679" s="15"/>
      <c r="Z679" s="11"/>
    </row>
    <row r="680" spans="1:26" x14ac:dyDescent="0.25">
      <c r="A680" s="11"/>
      <c r="B680" s="11"/>
      <c r="C680" s="11"/>
      <c r="D680" s="11"/>
      <c r="E680" s="12"/>
      <c r="F680" s="13"/>
      <c r="G680" s="13"/>
      <c r="H680" s="13"/>
      <c r="I680" s="11"/>
      <c r="J680" s="11"/>
      <c r="K680" s="11"/>
      <c r="L680" s="11"/>
      <c r="M680" s="15"/>
      <c r="N680" s="15"/>
      <c r="O680" s="15"/>
      <c r="P680" s="15"/>
      <c r="Q680" s="16"/>
      <c r="R680" s="16"/>
      <c r="S680" s="16"/>
      <c r="T680" s="17"/>
      <c r="U680" s="11"/>
      <c r="V680" s="16"/>
      <c r="W680" s="11"/>
      <c r="X680" s="11"/>
      <c r="Y680" s="15"/>
      <c r="Z680" s="11"/>
    </row>
    <row r="681" spans="1:26" x14ac:dyDescent="0.25">
      <c r="A681" s="11"/>
      <c r="B681" s="11"/>
      <c r="C681" s="11"/>
      <c r="D681" s="11"/>
      <c r="E681" s="12"/>
      <c r="F681" s="13"/>
      <c r="G681" s="13"/>
      <c r="H681" s="13"/>
      <c r="I681" s="11"/>
      <c r="J681" s="11"/>
      <c r="K681" s="11"/>
      <c r="L681" s="11"/>
      <c r="M681" s="15"/>
      <c r="N681" s="15"/>
      <c r="O681" s="15"/>
      <c r="P681" s="15"/>
      <c r="Q681" s="16"/>
      <c r="R681" s="16"/>
      <c r="S681" s="16"/>
      <c r="T681" s="17"/>
      <c r="U681" s="11"/>
      <c r="V681" s="16"/>
      <c r="W681" s="11"/>
      <c r="X681" s="11"/>
      <c r="Y681" s="15"/>
      <c r="Z681" s="11"/>
    </row>
    <row r="682" spans="1:26" x14ac:dyDescent="0.25">
      <c r="A682" s="11"/>
      <c r="B682" s="11"/>
      <c r="C682" s="11"/>
      <c r="D682" s="11"/>
      <c r="E682" s="12"/>
      <c r="F682" s="13"/>
      <c r="G682" s="13"/>
      <c r="H682" s="13"/>
      <c r="I682" s="11"/>
      <c r="J682" s="11"/>
      <c r="K682" s="11"/>
      <c r="L682" s="11"/>
      <c r="M682" s="15"/>
      <c r="N682" s="15"/>
      <c r="O682" s="15"/>
      <c r="P682" s="15"/>
      <c r="Q682" s="16"/>
      <c r="R682" s="16"/>
      <c r="S682" s="16"/>
      <c r="T682" s="17"/>
      <c r="U682" s="11"/>
      <c r="V682" s="16"/>
      <c r="W682" s="11"/>
      <c r="X682" s="11"/>
      <c r="Y682" s="15"/>
      <c r="Z682" s="11"/>
    </row>
    <row r="683" spans="1:26" x14ac:dyDescent="0.25">
      <c r="A683" s="11"/>
      <c r="B683" s="11"/>
      <c r="C683" s="11"/>
      <c r="D683" s="11"/>
      <c r="E683" s="12"/>
      <c r="F683" s="13"/>
      <c r="G683" s="13"/>
      <c r="H683" s="13"/>
      <c r="I683" s="11"/>
      <c r="J683" s="11"/>
      <c r="K683" s="11"/>
      <c r="L683" s="11"/>
      <c r="M683" s="15"/>
      <c r="N683" s="15"/>
      <c r="O683" s="15"/>
      <c r="P683" s="15"/>
      <c r="Q683" s="16"/>
      <c r="R683" s="16"/>
      <c r="S683" s="16"/>
      <c r="T683" s="17"/>
      <c r="U683" s="11"/>
      <c r="V683" s="16"/>
      <c r="W683" s="11"/>
      <c r="X683" s="11"/>
      <c r="Y683" s="15"/>
      <c r="Z683" s="11"/>
    </row>
    <row r="684" spans="1:26" x14ac:dyDescent="0.25">
      <c r="A684" s="18"/>
      <c r="B684" s="18"/>
      <c r="C684" s="18"/>
      <c r="D684" s="18"/>
      <c r="E684" s="19"/>
      <c r="F684" s="20"/>
      <c r="G684" s="13"/>
      <c r="H684" s="20"/>
      <c r="I684" s="18"/>
      <c r="J684" s="18"/>
      <c r="K684" s="18"/>
      <c r="L684" s="18"/>
      <c r="M684" s="21"/>
      <c r="N684" s="21"/>
      <c r="O684" s="21"/>
      <c r="P684" s="21"/>
      <c r="Q684" s="22"/>
      <c r="R684" s="19"/>
      <c r="S684" s="22"/>
      <c r="T684" s="23"/>
      <c r="U684" s="18"/>
      <c r="V684" s="22"/>
      <c r="W684" s="18"/>
      <c r="X684" s="18"/>
      <c r="Y684" s="21"/>
      <c r="Z684" s="18"/>
    </row>
    <row r="685" spans="1:26" x14ac:dyDescent="0.25">
      <c r="A685" s="11"/>
      <c r="B685" s="11"/>
      <c r="C685" s="11"/>
      <c r="D685" s="11"/>
      <c r="E685" s="12"/>
      <c r="F685" s="13"/>
      <c r="G685" s="13"/>
      <c r="H685" s="13"/>
      <c r="I685" s="11"/>
      <c r="J685" s="11"/>
      <c r="K685" s="11"/>
      <c r="L685" s="11"/>
      <c r="M685" s="15"/>
      <c r="N685" s="15"/>
      <c r="O685" s="15"/>
      <c r="P685" s="15"/>
      <c r="Q685" s="16"/>
      <c r="R685" s="16"/>
      <c r="S685" s="16"/>
      <c r="T685" s="17"/>
      <c r="U685" s="11"/>
      <c r="V685" s="16"/>
      <c r="W685" s="11"/>
      <c r="X685" s="11"/>
      <c r="Y685" s="15"/>
      <c r="Z685" s="11"/>
    </row>
    <row r="686" spans="1:26" x14ac:dyDescent="0.25">
      <c r="A686" s="11"/>
      <c r="B686" s="11"/>
      <c r="C686" s="11"/>
      <c r="D686" s="11"/>
      <c r="E686" s="12"/>
      <c r="F686" s="13"/>
      <c r="G686" s="13"/>
      <c r="H686" s="13"/>
      <c r="I686" s="11"/>
      <c r="J686" s="11"/>
      <c r="K686" s="11"/>
      <c r="L686" s="11"/>
      <c r="M686" s="15"/>
      <c r="N686" s="15"/>
      <c r="O686" s="15"/>
      <c r="P686" s="15"/>
      <c r="Q686" s="16"/>
      <c r="R686" s="16"/>
      <c r="S686" s="16"/>
      <c r="T686" s="17"/>
      <c r="U686" s="11"/>
      <c r="V686" s="16"/>
      <c r="W686" s="11"/>
      <c r="X686" s="11"/>
      <c r="Y686" s="15"/>
      <c r="Z686" s="11"/>
    </row>
    <row r="687" spans="1:26" x14ac:dyDescent="0.25">
      <c r="A687" s="18"/>
      <c r="B687" s="18"/>
      <c r="C687" s="18"/>
      <c r="D687" s="18"/>
      <c r="E687" s="19"/>
      <c r="F687" s="20"/>
      <c r="G687" s="13"/>
      <c r="H687" s="20"/>
      <c r="I687" s="18"/>
      <c r="J687" s="18"/>
      <c r="K687" s="18"/>
      <c r="L687" s="18"/>
      <c r="M687" s="21"/>
      <c r="N687" s="21"/>
      <c r="O687" s="21"/>
      <c r="P687" s="21"/>
      <c r="Q687" s="22"/>
      <c r="R687" s="19"/>
      <c r="S687" s="22"/>
      <c r="T687" s="23"/>
      <c r="U687" s="18"/>
      <c r="V687" s="22"/>
      <c r="W687" s="18"/>
      <c r="X687" s="18"/>
      <c r="Y687" s="21"/>
      <c r="Z687" s="18"/>
    </row>
    <row r="688" spans="1:26" x14ac:dyDescent="0.25">
      <c r="A688" s="18"/>
      <c r="B688" s="18"/>
      <c r="C688" s="18"/>
      <c r="D688" s="18"/>
      <c r="E688" s="19"/>
      <c r="F688" s="20"/>
      <c r="G688" s="13"/>
      <c r="H688" s="20"/>
      <c r="I688" s="18"/>
      <c r="J688" s="18"/>
      <c r="K688" s="18"/>
      <c r="L688" s="18"/>
      <c r="M688" s="21"/>
      <c r="N688" s="21"/>
      <c r="O688" s="21"/>
      <c r="P688" s="21"/>
      <c r="Q688" s="22"/>
      <c r="R688" s="19"/>
      <c r="S688" s="22"/>
      <c r="T688" s="23"/>
      <c r="U688" s="18"/>
      <c r="V688" s="22"/>
      <c r="W688" s="18"/>
      <c r="X688" s="18"/>
      <c r="Y688" s="21"/>
      <c r="Z688" s="18"/>
    </row>
    <row r="689" spans="1:26" x14ac:dyDescent="0.25">
      <c r="A689" s="11"/>
      <c r="B689" s="11"/>
      <c r="C689" s="11"/>
      <c r="D689" s="11"/>
      <c r="E689" s="12"/>
      <c r="F689" s="13"/>
      <c r="G689" s="13"/>
      <c r="H689" s="13"/>
      <c r="I689" s="11"/>
      <c r="J689" s="11"/>
      <c r="K689" s="11"/>
      <c r="L689" s="11"/>
      <c r="M689" s="15"/>
      <c r="N689" s="15"/>
      <c r="O689" s="15"/>
      <c r="P689" s="15"/>
      <c r="Q689" s="16"/>
      <c r="R689" s="16"/>
      <c r="S689" s="16"/>
      <c r="T689" s="17"/>
      <c r="U689" s="11"/>
      <c r="V689" s="16"/>
      <c r="W689" s="11"/>
      <c r="X689" s="11"/>
      <c r="Y689" s="15"/>
      <c r="Z689" s="11"/>
    </row>
    <row r="690" spans="1:26" x14ac:dyDescent="0.25">
      <c r="A690" s="11"/>
      <c r="B690" s="11"/>
      <c r="C690" s="11"/>
      <c r="D690" s="11"/>
      <c r="E690" s="12"/>
      <c r="F690" s="13"/>
      <c r="G690" s="13"/>
      <c r="H690" s="13"/>
      <c r="I690" s="11"/>
      <c r="J690" s="11"/>
      <c r="K690" s="11"/>
      <c r="L690" s="11"/>
      <c r="M690" s="15"/>
      <c r="N690" s="15"/>
      <c r="O690" s="15"/>
      <c r="P690" s="15"/>
      <c r="Q690" s="16"/>
      <c r="R690" s="16"/>
      <c r="S690" s="16"/>
      <c r="T690" s="17"/>
      <c r="U690" s="11"/>
      <c r="V690" s="16"/>
      <c r="W690" s="11"/>
      <c r="X690" s="11"/>
      <c r="Y690" s="15"/>
      <c r="Z690" s="11"/>
    </row>
    <row r="691" spans="1:26" x14ac:dyDescent="0.25">
      <c r="A691" s="11"/>
      <c r="B691" s="11"/>
      <c r="C691" s="11"/>
      <c r="D691" s="11"/>
      <c r="E691" s="12"/>
      <c r="F691" s="13"/>
      <c r="G691" s="13"/>
      <c r="H691" s="13"/>
      <c r="I691" s="11"/>
      <c r="J691" s="11"/>
      <c r="K691" s="11"/>
      <c r="L691" s="11"/>
      <c r="M691" s="15"/>
      <c r="N691" s="15"/>
      <c r="O691" s="15"/>
      <c r="P691" s="15"/>
      <c r="Q691" s="16"/>
      <c r="R691" s="16"/>
      <c r="S691" s="16"/>
      <c r="T691" s="17"/>
      <c r="U691" s="11"/>
      <c r="V691" s="16"/>
      <c r="W691" s="11"/>
      <c r="X691" s="11"/>
      <c r="Y691" s="15"/>
      <c r="Z691" s="11"/>
    </row>
    <row r="692" spans="1:26" x14ac:dyDescent="0.25">
      <c r="A692" s="11"/>
      <c r="B692" s="11"/>
      <c r="C692" s="11"/>
      <c r="D692" s="11"/>
      <c r="E692" s="12"/>
      <c r="F692" s="13"/>
      <c r="G692" s="13"/>
      <c r="H692" s="13"/>
      <c r="I692" s="11"/>
      <c r="J692" s="11"/>
      <c r="K692" s="11"/>
      <c r="L692" s="11"/>
      <c r="M692" s="15"/>
      <c r="N692" s="15"/>
      <c r="O692" s="15"/>
      <c r="P692" s="15"/>
      <c r="Q692" s="16"/>
      <c r="R692" s="16"/>
      <c r="S692" s="16"/>
      <c r="T692" s="17"/>
      <c r="U692" s="11"/>
      <c r="V692" s="16"/>
      <c r="W692" s="11"/>
      <c r="X692" s="11"/>
      <c r="Y692" s="15"/>
      <c r="Z692" s="11"/>
    </row>
    <row r="693" spans="1:26" x14ac:dyDescent="0.25">
      <c r="A693" s="11"/>
      <c r="B693" s="11"/>
      <c r="C693" s="11"/>
      <c r="D693" s="11"/>
      <c r="E693" s="12"/>
      <c r="F693" s="13"/>
      <c r="G693" s="13"/>
      <c r="H693" s="13"/>
      <c r="I693" s="11"/>
      <c r="J693" s="11"/>
      <c r="K693" s="11"/>
      <c r="L693" s="11"/>
      <c r="M693" s="15"/>
      <c r="N693" s="15"/>
      <c r="O693" s="15"/>
      <c r="P693" s="15"/>
      <c r="Q693" s="16"/>
      <c r="R693" s="16"/>
      <c r="S693" s="16"/>
      <c r="T693" s="17"/>
      <c r="U693" s="11"/>
      <c r="V693" s="16"/>
      <c r="W693" s="11"/>
      <c r="X693" s="11"/>
      <c r="Y693" s="15"/>
      <c r="Z693" s="11"/>
    </row>
    <row r="694" spans="1:26" x14ac:dyDescent="0.25">
      <c r="A694" s="11"/>
      <c r="B694" s="11"/>
      <c r="C694" s="11"/>
      <c r="D694" s="11"/>
      <c r="E694" s="12"/>
      <c r="F694" s="13"/>
      <c r="G694" s="13"/>
      <c r="H694" s="13"/>
      <c r="I694" s="11"/>
      <c r="J694" s="11"/>
      <c r="K694" s="11"/>
      <c r="L694" s="11"/>
      <c r="M694" s="15"/>
      <c r="N694" s="15"/>
      <c r="O694" s="15"/>
      <c r="P694" s="15"/>
      <c r="Q694" s="16"/>
      <c r="R694" s="16"/>
      <c r="S694" s="16"/>
      <c r="T694" s="17"/>
      <c r="U694" s="11"/>
      <c r="V694" s="16"/>
      <c r="W694" s="11"/>
      <c r="X694" s="11"/>
      <c r="Y694" s="15"/>
      <c r="Z694" s="11"/>
    </row>
    <row r="695" spans="1:26" x14ac:dyDescent="0.25">
      <c r="A695" s="18"/>
      <c r="B695" s="18"/>
      <c r="C695" s="18"/>
      <c r="D695" s="18"/>
      <c r="E695" s="19"/>
      <c r="F695" s="20"/>
      <c r="G695" s="13"/>
      <c r="H695" s="20"/>
      <c r="I695" s="18"/>
      <c r="J695" s="18"/>
      <c r="K695" s="18"/>
      <c r="L695" s="18"/>
      <c r="M695" s="21"/>
      <c r="N695" s="21"/>
      <c r="O695" s="21"/>
      <c r="P695" s="21"/>
      <c r="Q695" s="22"/>
      <c r="R695" s="19"/>
      <c r="S695" s="22"/>
      <c r="T695" s="23"/>
      <c r="U695" s="18"/>
      <c r="V695" s="22"/>
      <c r="W695" s="18"/>
      <c r="X695" s="18"/>
      <c r="Y695" s="21"/>
      <c r="Z695" s="18"/>
    </row>
    <row r="696" spans="1:26" x14ac:dyDescent="0.25">
      <c r="A696" s="11"/>
      <c r="B696" s="11"/>
      <c r="C696" s="11"/>
      <c r="D696" s="11"/>
      <c r="E696" s="12"/>
      <c r="F696" s="13"/>
      <c r="G696" s="13"/>
      <c r="H696" s="13"/>
      <c r="I696" s="11"/>
      <c r="J696" s="11"/>
      <c r="K696" s="11"/>
      <c r="L696" s="11"/>
      <c r="M696" s="15"/>
      <c r="N696" s="15"/>
      <c r="O696" s="15"/>
      <c r="P696" s="15"/>
      <c r="Q696" s="16"/>
      <c r="R696" s="16"/>
      <c r="S696" s="16"/>
      <c r="T696" s="17"/>
      <c r="U696" s="11"/>
      <c r="V696" s="16"/>
      <c r="W696" s="11"/>
      <c r="X696" s="11"/>
      <c r="Y696" s="15"/>
      <c r="Z696" s="11"/>
    </row>
    <row r="697" spans="1:26" x14ac:dyDescent="0.25">
      <c r="A697" s="11"/>
      <c r="B697" s="11"/>
      <c r="C697" s="11"/>
      <c r="D697" s="11"/>
      <c r="E697" s="12"/>
      <c r="F697" s="13"/>
      <c r="G697" s="13"/>
      <c r="H697" s="13"/>
      <c r="I697" s="11"/>
      <c r="J697" s="11"/>
      <c r="K697" s="11"/>
      <c r="L697" s="11"/>
      <c r="M697" s="15"/>
      <c r="N697" s="15"/>
      <c r="O697" s="15"/>
      <c r="P697" s="15"/>
      <c r="Q697" s="16"/>
      <c r="R697" s="16"/>
      <c r="S697" s="16"/>
      <c r="T697" s="17"/>
      <c r="U697" s="11"/>
      <c r="V697" s="16"/>
      <c r="W697" s="11"/>
      <c r="X697" s="11"/>
      <c r="Y697" s="15"/>
      <c r="Z697" s="11"/>
    </row>
    <row r="698" spans="1:26" x14ac:dyDescent="0.25">
      <c r="A698" s="11"/>
      <c r="B698" s="11"/>
      <c r="C698" s="11"/>
      <c r="D698" s="11"/>
      <c r="E698" s="12"/>
      <c r="F698" s="13"/>
      <c r="G698" s="13"/>
      <c r="H698" s="13"/>
      <c r="I698" s="11"/>
      <c r="J698" s="11"/>
      <c r="K698" s="11"/>
      <c r="L698" s="11"/>
      <c r="M698" s="15"/>
      <c r="N698" s="15"/>
      <c r="O698" s="15"/>
      <c r="P698" s="15"/>
      <c r="Q698" s="16"/>
      <c r="R698" s="16"/>
      <c r="S698" s="16"/>
      <c r="T698" s="17"/>
      <c r="U698" s="11"/>
      <c r="V698" s="16"/>
      <c r="W698" s="11"/>
      <c r="X698" s="11"/>
      <c r="Y698" s="15"/>
      <c r="Z698" s="11"/>
    </row>
    <row r="699" spans="1:26" x14ac:dyDescent="0.25">
      <c r="A699" s="11"/>
      <c r="B699" s="11"/>
      <c r="C699" s="11"/>
      <c r="D699" s="11"/>
      <c r="E699" s="12"/>
      <c r="F699" s="13"/>
      <c r="G699" s="13"/>
      <c r="H699" s="13"/>
      <c r="I699" s="11"/>
      <c r="J699" s="11"/>
      <c r="K699" s="11"/>
      <c r="L699" s="11"/>
      <c r="M699" s="15"/>
      <c r="N699" s="15"/>
      <c r="O699" s="15"/>
      <c r="P699" s="15"/>
      <c r="Q699" s="16"/>
      <c r="R699" s="16"/>
      <c r="S699" s="16"/>
      <c r="T699" s="17"/>
      <c r="U699" s="11"/>
      <c r="V699" s="16"/>
      <c r="W699" s="11"/>
      <c r="X699" s="11"/>
      <c r="Y699" s="15"/>
      <c r="Z699" s="11"/>
    </row>
    <row r="700" spans="1:26" x14ac:dyDescent="0.25">
      <c r="A700" s="11"/>
      <c r="B700" s="11"/>
      <c r="C700" s="11"/>
      <c r="D700" s="11"/>
      <c r="E700" s="12"/>
      <c r="F700" s="13"/>
      <c r="G700" s="13"/>
      <c r="H700" s="13"/>
      <c r="I700" s="11"/>
      <c r="J700" s="11"/>
      <c r="K700" s="11"/>
      <c r="L700" s="11"/>
      <c r="M700" s="15"/>
      <c r="N700" s="15"/>
      <c r="O700" s="15"/>
      <c r="P700" s="15"/>
      <c r="Q700" s="16"/>
      <c r="R700" s="16"/>
      <c r="S700" s="16"/>
      <c r="T700" s="17"/>
      <c r="U700" s="11"/>
      <c r="V700" s="16"/>
      <c r="W700" s="11"/>
      <c r="X700" s="11"/>
      <c r="Y700" s="15"/>
      <c r="Z700" s="11"/>
    </row>
    <row r="701" spans="1:26" x14ac:dyDescent="0.25">
      <c r="A701" s="11"/>
      <c r="B701" s="11"/>
      <c r="C701" s="11"/>
      <c r="D701" s="11"/>
      <c r="E701" s="12"/>
      <c r="F701" s="13"/>
      <c r="G701" s="13"/>
      <c r="H701" s="13"/>
      <c r="I701" s="11"/>
      <c r="J701" s="11"/>
      <c r="K701" s="11"/>
      <c r="L701" s="11"/>
      <c r="M701" s="15"/>
      <c r="N701" s="15"/>
      <c r="O701" s="15"/>
      <c r="P701" s="15"/>
      <c r="Q701" s="16"/>
      <c r="R701" s="16"/>
      <c r="S701" s="16"/>
      <c r="T701" s="17"/>
      <c r="U701" s="11"/>
      <c r="V701" s="16"/>
      <c r="W701" s="11"/>
      <c r="X701" s="11"/>
      <c r="Y701" s="15"/>
      <c r="Z701" s="11"/>
    </row>
    <row r="702" spans="1:26" x14ac:dyDescent="0.25">
      <c r="A702" s="18"/>
      <c r="B702" s="18"/>
      <c r="C702" s="18"/>
      <c r="D702" s="18"/>
      <c r="E702" s="19"/>
      <c r="F702" s="20"/>
      <c r="G702" s="13"/>
      <c r="H702" s="20"/>
      <c r="I702" s="18"/>
      <c r="J702" s="18"/>
      <c r="K702" s="18"/>
      <c r="L702" s="18"/>
      <c r="M702" s="21"/>
      <c r="N702" s="21"/>
      <c r="O702" s="21"/>
      <c r="P702" s="21"/>
      <c r="Q702" s="22"/>
      <c r="R702" s="19"/>
      <c r="S702" s="22"/>
      <c r="T702" s="23"/>
      <c r="U702" s="18"/>
      <c r="V702" s="22"/>
      <c r="W702" s="18"/>
      <c r="X702" s="18"/>
      <c r="Y702" s="21"/>
      <c r="Z702" s="18"/>
    </row>
    <row r="703" spans="1:26" x14ac:dyDescent="0.25">
      <c r="A703" s="11"/>
      <c r="B703" s="11"/>
      <c r="C703" s="11"/>
      <c r="D703" s="11"/>
      <c r="E703" s="12"/>
      <c r="F703" s="13"/>
      <c r="G703" s="13"/>
      <c r="H703" s="13"/>
      <c r="I703" s="11"/>
      <c r="J703" s="11"/>
      <c r="K703" s="11"/>
      <c r="L703" s="11"/>
      <c r="M703" s="15"/>
      <c r="N703" s="15"/>
      <c r="O703" s="15"/>
      <c r="P703" s="15"/>
      <c r="Q703" s="16"/>
      <c r="R703" s="16"/>
      <c r="S703" s="16"/>
      <c r="T703" s="17"/>
      <c r="U703" s="11"/>
      <c r="V703" s="16"/>
      <c r="W703" s="11"/>
      <c r="X703" s="11"/>
      <c r="Y703" s="15"/>
      <c r="Z703" s="11"/>
    </row>
    <row r="704" spans="1:26" x14ac:dyDescent="0.25">
      <c r="A704" s="11"/>
      <c r="B704" s="11"/>
      <c r="C704" s="11"/>
      <c r="D704" s="11"/>
      <c r="E704" s="12"/>
      <c r="F704" s="13"/>
      <c r="G704" s="13"/>
      <c r="H704" s="13"/>
      <c r="I704" s="11"/>
      <c r="J704" s="11"/>
      <c r="K704" s="11"/>
      <c r="L704" s="11"/>
      <c r="M704" s="15"/>
      <c r="N704" s="15"/>
      <c r="O704" s="15"/>
      <c r="P704" s="15"/>
      <c r="Q704" s="16"/>
      <c r="R704" s="16"/>
      <c r="S704" s="16"/>
      <c r="T704" s="17"/>
      <c r="U704" s="11"/>
      <c r="V704" s="16"/>
      <c r="W704" s="11"/>
      <c r="X704" s="11"/>
      <c r="Y704" s="15"/>
      <c r="Z704" s="11"/>
    </row>
    <row r="705" spans="1:26" x14ac:dyDescent="0.25">
      <c r="A705" s="11"/>
      <c r="B705" s="11"/>
      <c r="C705" s="11"/>
      <c r="D705" s="11"/>
      <c r="E705" s="12"/>
      <c r="F705" s="13"/>
      <c r="G705" s="13"/>
      <c r="H705" s="13"/>
      <c r="I705" s="11"/>
      <c r="J705" s="11"/>
      <c r="K705" s="11"/>
      <c r="L705" s="11"/>
      <c r="M705" s="15"/>
      <c r="N705" s="15"/>
      <c r="O705" s="15"/>
      <c r="P705" s="15"/>
      <c r="Q705" s="16"/>
      <c r="R705" s="16"/>
      <c r="S705" s="16"/>
      <c r="T705" s="17"/>
      <c r="U705" s="11"/>
      <c r="V705" s="16"/>
      <c r="W705" s="11"/>
      <c r="X705" s="11"/>
      <c r="Y705" s="15"/>
      <c r="Z705" s="11"/>
    </row>
    <row r="706" spans="1:26" x14ac:dyDescent="0.25">
      <c r="A706" s="11"/>
      <c r="B706" s="11"/>
      <c r="C706" s="11"/>
      <c r="D706" s="11"/>
      <c r="E706" s="12"/>
      <c r="F706" s="13"/>
      <c r="G706" s="13"/>
      <c r="H706" s="13"/>
      <c r="I706" s="11"/>
      <c r="J706" s="11"/>
      <c r="K706" s="11"/>
      <c r="L706" s="11"/>
      <c r="M706" s="15"/>
      <c r="N706" s="15"/>
      <c r="O706" s="15"/>
      <c r="P706" s="15"/>
      <c r="Q706" s="16"/>
      <c r="R706" s="16"/>
      <c r="S706" s="16"/>
      <c r="T706" s="17"/>
      <c r="U706" s="11"/>
      <c r="V706" s="16"/>
      <c r="W706" s="11"/>
      <c r="X706" s="11"/>
      <c r="Y706" s="15"/>
      <c r="Z706" s="11"/>
    </row>
    <row r="707" spans="1:26" x14ac:dyDescent="0.25">
      <c r="A707" s="11"/>
      <c r="B707" s="11"/>
      <c r="C707" s="11"/>
      <c r="D707" s="11"/>
      <c r="E707" s="12"/>
      <c r="F707" s="13"/>
      <c r="G707" s="13"/>
      <c r="H707" s="13"/>
      <c r="I707" s="11"/>
      <c r="J707" s="11"/>
      <c r="K707" s="11"/>
      <c r="L707" s="11"/>
      <c r="M707" s="15"/>
      <c r="N707" s="15"/>
      <c r="O707" s="15"/>
      <c r="P707" s="15"/>
      <c r="Q707" s="16"/>
      <c r="R707" s="16"/>
      <c r="S707" s="16"/>
      <c r="T707" s="17"/>
      <c r="U707" s="11"/>
      <c r="V707" s="16"/>
      <c r="W707" s="11"/>
      <c r="X707" s="11"/>
      <c r="Y707" s="15"/>
      <c r="Z707" s="11"/>
    </row>
    <row r="708" spans="1:26" x14ac:dyDescent="0.25">
      <c r="A708" s="18"/>
      <c r="B708" s="18"/>
      <c r="C708" s="18"/>
      <c r="D708" s="18"/>
      <c r="E708" s="19"/>
      <c r="F708" s="20"/>
      <c r="G708" s="13"/>
      <c r="H708" s="20"/>
      <c r="I708" s="18"/>
      <c r="J708" s="18"/>
      <c r="K708" s="18"/>
      <c r="L708" s="18"/>
      <c r="M708" s="21"/>
      <c r="N708" s="21"/>
      <c r="O708" s="21"/>
      <c r="P708" s="21"/>
      <c r="Q708" s="22"/>
      <c r="R708" s="19"/>
      <c r="S708" s="22"/>
      <c r="T708" s="23"/>
      <c r="U708" s="18"/>
      <c r="V708" s="22"/>
      <c r="W708" s="18"/>
      <c r="X708" s="18"/>
      <c r="Y708" s="21"/>
      <c r="Z708" s="18"/>
    </row>
    <row r="709" spans="1:26" x14ac:dyDescent="0.25">
      <c r="A709" s="11"/>
      <c r="B709" s="11"/>
      <c r="C709" s="11"/>
      <c r="D709" s="11"/>
      <c r="E709" s="12"/>
      <c r="F709" s="13"/>
      <c r="G709" s="13"/>
      <c r="H709" s="13"/>
      <c r="I709" s="11"/>
      <c r="J709" s="11"/>
      <c r="K709" s="11"/>
      <c r="L709" s="11"/>
      <c r="M709" s="15"/>
      <c r="N709" s="15"/>
      <c r="O709" s="15"/>
      <c r="P709" s="15"/>
      <c r="Q709" s="16"/>
      <c r="R709" s="16"/>
      <c r="S709" s="16"/>
      <c r="T709" s="17"/>
      <c r="U709" s="11"/>
      <c r="V709" s="16"/>
      <c r="W709" s="11"/>
      <c r="X709" s="11"/>
      <c r="Y709" s="15"/>
      <c r="Z709" s="11"/>
    </row>
    <row r="710" spans="1:26" x14ac:dyDescent="0.25">
      <c r="A710" s="18"/>
      <c r="B710" s="18"/>
      <c r="C710" s="18"/>
      <c r="D710" s="18"/>
      <c r="E710" s="19"/>
      <c r="F710" s="20"/>
      <c r="G710" s="13"/>
      <c r="H710" s="20"/>
      <c r="I710" s="18"/>
      <c r="J710" s="18"/>
      <c r="K710" s="18"/>
      <c r="L710" s="18"/>
      <c r="M710" s="21"/>
      <c r="N710" s="21"/>
      <c r="O710" s="21"/>
      <c r="P710" s="21"/>
      <c r="Q710" s="22"/>
      <c r="R710" s="19"/>
      <c r="S710" s="22"/>
      <c r="T710" s="23"/>
      <c r="U710" s="18"/>
      <c r="V710" s="22"/>
      <c r="W710" s="18"/>
      <c r="X710" s="18"/>
      <c r="Y710" s="21"/>
      <c r="Z710" s="18"/>
    </row>
    <row r="711" spans="1:26" x14ac:dyDescent="0.25">
      <c r="A711" s="11"/>
      <c r="B711" s="11"/>
      <c r="C711" s="11"/>
      <c r="D711" s="11"/>
      <c r="E711" s="12"/>
      <c r="F711" s="13"/>
      <c r="G711" s="13"/>
      <c r="H711" s="13"/>
      <c r="I711" s="11"/>
      <c r="J711" s="11"/>
      <c r="K711" s="11"/>
      <c r="L711" s="11"/>
      <c r="M711" s="15"/>
      <c r="N711" s="15"/>
      <c r="O711" s="15"/>
      <c r="P711" s="15"/>
      <c r="Q711" s="16"/>
      <c r="R711" s="16"/>
      <c r="S711" s="16"/>
      <c r="T711" s="17"/>
      <c r="U711" s="11"/>
      <c r="V711" s="16"/>
      <c r="W711" s="11"/>
      <c r="X711" s="11"/>
      <c r="Y711" s="15"/>
      <c r="Z711" s="11"/>
    </row>
    <row r="712" spans="1:26" x14ac:dyDescent="0.25">
      <c r="A712" s="11"/>
      <c r="B712" s="11"/>
      <c r="C712" s="11"/>
      <c r="D712" s="11"/>
      <c r="E712" s="12"/>
      <c r="F712" s="13"/>
      <c r="G712" s="13"/>
      <c r="H712" s="13"/>
      <c r="I712" s="11"/>
      <c r="J712" s="11"/>
      <c r="K712" s="11"/>
      <c r="L712" s="11"/>
      <c r="M712" s="15"/>
      <c r="N712" s="15"/>
      <c r="O712" s="15"/>
      <c r="P712" s="15"/>
      <c r="Q712" s="16"/>
      <c r="R712" s="16"/>
      <c r="S712" s="16"/>
      <c r="T712" s="17"/>
      <c r="U712" s="11"/>
      <c r="V712" s="16"/>
      <c r="W712" s="11"/>
      <c r="X712" s="11"/>
      <c r="Y712" s="15"/>
      <c r="Z712" s="11"/>
    </row>
    <row r="713" spans="1:26" x14ac:dyDescent="0.25">
      <c r="A713" s="11"/>
      <c r="B713" s="11"/>
      <c r="C713" s="11"/>
      <c r="D713" s="11"/>
      <c r="E713" s="12"/>
      <c r="F713" s="13"/>
      <c r="G713" s="13"/>
      <c r="H713" s="13"/>
      <c r="I713" s="11"/>
      <c r="J713" s="11"/>
      <c r="K713" s="11"/>
      <c r="L713" s="11"/>
      <c r="M713" s="15"/>
      <c r="N713" s="15"/>
      <c r="O713" s="15"/>
      <c r="P713" s="15"/>
      <c r="Q713" s="16"/>
      <c r="R713" s="16"/>
      <c r="S713" s="16"/>
      <c r="T713" s="17"/>
      <c r="U713" s="11"/>
      <c r="V713" s="16"/>
      <c r="W713" s="11"/>
      <c r="X713" s="11"/>
      <c r="Y713" s="15"/>
      <c r="Z713" s="11"/>
    </row>
    <row r="714" spans="1:26" x14ac:dyDescent="0.25">
      <c r="A714" s="11"/>
      <c r="B714" s="11"/>
      <c r="C714" s="11"/>
      <c r="D714" s="11"/>
      <c r="E714" s="12"/>
      <c r="F714" s="13"/>
      <c r="G714" s="13"/>
      <c r="H714" s="13"/>
      <c r="I714" s="11"/>
      <c r="J714" s="11"/>
      <c r="K714" s="11"/>
      <c r="L714" s="11"/>
      <c r="M714" s="15"/>
      <c r="N714" s="15"/>
      <c r="O714" s="15"/>
      <c r="P714" s="15"/>
      <c r="Q714" s="16"/>
      <c r="R714" s="16"/>
      <c r="S714" s="16"/>
      <c r="T714" s="17"/>
      <c r="U714" s="11"/>
      <c r="V714" s="16"/>
      <c r="W714" s="11"/>
      <c r="X714" s="11"/>
      <c r="Y714" s="15"/>
      <c r="Z714" s="11"/>
    </row>
    <row r="715" spans="1:26" x14ac:dyDescent="0.25">
      <c r="A715" s="11"/>
      <c r="B715" s="11"/>
      <c r="C715" s="11"/>
      <c r="D715" s="11"/>
      <c r="E715" s="12"/>
      <c r="F715" s="13"/>
      <c r="G715" s="13"/>
      <c r="H715" s="13"/>
      <c r="I715" s="11"/>
      <c r="J715" s="11"/>
      <c r="K715" s="11"/>
      <c r="L715" s="11"/>
      <c r="M715" s="15"/>
      <c r="N715" s="15"/>
      <c r="O715" s="15"/>
      <c r="P715" s="15"/>
      <c r="Q715" s="16"/>
      <c r="R715" s="16"/>
      <c r="S715" s="16"/>
      <c r="T715" s="17"/>
      <c r="U715" s="11"/>
      <c r="V715" s="16"/>
      <c r="W715" s="11"/>
      <c r="X715" s="11"/>
      <c r="Y715" s="15"/>
      <c r="Z715" s="11"/>
    </row>
    <row r="716" spans="1:26" x14ac:dyDescent="0.25">
      <c r="A716" s="11"/>
      <c r="B716" s="11"/>
      <c r="C716" s="11"/>
      <c r="D716" s="11"/>
      <c r="E716" s="12"/>
      <c r="F716" s="13"/>
      <c r="G716" s="13"/>
      <c r="H716" s="13"/>
      <c r="I716" s="11"/>
      <c r="J716" s="11"/>
      <c r="K716" s="11"/>
      <c r="L716" s="11"/>
      <c r="M716" s="15"/>
      <c r="N716" s="15"/>
      <c r="O716" s="15"/>
      <c r="P716" s="15"/>
      <c r="Q716" s="16"/>
      <c r="R716" s="16"/>
      <c r="S716" s="16"/>
      <c r="T716" s="17"/>
      <c r="U716" s="11"/>
      <c r="V716" s="16"/>
      <c r="W716" s="11"/>
      <c r="X716" s="11"/>
      <c r="Y716" s="15"/>
      <c r="Z716" s="11"/>
    </row>
    <row r="717" spans="1:26" x14ac:dyDescent="0.25">
      <c r="A717" s="11"/>
      <c r="B717" s="11"/>
      <c r="C717" s="11"/>
      <c r="D717" s="11"/>
      <c r="E717" s="12"/>
      <c r="F717" s="13"/>
      <c r="G717" s="13"/>
      <c r="H717" s="13"/>
      <c r="I717" s="11"/>
      <c r="J717" s="11"/>
      <c r="K717" s="11"/>
      <c r="L717" s="11"/>
      <c r="M717" s="15"/>
      <c r="N717" s="15"/>
      <c r="O717" s="15"/>
      <c r="P717" s="15"/>
      <c r="Q717" s="16"/>
      <c r="R717" s="16"/>
      <c r="S717" s="16"/>
      <c r="T717" s="17"/>
      <c r="U717" s="11"/>
      <c r="V717" s="16"/>
      <c r="W717" s="11"/>
      <c r="X717" s="11"/>
      <c r="Y717" s="15"/>
      <c r="Z717" s="11"/>
    </row>
    <row r="718" spans="1:26" x14ac:dyDescent="0.25">
      <c r="A718" s="18"/>
      <c r="B718" s="18"/>
      <c r="C718" s="18"/>
      <c r="D718" s="18"/>
      <c r="E718" s="19"/>
      <c r="F718" s="20"/>
      <c r="G718" s="13"/>
      <c r="H718" s="20"/>
      <c r="I718" s="18"/>
      <c r="J718" s="18"/>
      <c r="K718" s="18"/>
      <c r="L718" s="18"/>
      <c r="M718" s="21"/>
      <c r="N718" s="21"/>
      <c r="O718" s="21"/>
      <c r="P718" s="21"/>
      <c r="Q718" s="22"/>
      <c r="R718" s="19"/>
      <c r="S718" s="22"/>
      <c r="T718" s="23"/>
      <c r="U718" s="18"/>
      <c r="V718" s="22"/>
      <c r="W718" s="18"/>
      <c r="X718" s="18"/>
      <c r="Y718" s="21"/>
      <c r="Z718" s="18"/>
    </row>
    <row r="719" spans="1:26" x14ac:dyDescent="0.25">
      <c r="A719" s="11"/>
      <c r="B719" s="11"/>
      <c r="C719" s="11"/>
      <c r="D719" s="11"/>
      <c r="E719" s="12"/>
      <c r="F719" s="13"/>
      <c r="G719" s="13"/>
      <c r="H719" s="13"/>
      <c r="I719" s="11"/>
      <c r="J719" s="11"/>
      <c r="K719" s="11"/>
      <c r="L719" s="11"/>
      <c r="M719" s="15"/>
      <c r="N719" s="15"/>
      <c r="O719" s="15"/>
      <c r="P719" s="15"/>
      <c r="Q719" s="16"/>
      <c r="R719" s="16"/>
      <c r="S719" s="16"/>
      <c r="T719" s="17"/>
      <c r="U719" s="11"/>
      <c r="V719" s="16"/>
      <c r="W719" s="11"/>
      <c r="X719" s="11"/>
      <c r="Y719" s="15"/>
      <c r="Z719" s="11"/>
    </row>
    <row r="720" spans="1:26" x14ac:dyDescent="0.25">
      <c r="A720" s="11"/>
      <c r="B720" s="11"/>
      <c r="C720" s="11"/>
      <c r="D720" s="11"/>
      <c r="E720" s="12"/>
      <c r="F720" s="13"/>
      <c r="G720" s="13"/>
      <c r="H720" s="13"/>
      <c r="I720" s="11"/>
      <c r="J720" s="11"/>
      <c r="K720" s="11"/>
      <c r="L720" s="11"/>
      <c r="M720" s="15"/>
      <c r="N720" s="15"/>
      <c r="O720" s="15"/>
      <c r="P720" s="15"/>
      <c r="Q720" s="16"/>
      <c r="R720" s="16"/>
      <c r="S720" s="16"/>
      <c r="T720" s="17"/>
      <c r="U720" s="11"/>
      <c r="V720" s="16"/>
      <c r="W720" s="11"/>
      <c r="X720" s="11"/>
      <c r="Y720" s="15"/>
      <c r="Z720" s="11"/>
    </row>
    <row r="721" spans="1:26" x14ac:dyDescent="0.25">
      <c r="A721" s="11"/>
      <c r="B721" s="11"/>
      <c r="C721" s="11"/>
      <c r="D721" s="11"/>
      <c r="E721" s="12"/>
      <c r="F721" s="13"/>
      <c r="G721" s="13"/>
      <c r="H721" s="13"/>
      <c r="I721" s="11"/>
      <c r="J721" s="11"/>
      <c r="K721" s="11"/>
      <c r="L721" s="11"/>
      <c r="M721" s="15"/>
      <c r="N721" s="15"/>
      <c r="O721" s="15"/>
      <c r="P721" s="15"/>
      <c r="Q721" s="16"/>
      <c r="R721" s="16"/>
      <c r="S721" s="16"/>
      <c r="T721" s="17"/>
      <c r="U721" s="11"/>
      <c r="V721" s="16"/>
      <c r="W721" s="11"/>
      <c r="X721" s="11"/>
      <c r="Y721" s="15"/>
      <c r="Z721" s="11"/>
    </row>
    <row r="722" spans="1:26" x14ac:dyDescent="0.25">
      <c r="A722" s="18"/>
      <c r="B722" s="18"/>
      <c r="C722" s="18"/>
      <c r="D722" s="18"/>
      <c r="E722" s="19"/>
      <c r="F722" s="20"/>
      <c r="G722" s="13"/>
      <c r="H722" s="20"/>
      <c r="I722" s="18"/>
      <c r="J722" s="18"/>
      <c r="K722" s="18"/>
      <c r="L722" s="18"/>
      <c r="M722" s="21"/>
      <c r="N722" s="21"/>
      <c r="O722" s="21"/>
      <c r="P722" s="21"/>
      <c r="Q722" s="22"/>
      <c r="R722" s="19"/>
      <c r="S722" s="22"/>
      <c r="T722" s="23"/>
      <c r="U722" s="18"/>
      <c r="V722" s="22"/>
      <c r="W722" s="18"/>
      <c r="X722" s="18"/>
      <c r="Y722" s="21"/>
      <c r="Z722" s="18"/>
    </row>
    <row r="723" spans="1:26" x14ac:dyDescent="0.25">
      <c r="A723" s="18"/>
      <c r="B723" s="18"/>
      <c r="C723" s="18"/>
      <c r="D723" s="18"/>
      <c r="E723" s="19"/>
      <c r="F723" s="20"/>
      <c r="G723" s="13"/>
      <c r="H723" s="20"/>
      <c r="I723" s="18"/>
      <c r="J723" s="18"/>
      <c r="K723" s="18"/>
      <c r="L723" s="18"/>
      <c r="M723" s="21"/>
      <c r="N723" s="21"/>
      <c r="O723" s="21"/>
      <c r="P723" s="21"/>
      <c r="Q723" s="22"/>
      <c r="R723" s="19"/>
      <c r="S723" s="22"/>
      <c r="T723" s="23"/>
      <c r="U723" s="18"/>
      <c r="V723" s="22"/>
      <c r="W723" s="18"/>
      <c r="X723" s="18"/>
      <c r="Y723" s="21"/>
      <c r="Z723" s="18"/>
    </row>
    <row r="724" spans="1:26" x14ac:dyDescent="0.25">
      <c r="A724" s="11"/>
      <c r="B724" s="11"/>
      <c r="C724" s="11"/>
      <c r="D724" s="11"/>
      <c r="E724" s="12"/>
      <c r="F724" s="13"/>
      <c r="G724" s="13"/>
      <c r="H724" s="13"/>
      <c r="I724" s="11"/>
      <c r="J724" s="11"/>
      <c r="K724" s="11"/>
      <c r="L724" s="11"/>
      <c r="M724" s="15"/>
      <c r="N724" s="15"/>
      <c r="O724" s="15"/>
      <c r="P724" s="15"/>
      <c r="Q724" s="16"/>
      <c r="R724" s="16"/>
      <c r="S724" s="16"/>
      <c r="T724" s="17"/>
      <c r="U724" s="11"/>
      <c r="V724" s="16"/>
      <c r="W724" s="11"/>
      <c r="X724" s="11"/>
      <c r="Y724" s="15"/>
      <c r="Z724" s="11"/>
    </row>
    <row r="725" spans="1:26" x14ac:dyDescent="0.25">
      <c r="A725" s="11"/>
      <c r="B725" s="11"/>
      <c r="C725" s="11"/>
      <c r="D725" s="11"/>
      <c r="E725" s="12"/>
      <c r="F725" s="13"/>
      <c r="G725" s="13"/>
      <c r="H725" s="13"/>
      <c r="I725" s="11"/>
      <c r="J725" s="11"/>
      <c r="K725" s="11"/>
      <c r="L725" s="11"/>
      <c r="M725" s="15"/>
      <c r="N725" s="15"/>
      <c r="O725" s="15"/>
      <c r="P725" s="15"/>
      <c r="Q725" s="16"/>
      <c r="R725" s="16"/>
      <c r="S725" s="16"/>
      <c r="T725" s="17"/>
      <c r="U725" s="11"/>
      <c r="V725" s="16"/>
      <c r="W725" s="11"/>
      <c r="X725" s="11"/>
      <c r="Y725" s="15"/>
      <c r="Z725" s="11"/>
    </row>
    <row r="726" spans="1:26" x14ac:dyDescent="0.25">
      <c r="A726" s="11"/>
      <c r="B726" s="11"/>
      <c r="C726" s="11"/>
      <c r="D726" s="11"/>
      <c r="E726" s="12"/>
      <c r="F726" s="13"/>
      <c r="G726" s="13"/>
      <c r="H726" s="13"/>
      <c r="I726" s="11"/>
      <c r="J726" s="11"/>
      <c r="K726" s="11"/>
      <c r="L726" s="11"/>
      <c r="M726" s="15"/>
      <c r="N726" s="15"/>
      <c r="O726" s="15"/>
      <c r="P726" s="15"/>
      <c r="Q726" s="16"/>
      <c r="R726" s="16"/>
      <c r="S726" s="16"/>
      <c r="T726" s="17"/>
      <c r="U726" s="11"/>
      <c r="V726" s="16"/>
      <c r="W726" s="11"/>
      <c r="X726" s="11"/>
      <c r="Y726" s="15"/>
      <c r="Z726" s="11"/>
    </row>
    <row r="727" spans="1:26" x14ac:dyDescent="0.25">
      <c r="A727" s="11"/>
      <c r="B727" s="11"/>
      <c r="C727" s="11"/>
      <c r="D727" s="11"/>
      <c r="E727" s="12"/>
      <c r="F727" s="13"/>
      <c r="G727" s="13"/>
      <c r="H727" s="13"/>
      <c r="I727" s="11"/>
      <c r="J727" s="11"/>
      <c r="K727" s="11"/>
      <c r="L727" s="11"/>
      <c r="M727" s="15"/>
      <c r="N727" s="15"/>
      <c r="O727" s="15"/>
      <c r="P727" s="15"/>
      <c r="Q727" s="16"/>
      <c r="R727" s="16"/>
      <c r="S727" s="16"/>
      <c r="T727" s="17"/>
      <c r="U727" s="11"/>
      <c r="V727" s="16"/>
      <c r="W727" s="11"/>
      <c r="X727" s="11"/>
      <c r="Y727" s="15"/>
      <c r="Z727" s="11"/>
    </row>
    <row r="728" spans="1:26" x14ac:dyDescent="0.25">
      <c r="A728" s="11"/>
      <c r="B728" s="11"/>
      <c r="C728" s="11"/>
      <c r="D728" s="11"/>
      <c r="E728" s="12"/>
      <c r="F728" s="13"/>
      <c r="G728" s="13"/>
      <c r="H728" s="13"/>
      <c r="I728" s="11"/>
      <c r="J728" s="11"/>
      <c r="K728" s="11"/>
      <c r="L728" s="11"/>
      <c r="M728" s="15"/>
      <c r="N728" s="15"/>
      <c r="O728" s="15"/>
      <c r="P728" s="15"/>
      <c r="Q728" s="16"/>
      <c r="R728" s="16"/>
      <c r="S728" s="16"/>
      <c r="T728" s="17"/>
      <c r="U728" s="11"/>
      <c r="V728" s="16"/>
      <c r="W728" s="11"/>
      <c r="X728" s="11"/>
      <c r="Y728" s="15"/>
      <c r="Z728" s="11"/>
    </row>
    <row r="729" spans="1:26" x14ac:dyDescent="0.25">
      <c r="A729" s="11"/>
      <c r="B729" s="11"/>
      <c r="C729" s="11"/>
      <c r="D729" s="11"/>
      <c r="E729" s="12"/>
      <c r="F729" s="13"/>
      <c r="G729" s="13"/>
      <c r="H729" s="13"/>
      <c r="I729" s="11"/>
      <c r="J729" s="11"/>
      <c r="K729" s="11"/>
      <c r="L729" s="11"/>
      <c r="M729" s="15"/>
      <c r="N729" s="15"/>
      <c r="O729" s="15"/>
      <c r="P729" s="15"/>
      <c r="Q729" s="16"/>
      <c r="R729" s="16"/>
      <c r="S729" s="16"/>
      <c r="T729" s="17"/>
      <c r="U729" s="11"/>
      <c r="V729" s="16"/>
      <c r="W729" s="11"/>
      <c r="X729" s="11"/>
      <c r="Y729" s="15"/>
      <c r="Z729" s="11"/>
    </row>
    <row r="730" spans="1:26" x14ac:dyDescent="0.25">
      <c r="A730" s="11"/>
      <c r="B730" s="11"/>
      <c r="C730" s="11"/>
      <c r="D730" s="11"/>
      <c r="E730" s="12"/>
      <c r="F730" s="13"/>
      <c r="G730" s="13"/>
      <c r="H730" s="13"/>
      <c r="I730" s="11"/>
      <c r="J730" s="11"/>
      <c r="K730" s="11"/>
      <c r="L730" s="11"/>
      <c r="M730" s="15"/>
      <c r="N730" s="15"/>
      <c r="O730" s="15"/>
      <c r="P730" s="15"/>
      <c r="Q730" s="16"/>
      <c r="R730" s="16"/>
      <c r="S730" s="16"/>
      <c r="T730" s="17"/>
      <c r="U730" s="11"/>
      <c r="V730" s="16"/>
      <c r="W730" s="11"/>
      <c r="X730" s="11"/>
      <c r="Y730" s="15"/>
      <c r="Z730" s="11"/>
    </row>
    <row r="731" spans="1:26" x14ac:dyDescent="0.25">
      <c r="A731" s="18"/>
      <c r="B731" s="18"/>
      <c r="C731" s="18"/>
      <c r="D731" s="18"/>
      <c r="E731" s="19"/>
      <c r="F731" s="20"/>
      <c r="G731" s="13"/>
      <c r="H731" s="20"/>
      <c r="I731" s="18"/>
      <c r="J731" s="18"/>
      <c r="K731" s="18"/>
      <c r="L731" s="18"/>
      <c r="M731" s="21"/>
      <c r="N731" s="21"/>
      <c r="O731" s="21"/>
      <c r="P731" s="21"/>
      <c r="Q731" s="22"/>
      <c r="R731" s="19"/>
      <c r="S731" s="22"/>
      <c r="T731" s="23"/>
      <c r="U731" s="18"/>
      <c r="V731" s="22"/>
      <c r="W731" s="18"/>
      <c r="X731" s="18"/>
      <c r="Y731" s="21"/>
      <c r="Z731" s="18"/>
    </row>
    <row r="732" spans="1:26" x14ac:dyDescent="0.25">
      <c r="A732" s="11"/>
      <c r="B732" s="11"/>
      <c r="C732" s="11"/>
      <c r="D732" s="11"/>
      <c r="E732" s="12"/>
      <c r="F732" s="13"/>
      <c r="G732" s="13"/>
      <c r="H732" s="13"/>
      <c r="I732" s="11"/>
      <c r="J732" s="11"/>
      <c r="K732" s="11"/>
      <c r="L732" s="11"/>
      <c r="M732" s="15"/>
      <c r="N732" s="15"/>
      <c r="O732" s="15"/>
      <c r="P732" s="15"/>
      <c r="Q732" s="16"/>
      <c r="R732" s="16"/>
      <c r="S732" s="16"/>
      <c r="T732" s="17"/>
      <c r="U732" s="11"/>
      <c r="V732" s="16"/>
      <c r="W732" s="11"/>
      <c r="X732" s="11"/>
      <c r="Y732" s="15"/>
      <c r="Z732" s="11"/>
    </row>
    <row r="733" spans="1:26" x14ac:dyDescent="0.25">
      <c r="A733" s="11"/>
      <c r="B733" s="11"/>
      <c r="C733" s="11"/>
      <c r="D733" s="11"/>
      <c r="E733" s="12"/>
      <c r="F733" s="13"/>
      <c r="G733" s="13"/>
      <c r="H733" s="13"/>
      <c r="I733" s="11"/>
      <c r="J733" s="11"/>
      <c r="K733" s="11"/>
      <c r="L733" s="11"/>
      <c r="M733" s="15"/>
      <c r="N733" s="15"/>
      <c r="O733" s="15"/>
      <c r="P733" s="15"/>
      <c r="Q733" s="16"/>
      <c r="R733" s="16"/>
      <c r="S733" s="16"/>
      <c r="T733" s="17"/>
      <c r="U733" s="11"/>
      <c r="V733" s="16"/>
      <c r="W733" s="11"/>
      <c r="X733" s="11"/>
      <c r="Y733" s="15"/>
      <c r="Z733" s="11"/>
    </row>
    <row r="734" spans="1:26" x14ac:dyDescent="0.25">
      <c r="A734" s="11"/>
      <c r="B734" s="11"/>
      <c r="C734" s="11"/>
      <c r="D734" s="11"/>
      <c r="E734" s="12"/>
      <c r="F734" s="13"/>
      <c r="G734" s="13"/>
      <c r="H734" s="13"/>
      <c r="I734" s="11"/>
      <c r="J734" s="11"/>
      <c r="K734" s="11"/>
      <c r="L734" s="11"/>
      <c r="M734" s="15"/>
      <c r="N734" s="15"/>
      <c r="O734" s="15"/>
      <c r="P734" s="15"/>
      <c r="Q734" s="16"/>
      <c r="R734" s="16"/>
      <c r="S734" s="16"/>
      <c r="T734" s="17"/>
      <c r="U734" s="11"/>
      <c r="V734" s="16"/>
      <c r="W734" s="11"/>
      <c r="X734" s="11"/>
      <c r="Y734" s="15"/>
      <c r="Z734" s="11"/>
    </row>
    <row r="735" spans="1:26" x14ac:dyDescent="0.25">
      <c r="A735" s="11"/>
      <c r="B735" s="11"/>
      <c r="C735" s="11"/>
      <c r="D735" s="11"/>
      <c r="E735" s="12"/>
      <c r="F735" s="13"/>
      <c r="G735" s="13"/>
      <c r="H735" s="13"/>
      <c r="I735" s="11"/>
      <c r="J735" s="11"/>
      <c r="K735" s="11"/>
      <c r="L735" s="11"/>
      <c r="M735" s="15"/>
      <c r="N735" s="15"/>
      <c r="O735" s="15"/>
      <c r="P735" s="15"/>
      <c r="Q735" s="16"/>
      <c r="R735" s="16"/>
      <c r="S735" s="16"/>
      <c r="T735" s="17"/>
      <c r="U735" s="11"/>
      <c r="V735" s="16"/>
      <c r="W735" s="11"/>
      <c r="X735" s="11"/>
      <c r="Y735" s="15"/>
      <c r="Z735" s="11"/>
    </row>
    <row r="736" spans="1:26" x14ac:dyDescent="0.25">
      <c r="A736" s="11"/>
      <c r="B736" s="11"/>
      <c r="C736" s="11"/>
      <c r="D736" s="11"/>
      <c r="E736" s="12"/>
      <c r="F736" s="13"/>
      <c r="G736" s="13"/>
      <c r="H736" s="13"/>
      <c r="I736" s="11"/>
      <c r="J736" s="11"/>
      <c r="K736" s="11"/>
      <c r="L736" s="11"/>
      <c r="M736" s="15"/>
      <c r="N736" s="15"/>
      <c r="O736" s="15"/>
      <c r="P736" s="15"/>
      <c r="Q736" s="16"/>
      <c r="R736" s="16"/>
      <c r="S736" s="16"/>
      <c r="T736" s="17"/>
      <c r="U736" s="11"/>
      <c r="V736" s="16"/>
      <c r="W736" s="11"/>
      <c r="X736" s="11"/>
      <c r="Y736" s="15"/>
      <c r="Z736" s="11"/>
    </row>
    <row r="737" spans="1:26" x14ac:dyDescent="0.25">
      <c r="A737" s="11"/>
      <c r="B737" s="11"/>
      <c r="C737" s="11"/>
      <c r="D737" s="11"/>
      <c r="E737" s="12"/>
      <c r="F737" s="13"/>
      <c r="G737" s="13"/>
      <c r="H737" s="13"/>
      <c r="I737" s="11"/>
      <c r="J737" s="11"/>
      <c r="K737" s="11"/>
      <c r="L737" s="11"/>
      <c r="M737" s="15"/>
      <c r="N737" s="15"/>
      <c r="O737" s="15"/>
      <c r="P737" s="15"/>
      <c r="Q737" s="16"/>
      <c r="R737" s="16"/>
      <c r="S737" s="16"/>
      <c r="T737" s="17"/>
      <c r="U737" s="11"/>
      <c r="V737" s="16"/>
      <c r="W737" s="11"/>
      <c r="X737" s="11"/>
      <c r="Y737" s="15"/>
      <c r="Z737" s="11"/>
    </row>
    <row r="738" spans="1:26" x14ac:dyDescent="0.25">
      <c r="A738" s="11"/>
      <c r="B738" s="11"/>
      <c r="C738" s="11"/>
      <c r="D738" s="11"/>
      <c r="E738" s="12"/>
      <c r="F738" s="13"/>
      <c r="G738" s="13"/>
      <c r="H738" s="13"/>
      <c r="I738" s="11"/>
      <c r="J738" s="11"/>
      <c r="K738" s="11"/>
      <c r="L738" s="11"/>
      <c r="M738" s="15"/>
      <c r="N738" s="15"/>
      <c r="O738" s="15"/>
      <c r="P738" s="15"/>
      <c r="Q738" s="16"/>
      <c r="R738" s="16"/>
      <c r="S738" s="16"/>
      <c r="T738" s="17"/>
      <c r="U738" s="11"/>
      <c r="V738" s="16"/>
      <c r="W738" s="11"/>
      <c r="X738" s="11"/>
      <c r="Y738" s="15"/>
      <c r="Z738" s="11"/>
    </row>
    <row r="739" spans="1:26" x14ac:dyDescent="0.25">
      <c r="A739" s="18"/>
      <c r="B739" s="18"/>
      <c r="C739" s="18"/>
      <c r="D739" s="18"/>
      <c r="E739" s="19"/>
      <c r="F739" s="20"/>
      <c r="G739" s="13"/>
      <c r="H739" s="20"/>
      <c r="I739" s="18"/>
      <c r="J739" s="18"/>
      <c r="K739" s="18"/>
      <c r="L739" s="18"/>
      <c r="M739" s="21"/>
      <c r="N739" s="21"/>
      <c r="O739" s="21"/>
      <c r="P739" s="21"/>
      <c r="Q739" s="22"/>
      <c r="R739" s="19"/>
      <c r="S739" s="22"/>
      <c r="T739" s="23"/>
      <c r="U739" s="18"/>
      <c r="V739" s="22"/>
      <c r="W739" s="18"/>
      <c r="X739" s="18"/>
      <c r="Y739" s="21"/>
      <c r="Z739" s="18"/>
    </row>
    <row r="740" spans="1:26" x14ac:dyDescent="0.25">
      <c r="A740" s="11"/>
      <c r="B740" s="11"/>
      <c r="C740" s="11"/>
      <c r="D740" s="11"/>
      <c r="E740" s="12"/>
      <c r="F740" s="13"/>
      <c r="G740" s="13"/>
      <c r="H740" s="13"/>
      <c r="I740" s="11"/>
      <c r="J740" s="11"/>
      <c r="K740" s="11"/>
      <c r="L740" s="11"/>
      <c r="M740" s="15"/>
      <c r="N740" s="15"/>
      <c r="O740" s="15"/>
      <c r="P740" s="15"/>
      <c r="Q740" s="16"/>
      <c r="R740" s="16"/>
      <c r="S740" s="16"/>
      <c r="T740" s="17"/>
      <c r="U740" s="11"/>
      <c r="V740" s="16"/>
      <c r="W740" s="11"/>
      <c r="X740" s="11"/>
      <c r="Y740" s="15"/>
      <c r="Z740" s="11"/>
    </row>
    <row r="741" spans="1:26" x14ac:dyDescent="0.25">
      <c r="A741" s="11"/>
      <c r="B741" s="11"/>
      <c r="C741" s="11"/>
      <c r="D741" s="11"/>
      <c r="E741" s="12"/>
      <c r="F741" s="13"/>
      <c r="G741" s="13"/>
      <c r="H741" s="13"/>
      <c r="I741" s="11"/>
      <c r="J741" s="11"/>
      <c r="K741" s="11"/>
      <c r="L741" s="11"/>
      <c r="M741" s="15"/>
      <c r="N741" s="15"/>
      <c r="O741" s="15"/>
      <c r="P741" s="15"/>
      <c r="Q741" s="16"/>
      <c r="R741" s="16"/>
      <c r="S741" s="16"/>
      <c r="T741" s="17"/>
      <c r="U741" s="11"/>
      <c r="V741" s="16"/>
      <c r="W741" s="11"/>
      <c r="X741" s="11"/>
      <c r="Y741" s="15"/>
      <c r="Z741" s="11"/>
    </row>
    <row r="742" spans="1:26" x14ac:dyDescent="0.25">
      <c r="A742" s="18"/>
      <c r="B742" s="18"/>
      <c r="C742" s="18"/>
      <c r="D742" s="18"/>
      <c r="E742" s="19"/>
      <c r="F742" s="20"/>
      <c r="G742" s="13"/>
      <c r="H742" s="20"/>
      <c r="I742" s="18"/>
      <c r="J742" s="18"/>
      <c r="K742" s="18"/>
      <c r="L742" s="18"/>
      <c r="M742" s="21"/>
      <c r="N742" s="21"/>
      <c r="O742" s="21"/>
      <c r="P742" s="21"/>
      <c r="Q742" s="22"/>
      <c r="R742" s="19"/>
      <c r="S742" s="22"/>
      <c r="T742" s="23"/>
      <c r="U742" s="18"/>
      <c r="V742" s="22"/>
      <c r="W742" s="18"/>
      <c r="X742" s="18"/>
      <c r="Y742" s="21"/>
      <c r="Z742" s="18"/>
    </row>
    <row r="743" spans="1:26" x14ac:dyDescent="0.25">
      <c r="A743" s="11"/>
      <c r="B743" s="11"/>
      <c r="C743" s="11"/>
      <c r="D743" s="11"/>
      <c r="E743" s="12"/>
      <c r="F743" s="13"/>
      <c r="G743" s="13"/>
      <c r="H743" s="13"/>
      <c r="I743" s="11"/>
      <c r="J743" s="11"/>
      <c r="K743" s="11"/>
      <c r="L743" s="11"/>
      <c r="M743" s="15"/>
      <c r="N743" s="15"/>
      <c r="O743" s="15"/>
      <c r="P743" s="15"/>
      <c r="Q743" s="16"/>
      <c r="R743" s="16"/>
      <c r="S743" s="16"/>
      <c r="T743" s="17"/>
      <c r="U743" s="11"/>
      <c r="V743" s="16"/>
      <c r="W743" s="11"/>
      <c r="X743" s="11"/>
      <c r="Y743" s="15"/>
      <c r="Z743" s="11"/>
    </row>
    <row r="744" spans="1:26" x14ac:dyDescent="0.25">
      <c r="A744" s="18"/>
      <c r="B744" s="18"/>
      <c r="C744" s="18"/>
      <c r="D744" s="18"/>
      <c r="E744" s="19"/>
      <c r="F744" s="20"/>
      <c r="G744" s="13"/>
      <c r="H744" s="20"/>
      <c r="I744" s="18"/>
      <c r="J744" s="18"/>
      <c r="K744" s="18"/>
      <c r="L744" s="18"/>
      <c r="M744" s="21"/>
      <c r="N744" s="21"/>
      <c r="O744" s="21"/>
      <c r="P744" s="21"/>
      <c r="Q744" s="22"/>
      <c r="R744" s="19"/>
      <c r="S744" s="22"/>
      <c r="T744" s="23"/>
      <c r="U744" s="18"/>
      <c r="V744" s="22"/>
      <c r="W744" s="18"/>
      <c r="X744" s="18"/>
      <c r="Y744" s="21"/>
      <c r="Z744" s="18"/>
    </row>
    <row r="745" spans="1:26" x14ac:dyDescent="0.25">
      <c r="A745" s="18"/>
      <c r="B745" s="18"/>
      <c r="C745" s="18"/>
      <c r="D745" s="18"/>
      <c r="E745" s="19"/>
      <c r="F745" s="20"/>
      <c r="G745" s="13"/>
      <c r="H745" s="20"/>
      <c r="I745" s="18"/>
      <c r="J745" s="18"/>
      <c r="K745" s="18"/>
      <c r="L745" s="18"/>
      <c r="M745" s="21"/>
      <c r="N745" s="21"/>
      <c r="O745" s="21"/>
      <c r="P745" s="21"/>
      <c r="Q745" s="22"/>
      <c r="R745" s="19"/>
      <c r="S745" s="22"/>
      <c r="T745" s="23"/>
      <c r="U745" s="18"/>
      <c r="V745" s="22"/>
      <c r="W745" s="18"/>
      <c r="X745" s="18"/>
      <c r="Y745" s="21"/>
      <c r="Z745" s="18"/>
    </row>
    <row r="746" spans="1:26" x14ac:dyDescent="0.25">
      <c r="A746" s="18"/>
      <c r="B746" s="18"/>
      <c r="C746" s="18"/>
      <c r="D746" s="18"/>
      <c r="E746" s="19"/>
      <c r="F746" s="20"/>
      <c r="G746" s="13"/>
      <c r="H746" s="20"/>
      <c r="I746" s="18"/>
      <c r="J746" s="18"/>
      <c r="K746" s="18"/>
      <c r="L746" s="18"/>
      <c r="M746" s="21"/>
      <c r="N746" s="21"/>
      <c r="O746" s="21"/>
      <c r="P746" s="21"/>
      <c r="Q746" s="22"/>
      <c r="R746" s="19"/>
      <c r="S746" s="22"/>
      <c r="T746" s="23"/>
      <c r="U746" s="18"/>
      <c r="V746" s="22"/>
      <c r="W746" s="18"/>
      <c r="X746" s="18"/>
      <c r="Y746" s="21"/>
      <c r="Z746" s="18"/>
    </row>
    <row r="747" spans="1:26" x14ac:dyDescent="0.25">
      <c r="A747" s="11"/>
      <c r="B747" s="11"/>
      <c r="C747" s="11"/>
      <c r="D747" s="11"/>
      <c r="E747" s="12"/>
      <c r="F747" s="13"/>
      <c r="G747" s="13"/>
      <c r="H747" s="13"/>
      <c r="I747" s="11"/>
      <c r="J747" s="11"/>
      <c r="K747" s="11"/>
      <c r="L747" s="11"/>
      <c r="M747" s="15"/>
      <c r="N747" s="15"/>
      <c r="O747" s="15"/>
      <c r="P747" s="15"/>
      <c r="Q747" s="16"/>
      <c r="R747" s="16"/>
      <c r="S747" s="16"/>
      <c r="T747" s="17"/>
      <c r="U747" s="11"/>
      <c r="V747" s="16"/>
      <c r="W747" s="11"/>
      <c r="X747" s="11"/>
      <c r="Y747" s="15"/>
      <c r="Z747" s="11"/>
    </row>
    <row r="748" spans="1:26" x14ac:dyDescent="0.25">
      <c r="A748" s="11"/>
      <c r="B748" s="11"/>
      <c r="C748" s="11"/>
      <c r="D748" s="11"/>
      <c r="E748" s="12"/>
      <c r="F748" s="13"/>
      <c r="G748" s="13"/>
      <c r="H748" s="13"/>
      <c r="I748" s="11"/>
      <c r="J748" s="11"/>
      <c r="K748" s="11"/>
      <c r="L748" s="11"/>
      <c r="M748" s="15"/>
      <c r="N748" s="15"/>
      <c r="O748" s="15"/>
      <c r="P748" s="15"/>
      <c r="Q748" s="16"/>
      <c r="R748" s="16"/>
      <c r="S748" s="16"/>
      <c r="T748" s="17"/>
      <c r="U748" s="11"/>
      <c r="V748" s="16"/>
      <c r="W748" s="11"/>
      <c r="X748" s="11"/>
      <c r="Y748" s="15"/>
      <c r="Z748" s="11"/>
    </row>
    <row r="749" spans="1:26" x14ac:dyDescent="0.25">
      <c r="A749" s="11"/>
      <c r="B749" s="11"/>
      <c r="C749" s="11"/>
      <c r="D749" s="11"/>
      <c r="E749" s="12"/>
      <c r="F749" s="13"/>
      <c r="G749" s="13"/>
      <c r="H749" s="13"/>
      <c r="I749" s="11"/>
      <c r="J749" s="11"/>
      <c r="K749" s="11"/>
      <c r="L749" s="11"/>
      <c r="M749" s="15"/>
      <c r="N749" s="15"/>
      <c r="O749" s="15"/>
      <c r="P749" s="15"/>
      <c r="Q749" s="16"/>
      <c r="R749" s="16"/>
      <c r="S749" s="16"/>
      <c r="T749" s="17"/>
      <c r="U749" s="11"/>
      <c r="V749" s="16"/>
      <c r="W749" s="11"/>
      <c r="X749" s="11"/>
      <c r="Y749" s="15"/>
      <c r="Z749" s="11"/>
    </row>
    <row r="750" spans="1:26" x14ac:dyDescent="0.25">
      <c r="A750" s="11"/>
      <c r="B750" s="11"/>
      <c r="C750" s="11"/>
      <c r="D750" s="11"/>
      <c r="E750" s="12"/>
      <c r="F750" s="13"/>
      <c r="G750" s="13"/>
      <c r="H750" s="13"/>
      <c r="I750" s="11"/>
      <c r="J750" s="11"/>
      <c r="K750" s="11"/>
      <c r="L750" s="11"/>
      <c r="M750" s="15"/>
      <c r="N750" s="15"/>
      <c r="O750" s="15"/>
      <c r="P750" s="15"/>
      <c r="Q750" s="16"/>
      <c r="R750" s="16"/>
      <c r="S750" s="16"/>
      <c r="T750" s="17"/>
      <c r="U750" s="11"/>
      <c r="V750" s="16"/>
      <c r="W750" s="11"/>
      <c r="X750" s="11"/>
      <c r="Y750" s="15"/>
      <c r="Z750" s="11"/>
    </row>
    <row r="751" spans="1:26" x14ac:dyDescent="0.25">
      <c r="A751" s="11"/>
      <c r="B751" s="11"/>
      <c r="C751" s="11"/>
      <c r="D751" s="11"/>
      <c r="E751" s="12"/>
      <c r="F751" s="13"/>
      <c r="G751" s="13"/>
      <c r="H751" s="13"/>
      <c r="I751" s="11"/>
      <c r="J751" s="11"/>
      <c r="K751" s="11"/>
      <c r="L751" s="11"/>
      <c r="M751" s="15"/>
      <c r="N751" s="15"/>
      <c r="O751" s="15"/>
      <c r="P751" s="15"/>
      <c r="Q751" s="16"/>
      <c r="R751" s="16"/>
      <c r="S751" s="16"/>
      <c r="T751" s="17"/>
      <c r="U751" s="11"/>
      <c r="V751" s="16"/>
      <c r="W751" s="11"/>
      <c r="X751" s="11"/>
      <c r="Y751" s="15"/>
      <c r="Z751" s="11"/>
    </row>
    <row r="752" spans="1:26" x14ac:dyDescent="0.25">
      <c r="A752" s="18"/>
      <c r="B752" s="18"/>
      <c r="C752" s="18"/>
      <c r="D752" s="18"/>
      <c r="E752" s="19"/>
      <c r="F752" s="20"/>
      <c r="G752" s="13"/>
      <c r="H752" s="20"/>
      <c r="I752" s="18"/>
      <c r="J752" s="18"/>
      <c r="K752" s="18"/>
      <c r="L752" s="18"/>
      <c r="M752" s="21"/>
      <c r="N752" s="21"/>
      <c r="O752" s="21"/>
      <c r="P752" s="21"/>
      <c r="Q752" s="22"/>
      <c r="R752" s="19"/>
      <c r="S752" s="22"/>
      <c r="T752" s="23"/>
      <c r="U752" s="18"/>
      <c r="V752" s="22"/>
      <c r="W752" s="18"/>
      <c r="X752" s="18"/>
      <c r="Y752" s="21"/>
      <c r="Z752" s="18"/>
    </row>
    <row r="753" spans="1:26" x14ac:dyDescent="0.25">
      <c r="A753" s="18"/>
      <c r="B753" s="18"/>
      <c r="C753" s="18"/>
      <c r="D753" s="18"/>
      <c r="E753" s="19"/>
      <c r="F753" s="20"/>
      <c r="G753" s="13"/>
      <c r="H753" s="20"/>
      <c r="I753" s="18"/>
      <c r="J753" s="18"/>
      <c r="K753" s="18"/>
      <c r="L753" s="18"/>
      <c r="M753" s="21"/>
      <c r="N753" s="21"/>
      <c r="O753" s="21"/>
      <c r="P753" s="21"/>
      <c r="Q753" s="22"/>
      <c r="R753" s="19"/>
      <c r="S753" s="22"/>
      <c r="T753" s="23"/>
      <c r="U753" s="18"/>
      <c r="V753" s="22"/>
      <c r="W753" s="18"/>
      <c r="X753" s="18"/>
      <c r="Y753" s="21"/>
      <c r="Z753" s="18"/>
    </row>
    <row r="754" spans="1:26" x14ac:dyDescent="0.25">
      <c r="A754" s="11"/>
      <c r="B754" s="11"/>
      <c r="C754" s="11"/>
      <c r="D754" s="11"/>
      <c r="E754" s="12"/>
      <c r="F754" s="13"/>
      <c r="G754" s="13"/>
      <c r="H754" s="13"/>
      <c r="I754" s="11"/>
      <c r="J754" s="11"/>
      <c r="K754" s="11"/>
      <c r="L754" s="11"/>
      <c r="M754" s="15"/>
      <c r="N754" s="15"/>
      <c r="O754" s="15"/>
      <c r="P754" s="15"/>
      <c r="Q754" s="16"/>
      <c r="R754" s="16"/>
      <c r="S754" s="16"/>
      <c r="T754" s="17"/>
      <c r="U754" s="11"/>
      <c r="V754" s="16"/>
      <c r="W754" s="11"/>
      <c r="X754" s="11"/>
      <c r="Y754" s="15"/>
      <c r="Z754" s="11"/>
    </row>
    <row r="755" spans="1:26" x14ac:dyDescent="0.25">
      <c r="A755" s="11"/>
      <c r="B755" s="11"/>
      <c r="C755" s="11"/>
      <c r="D755" s="11"/>
      <c r="E755" s="12"/>
      <c r="F755" s="13"/>
      <c r="G755" s="13"/>
      <c r="H755" s="13"/>
      <c r="I755" s="11"/>
      <c r="J755" s="11"/>
      <c r="K755" s="11"/>
      <c r="L755" s="11"/>
      <c r="M755" s="15"/>
      <c r="N755" s="15"/>
      <c r="O755" s="15"/>
      <c r="P755" s="15"/>
      <c r="Q755" s="16"/>
      <c r="R755" s="16"/>
      <c r="S755" s="16"/>
      <c r="T755" s="17"/>
      <c r="U755" s="11"/>
      <c r="V755" s="16"/>
      <c r="W755" s="11"/>
      <c r="X755" s="11"/>
      <c r="Y755" s="15"/>
      <c r="Z755" s="11"/>
    </row>
    <row r="756" spans="1:26" x14ac:dyDescent="0.25">
      <c r="A756" s="11"/>
      <c r="B756" s="11"/>
      <c r="C756" s="11"/>
      <c r="D756" s="11"/>
      <c r="E756" s="12"/>
      <c r="F756" s="13"/>
      <c r="G756" s="13"/>
      <c r="H756" s="13"/>
      <c r="I756" s="11"/>
      <c r="J756" s="11"/>
      <c r="K756" s="11"/>
      <c r="L756" s="11"/>
      <c r="M756" s="15"/>
      <c r="N756" s="15"/>
      <c r="O756" s="15"/>
      <c r="P756" s="15"/>
      <c r="Q756" s="16"/>
      <c r="R756" s="16"/>
      <c r="S756" s="16"/>
      <c r="T756" s="17"/>
      <c r="U756" s="11"/>
      <c r="V756" s="16"/>
      <c r="W756" s="11"/>
      <c r="X756" s="11"/>
      <c r="Y756" s="15"/>
      <c r="Z756" s="11"/>
    </row>
    <row r="757" spans="1:26" x14ac:dyDescent="0.25">
      <c r="A757" s="19"/>
      <c r="B757" s="19"/>
      <c r="C757" s="19"/>
      <c r="D757" s="19"/>
      <c r="E757" s="19"/>
      <c r="F757" s="20"/>
      <c r="G757" s="13"/>
      <c r="H757" s="20"/>
      <c r="I757" s="19"/>
      <c r="J757" s="19"/>
      <c r="K757" s="19"/>
      <c r="L757" s="19"/>
      <c r="M757" s="21"/>
      <c r="N757" s="21"/>
      <c r="O757" s="21"/>
      <c r="P757" s="21"/>
      <c r="Q757" s="22"/>
      <c r="R757" s="19"/>
      <c r="S757" s="22"/>
      <c r="T757" s="23"/>
      <c r="U757" s="19"/>
      <c r="V757" s="22"/>
      <c r="W757" s="19"/>
      <c r="X757" s="19"/>
      <c r="Y757" s="21"/>
      <c r="Z757" s="19"/>
    </row>
    <row r="758" spans="1:26" x14ac:dyDescent="0.25">
      <c r="A758" s="18"/>
      <c r="B758" s="18"/>
      <c r="C758" s="18"/>
      <c r="D758" s="18"/>
      <c r="E758" s="19"/>
      <c r="F758" s="20"/>
      <c r="G758" s="13"/>
      <c r="H758" s="20"/>
      <c r="I758" s="18"/>
      <c r="J758" s="18"/>
      <c r="K758" s="18"/>
      <c r="L758" s="18"/>
      <c r="M758" s="21"/>
      <c r="N758" s="21"/>
      <c r="O758" s="21"/>
      <c r="P758" s="21"/>
      <c r="Q758" s="22"/>
      <c r="R758" s="19"/>
      <c r="S758" s="22"/>
      <c r="T758" s="23"/>
      <c r="U758" s="18"/>
      <c r="V758" s="22"/>
      <c r="W758" s="18"/>
      <c r="X758" s="18"/>
      <c r="Y758" s="21"/>
      <c r="Z758" s="18"/>
    </row>
    <row r="759" spans="1:26" x14ac:dyDescent="0.25">
      <c r="A759" s="11"/>
      <c r="B759" s="11"/>
      <c r="C759" s="11"/>
      <c r="D759" s="11"/>
      <c r="E759" s="12"/>
      <c r="F759" s="13"/>
      <c r="G759" s="13"/>
      <c r="H759" s="13"/>
      <c r="I759" s="11"/>
      <c r="J759" s="11"/>
      <c r="K759" s="11"/>
      <c r="L759" s="11"/>
      <c r="M759" s="15"/>
      <c r="N759" s="15"/>
      <c r="O759" s="15"/>
      <c r="P759" s="15"/>
      <c r="Q759" s="16"/>
      <c r="R759" s="16"/>
      <c r="S759" s="16"/>
      <c r="T759" s="17"/>
      <c r="U759" s="11"/>
      <c r="V759" s="16"/>
      <c r="W759" s="11"/>
      <c r="X759" s="11"/>
      <c r="Y759" s="15"/>
      <c r="Z759" s="11"/>
    </row>
    <row r="760" spans="1:26" x14ac:dyDescent="0.25">
      <c r="A760" s="11"/>
      <c r="B760" s="11"/>
      <c r="C760" s="11"/>
      <c r="D760" s="11"/>
      <c r="E760" s="12"/>
      <c r="F760" s="13"/>
      <c r="G760" s="13"/>
      <c r="H760" s="13"/>
      <c r="I760" s="11"/>
      <c r="J760" s="11"/>
      <c r="K760" s="11"/>
      <c r="L760" s="11"/>
      <c r="M760" s="15"/>
      <c r="N760" s="15"/>
      <c r="O760" s="15"/>
      <c r="P760" s="15"/>
      <c r="Q760" s="16"/>
      <c r="R760" s="16"/>
      <c r="S760" s="16"/>
      <c r="T760" s="17"/>
      <c r="U760" s="11"/>
      <c r="V760" s="16"/>
      <c r="W760" s="11"/>
      <c r="X760" s="11"/>
      <c r="Y760" s="15"/>
      <c r="Z760" s="11"/>
    </row>
    <row r="761" spans="1:26" x14ac:dyDescent="0.25">
      <c r="A761" s="18"/>
      <c r="B761" s="18"/>
      <c r="C761" s="18"/>
      <c r="D761" s="18"/>
      <c r="E761" s="19"/>
      <c r="F761" s="20"/>
      <c r="G761" s="13"/>
      <c r="H761" s="20"/>
      <c r="I761" s="18"/>
      <c r="J761" s="18"/>
      <c r="K761" s="18"/>
      <c r="L761" s="18"/>
      <c r="M761" s="21"/>
      <c r="N761" s="21"/>
      <c r="O761" s="21"/>
      <c r="P761" s="21"/>
      <c r="Q761" s="22"/>
      <c r="R761" s="19"/>
      <c r="S761" s="22"/>
      <c r="T761" s="23"/>
      <c r="U761" s="18"/>
      <c r="V761" s="22"/>
      <c r="W761" s="18"/>
      <c r="X761" s="18"/>
      <c r="Y761" s="21"/>
      <c r="Z761" s="18"/>
    </row>
    <row r="762" spans="1:26" x14ac:dyDescent="0.25">
      <c r="A762" s="11"/>
      <c r="B762" s="11"/>
      <c r="C762" s="11"/>
      <c r="D762" s="11"/>
      <c r="E762" s="12"/>
      <c r="F762" s="13"/>
      <c r="G762" s="13"/>
      <c r="H762" s="13"/>
      <c r="I762" s="11"/>
      <c r="J762" s="11"/>
      <c r="K762" s="11"/>
      <c r="L762" s="11"/>
      <c r="M762" s="15"/>
      <c r="N762" s="15"/>
      <c r="O762" s="15"/>
      <c r="P762" s="15"/>
      <c r="Q762" s="16"/>
      <c r="R762" s="16"/>
      <c r="S762" s="16"/>
      <c r="T762" s="17"/>
      <c r="U762" s="11"/>
      <c r="V762" s="16"/>
      <c r="W762" s="11"/>
      <c r="X762" s="11"/>
      <c r="Y762" s="15"/>
      <c r="Z762" s="11"/>
    </row>
    <row r="763" spans="1:26" x14ac:dyDescent="0.25">
      <c r="A763" s="11"/>
      <c r="B763" s="11"/>
      <c r="C763" s="11"/>
      <c r="D763" s="11"/>
      <c r="E763" s="12"/>
      <c r="F763" s="13"/>
      <c r="G763" s="13"/>
      <c r="H763" s="13"/>
      <c r="I763" s="11"/>
      <c r="J763" s="11"/>
      <c r="K763" s="11"/>
      <c r="L763" s="11"/>
      <c r="M763" s="15"/>
      <c r="N763" s="15"/>
      <c r="O763" s="15"/>
      <c r="P763" s="15"/>
      <c r="Q763" s="16"/>
      <c r="R763" s="16"/>
      <c r="S763" s="16"/>
      <c r="T763" s="17"/>
      <c r="U763" s="11"/>
      <c r="V763" s="16"/>
      <c r="W763" s="11"/>
      <c r="X763" s="11"/>
      <c r="Y763" s="15"/>
      <c r="Z763" s="11"/>
    </row>
    <row r="764" spans="1:26" x14ac:dyDescent="0.25">
      <c r="A764" s="11"/>
      <c r="B764" s="11"/>
      <c r="C764" s="11"/>
      <c r="D764" s="11"/>
      <c r="E764" s="12"/>
      <c r="F764" s="13"/>
      <c r="G764" s="13"/>
      <c r="H764" s="13"/>
      <c r="I764" s="11"/>
      <c r="J764" s="11"/>
      <c r="K764" s="11"/>
      <c r="L764" s="11"/>
      <c r="M764" s="15"/>
      <c r="N764" s="15"/>
      <c r="O764" s="15"/>
      <c r="P764" s="15"/>
      <c r="Q764" s="16"/>
      <c r="R764" s="16"/>
      <c r="S764" s="16"/>
      <c r="T764" s="17"/>
      <c r="U764" s="11"/>
      <c r="V764" s="16"/>
      <c r="W764" s="11"/>
      <c r="X764" s="11"/>
      <c r="Y764" s="15"/>
      <c r="Z764" s="11"/>
    </row>
    <row r="765" spans="1:26" x14ac:dyDescent="0.25">
      <c r="A765" s="11"/>
      <c r="B765" s="11"/>
      <c r="C765" s="11"/>
      <c r="D765" s="11"/>
      <c r="E765" s="12"/>
      <c r="F765" s="13"/>
      <c r="G765" s="13"/>
      <c r="H765" s="13"/>
      <c r="I765" s="11"/>
      <c r="J765" s="11"/>
      <c r="K765" s="11"/>
      <c r="L765" s="11"/>
      <c r="M765" s="15"/>
      <c r="N765" s="15"/>
      <c r="O765" s="15"/>
      <c r="P765" s="15"/>
      <c r="Q765" s="16"/>
      <c r="R765" s="16"/>
      <c r="S765" s="16"/>
      <c r="T765" s="17"/>
      <c r="U765" s="11"/>
      <c r="V765" s="16"/>
      <c r="W765" s="11"/>
      <c r="X765" s="11"/>
      <c r="Y765" s="15"/>
      <c r="Z765" s="11"/>
    </row>
    <row r="766" spans="1:26" x14ac:dyDescent="0.25">
      <c r="A766" s="11"/>
      <c r="B766" s="11"/>
      <c r="C766" s="11"/>
      <c r="D766" s="11"/>
      <c r="E766" s="12"/>
      <c r="F766" s="13"/>
      <c r="G766" s="13"/>
      <c r="H766" s="13"/>
      <c r="I766" s="11"/>
      <c r="J766" s="11"/>
      <c r="K766" s="11"/>
      <c r="L766" s="11"/>
      <c r="M766" s="15"/>
      <c r="N766" s="15"/>
      <c r="O766" s="15"/>
      <c r="P766" s="15"/>
      <c r="Q766" s="16"/>
      <c r="R766" s="16"/>
      <c r="S766" s="16"/>
      <c r="T766" s="17"/>
      <c r="U766" s="11"/>
      <c r="V766" s="16"/>
      <c r="W766" s="11"/>
      <c r="X766" s="11"/>
      <c r="Y766" s="15"/>
      <c r="Z766" s="11"/>
    </row>
    <row r="767" spans="1:26" x14ac:dyDescent="0.25">
      <c r="A767" s="11"/>
      <c r="B767" s="11"/>
      <c r="C767" s="11"/>
      <c r="D767" s="11"/>
      <c r="E767" s="12"/>
      <c r="F767" s="13"/>
      <c r="G767" s="13"/>
      <c r="H767" s="13"/>
      <c r="I767" s="11"/>
      <c r="J767" s="11"/>
      <c r="K767" s="11"/>
      <c r="L767" s="11"/>
      <c r="M767" s="15"/>
      <c r="N767" s="15"/>
      <c r="O767" s="15"/>
      <c r="P767" s="15"/>
      <c r="Q767" s="16"/>
      <c r="R767" s="16"/>
      <c r="S767" s="16"/>
      <c r="T767" s="17"/>
      <c r="U767" s="11"/>
      <c r="V767" s="16"/>
      <c r="W767" s="11"/>
      <c r="X767" s="11"/>
      <c r="Y767" s="15"/>
      <c r="Z767" s="11"/>
    </row>
    <row r="768" spans="1:26" x14ac:dyDescent="0.25">
      <c r="A768" s="11"/>
      <c r="B768" s="11"/>
      <c r="C768" s="11"/>
      <c r="D768" s="11"/>
      <c r="E768" s="12"/>
      <c r="F768" s="13"/>
      <c r="G768" s="13"/>
      <c r="H768" s="13"/>
      <c r="I768" s="11"/>
      <c r="J768" s="11"/>
      <c r="K768" s="11"/>
      <c r="L768" s="11"/>
      <c r="M768" s="15"/>
      <c r="N768" s="15"/>
      <c r="O768" s="15"/>
      <c r="P768" s="15"/>
      <c r="Q768" s="16"/>
      <c r="R768" s="16"/>
      <c r="S768" s="16"/>
      <c r="T768" s="17"/>
      <c r="U768" s="11"/>
      <c r="V768" s="16"/>
      <c r="W768" s="11"/>
      <c r="X768" s="11"/>
      <c r="Y768" s="15"/>
      <c r="Z768" s="11"/>
    </row>
    <row r="769" spans="1:26" x14ac:dyDescent="0.25">
      <c r="A769" s="11"/>
      <c r="B769" s="11"/>
      <c r="C769" s="11"/>
      <c r="D769" s="11"/>
      <c r="E769" s="12"/>
      <c r="F769" s="13"/>
      <c r="G769" s="13"/>
      <c r="H769" s="13"/>
      <c r="I769" s="11"/>
      <c r="J769" s="11"/>
      <c r="K769" s="11"/>
      <c r="L769" s="11"/>
      <c r="M769" s="15"/>
      <c r="N769" s="15"/>
      <c r="O769" s="15"/>
      <c r="P769" s="15"/>
      <c r="Q769" s="16"/>
      <c r="R769" s="16"/>
      <c r="S769" s="16"/>
      <c r="T769" s="17"/>
      <c r="U769" s="11"/>
      <c r="V769" s="16"/>
      <c r="W769" s="11"/>
      <c r="X769" s="11"/>
      <c r="Y769" s="15"/>
      <c r="Z769" s="11"/>
    </row>
    <row r="770" spans="1:26" x14ac:dyDescent="0.25">
      <c r="A770" s="11"/>
      <c r="B770" s="11"/>
      <c r="C770" s="11"/>
      <c r="D770" s="11"/>
      <c r="E770" s="12"/>
      <c r="F770" s="13"/>
      <c r="G770" s="13"/>
      <c r="H770" s="13"/>
      <c r="I770" s="11"/>
      <c r="J770" s="11"/>
      <c r="K770" s="11"/>
      <c r="L770" s="11"/>
      <c r="M770" s="15"/>
      <c r="N770" s="15"/>
      <c r="O770" s="15"/>
      <c r="P770" s="15"/>
      <c r="Q770" s="16"/>
      <c r="R770" s="16"/>
      <c r="S770" s="16"/>
      <c r="T770" s="17"/>
      <c r="U770" s="11"/>
      <c r="V770" s="16"/>
      <c r="W770" s="11"/>
      <c r="X770" s="11"/>
      <c r="Y770" s="15"/>
      <c r="Z770" s="11"/>
    </row>
    <row r="771" spans="1:26" x14ac:dyDescent="0.25">
      <c r="A771" s="11"/>
      <c r="B771" s="11"/>
      <c r="C771" s="11"/>
      <c r="D771" s="11"/>
      <c r="E771" s="12"/>
      <c r="F771" s="13"/>
      <c r="G771" s="13"/>
      <c r="H771" s="13"/>
      <c r="I771" s="11"/>
      <c r="J771" s="11"/>
      <c r="K771" s="11"/>
      <c r="L771" s="11"/>
      <c r="M771" s="15"/>
      <c r="N771" s="15"/>
      <c r="O771" s="15"/>
      <c r="P771" s="15"/>
      <c r="Q771" s="16"/>
      <c r="R771" s="16"/>
      <c r="S771" s="16"/>
      <c r="T771" s="17"/>
      <c r="U771" s="11"/>
      <c r="V771" s="16"/>
      <c r="W771" s="11"/>
      <c r="X771" s="11"/>
      <c r="Y771" s="15"/>
      <c r="Z771" s="11"/>
    </row>
    <row r="772" spans="1:26" x14ac:dyDescent="0.25">
      <c r="A772" s="11"/>
      <c r="B772" s="11"/>
      <c r="C772" s="11"/>
      <c r="D772" s="11"/>
      <c r="E772" s="12"/>
      <c r="F772" s="13"/>
      <c r="G772" s="13"/>
      <c r="H772" s="13"/>
      <c r="I772" s="11"/>
      <c r="J772" s="11"/>
      <c r="K772" s="11"/>
      <c r="L772" s="11"/>
      <c r="M772" s="15"/>
      <c r="N772" s="15"/>
      <c r="O772" s="15"/>
      <c r="P772" s="15"/>
      <c r="Q772" s="16"/>
      <c r="R772" s="16"/>
      <c r="S772" s="16"/>
      <c r="T772" s="17"/>
      <c r="U772" s="11"/>
      <c r="V772" s="16"/>
      <c r="W772" s="11"/>
      <c r="X772" s="11"/>
      <c r="Y772" s="15"/>
      <c r="Z772" s="11"/>
    </row>
    <row r="773" spans="1:26" x14ac:dyDescent="0.25">
      <c r="A773" s="11"/>
      <c r="B773" s="11"/>
      <c r="C773" s="11"/>
      <c r="D773" s="11"/>
      <c r="E773" s="12"/>
      <c r="F773" s="13"/>
      <c r="G773" s="13"/>
      <c r="H773" s="13"/>
      <c r="I773" s="11"/>
      <c r="J773" s="11"/>
      <c r="K773" s="11"/>
      <c r="L773" s="11"/>
      <c r="M773" s="15"/>
      <c r="N773" s="15"/>
      <c r="O773" s="15"/>
      <c r="P773" s="15"/>
      <c r="Q773" s="16"/>
      <c r="R773" s="16"/>
      <c r="S773" s="16"/>
      <c r="T773" s="17"/>
      <c r="U773" s="11"/>
      <c r="V773" s="16"/>
      <c r="W773" s="11"/>
      <c r="X773" s="11"/>
      <c r="Y773" s="15"/>
      <c r="Z773" s="11"/>
    </row>
    <row r="774" spans="1:26" x14ac:dyDescent="0.25">
      <c r="A774" s="11"/>
      <c r="B774" s="11"/>
      <c r="C774" s="11"/>
      <c r="D774" s="11"/>
      <c r="E774" s="12"/>
      <c r="F774" s="13"/>
      <c r="G774" s="13"/>
      <c r="H774" s="13"/>
      <c r="I774" s="11"/>
      <c r="J774" s="11"/>
      <c r="K774" s="11"/>
      <c r="L774" s="11"/>
      <c r="M774" s="15"/>
      <c r="N774" s="15"/>
      <c r="O774" s="15"/>
      <c r="P774" s="15"/>
      <c r="Q774" s="16"/>
      <c r="R774" s="16"/>
      <c r="S774" s="16"/>
      <c r="T774" s="17"/>
      <c r="U774" s="11"/>
      <c r="V774" s="16"/>
      <c r="W774" s="11"/>
      <c r="X774" s="11"/>
      <c r="Y774" s="15"/>
      <c r="Z774" s="11"/>
    </row>
    <row r="775" spans="1:26" x14ac:dyDescent="0.25">
      <c r="A775" s="11"/>
      <c r="B775" s="11"/>
      <c r="C775" s="11"/>
      <c r="D775" s="11"/>
      <c r="E775" s="12"/>
      <c r="F775" s="13"/>
      <c r="G775" s="13"/>
      <c r="H775" s="13"/>
      <c r="I775" s="11"/>
      <c r="J775" s="11"/>
      <c r="K775" s="11"/>
      <c r="L775" s="11"/>
      <c r="M775" s="15"/>
      <c r="N775" s="15"/>
      <c r="O775" s="15"/>
      <c r="P775" s="15"/>
      <c r="Q775" s="16"/>
      <c r="R775" s="16"/>
      <c r="S775" s="16"/>
      <c r="T775" s="17"/>
      <c r="U775" s="11"/>
      <c r="V775" s="16"/>
      <c r="W775" s="11"/>
      <c r="X775" s="11"/>
      <c r="Y775" s="15"/>
      <c r="Z775" s="11"/>
    </row>
    <row r="776" spans="1:26" x14ac:dyDescent="0.25">
      <c r="A776" s="11"/>
      <c r="B776" s="11"/>
      <c r="C776" s="11"/>
      <c r="D776" s="11"/>
      <c r="E776" s="12"/>
      <c r="F776" s="13"/>
      <c r="G776" s="13"/>
      <c r="H776" s="13"/>
      <c r="I776" s="11"/>
      <c r="J776" s="11"/>
      <c r="K776" s="11"/>
      <c r="L776" s="11"/>
      <c r="M776" s="15"/>
      <c r="N776" s="15"/>
      <c r="O776" s="15"/>
      <c r="P776" s="15"/>
      <c r="Q776" s="16"/>
      <c r="R776" s="16"/>
      <c r="S776" s="16"/>
      <c r="T776" s="17"/>
      <c r="U776" s="11"/>
      <c r="V776" s="16"/>
      <c r="W776" s="11"/>
      <c r="X776" s="11"/>
      <c r="Y776" s="15"/>
      <c r="Z776" s="11"/>
    </row>
    <row r="777" spans="1:26" x14ac:dyDescent="0.25">
      <c r="A777" s="11"/>
      <c r="B777" s="11"/>
      <c r="C777" s="11"/>
      <c r="D777" s="11"/>
      <c r="E777" s="12"/>
      <c r="F777" s="13"/>
      <c r="G777" s="13"/>
      <c r="H777" s="13"/>
      <c r="I777" s="11"/>
      <c r="J777" s="11"/>
      <c r="K777" s="11"/>
      <c r="L777" s="11"/>
      <c r="M777" s="15"/>
      <c r="N777" s="15"/>
      <c r="O777" s="15"/>
      <c r="P777" s="15"/>
      <c r="Q777" s="16"/>
      <c r="R777" s="16"/>
      <c r="S777" s="16"/>
      <c r="T777" s="17"/>
      <c r="U777" s="11"/>
      <c r="V777" s="16"/>
      <c r="W777" s="11"/>
      <c r="X777" s="11"/>
      <c r="Y777" s="15"/>
      <c r="Z777" s="11"/>
    </row>
    <row r="778" spans="1:26" x14ac:dyDescent="0.25">
      <c r="A778" s="11"/>
      <c r="B778" s="11"/>
      <c r="C778" s="11"/>
      <c r="D778" s="11"/>
      <c r="E778" s="12"/>
      <c r="F778" s="13"/>
      <c r="G778" s="13"/>
      <c r="H778" s="13"/>
      <c r="I778" s="11"/>
      <c r="J778" s="11"/>
      <c r="K778" s="11"/>
      <c r="L778" s="11"/>
      <c r="M778" s="15"/>
      <c r="N778" s="15"/>
      <c r="O778" s="15"/>
      <c r="P778" s="15"/>
      <c r="Q778" s="16"/>
      <c r="R778" s="16"/>
      <c r="S778" s="16"/>
      <c r="T778" s="17"/>
      <c r="U778" s="11"/>
      <c r="V778" s="16"/>
      <c r="W778" s="11"/>
      <c r="X778" s="11"/>
      <c r="Y778" s="15"/>
      <c r="Z778" s="11"/>
    </row>
    <row r="779" spans="1:26" x14ac:dyDescent="0.25">
      <c r="A779" s="11"/>
      <c r="B779" s="11"/>
      <c r="C779" s="11"/>
      <c r="D779" s="11"/>
      <c r="E779" s="12"/>
      <c r="F779" s="13"/>
      <c r="G779" s="13"/>
      <c r="H779" s="13"/>
      <c r="I779" s="11"/>
      <c r="J779" s="11"/>
      <c r="K779" s="11"/>
      <c r="L779" s="11"/>
      <c r="M779" s="15"/>
      <c r="N779" s="15"/>
      <c r="O779" s="15"/>
      <c r="P779" s="15"/>
      <c r="Q779" s="16"/>
      <c r="R779" s="16"/>
      <c r="S779" s="16"/>
      <c r="T779" s="17"/>
      <c r="U779" s="11"/>
      <c r="V779" s="16"/>
      <c r="W779" s="11"/>
      <c r="X779" s="11"/>
      <c r="Y779" s="15"/>
      <c r="Z779" s="11"/>
    </row>
    <row r="780" spans="1:26" x14ac:dyDescent="0.25">
      <c r="A780" s="11"/>
      <c r="B780" s="11"/>
      <c r="C780" s="11"/>
      <c r="D780" s="11"/>
      <c r="E780" s="12"/>
      <c r="F780" s="13"/>
      <c r="G780" s="13"/>
      <c r="H780" s="13"/>
      <c r="I780" s="11"/>
      <c r="J780" s="11"/>
      <c r="K780" s="11"/>
      <c r="L780" s="11"/>
      <c r="M780" s="15"/>
      <c r="N780" s="15"/>
      <c r="O780" s="15"/>
      <c r="P780" s="15"/>
      <c r="Q780" s="16"/>
      <c r="R780" s="16"/>
      <c r="S780" s="16"/>
      <c r="T780" s="17"/>
      <c r="U780" s="11"/>
      <c r="V780" s="16"/>
      <c r="W780" s="11"/>
      <c r="X780" s="11"/>
      <c r="Y780" s="15"/>
      <c r="Z780" s="11"/>
    </row>
    <row r="781" spans="1:26" x14ac:dyDescent="0.25">
      <c r="A781" s="11"/>
      <c r="B781" s="11"/>
      <c r="C781" s="11"/>
      <c r="D781" s="11"/>
      <c r="E781" s="12"/>
      <c r="F781" s="13"/>
      <c r="G781" s="13"/>
      <c r="H781" s="13"/>
      <c r="I781" s="11"/>
      <c r="J781" s="11"/>
      <c r="K781" s="11"/>
      <c r="L781" s="11"/>
      <c r="M781" s="15"/>
      <c r="N781" s="15"/>
      <c r="O781" s="15"/>
      <c r="P781" s="15"/>
      <c r="Q781" s="16"/>
      <c r="R781" s="16"/>
      <c r="S781" s="16"/>
      <c r="T781" s="17"/>
      <c r="U781" s="11"/>
      <c r="V781" s="16"/>
      <c r="W781" s="11"/>
      <c r="X781" s="11"/>
      <c r="Y781" s="15"/>
      <c r="Z781" s="11"/>
    </row>
    <row r="782" spans="1:26" x14ac:dyDescent="0.25">
      <c r="A782" s="11"/>
      <c r="B782" s="11"/>
      <c r="C782" s="11"/>
      <c r="D782" s="11"/>
      <c r="E782" s="12"/>
      <c r="F782" s="13"/>
      <c r="G782" s="13"/>
      <c r="H782" s="13"/>
      <c r="I782" s="11"/>
      <c r="J782" s="11"/>
      <c r="K782" s="11"/>
      <c r="L782" s="11"/>
      <c r="M782" s="15"/>
      <c r="N782" s="15"/>
      <c r="O782" s="15"/>
      <c r="P782" s="15"/>
      <c r="Q782" s="16"/>
      <c r="R782" s="16"/>
      <c r="S782" s="16"/>
      <c r="T782" s="17"/>
      <c r="U782" s="11"/>
      <c r="V782" s="16"/>
      <c r="W782" s="11"/>
      <c r="X782" s="11"/>
      <c r="Y782" s="15"/>
      <c r="Z782" s="11"/>
    </row>
    <row r="783" spans="1:26" x14ac:dyDescent="0.25">
      <c r="A783" s="11"/>
      <c r="B783" s="11"/>
      <c r="C783" s="11"/>
      <c r="D783" s="11"/>
      <c r="E783" s="12"/>
      <c r="F783" s="13"/>
      <c r="G783" s="13"/>
      <c r="H783" s="13"/>
      <c r="I783" s="11"/>
      <c r="J783" s="11"/>
      <c r="K783" s="11"/>
      <c r="L783" s="11"/>
      <c r="M783" s="15"/>
      <c r="N783" s="15"/>
      <c r="O783" s="15"/>
      <c r="P783" s="15"/>
      <c r="Q783" s="16"/>
      <c r="R783" s="16"/>
      <c r="S783" s="16"/>
      <c r="T783" s="17"/>
      <c r="U783" s="11"/>
      <c r="V783" s="16"/>
      <c r="W783" s="11"/>
      <c r="X783" s="11"/>
      <c r="Y783" s="15"/>
      <c r="Z783" s="11"/>
    </row>
    <row r="784" spans="1:26" x14ac:dyDescent="0.25">
      <c r="A784" s="11"/>
      <c r="B784" s="11"/>
      <c r="C784" s="11"/>
      <c r="D784" s="11"/>
      <c r="E784" s="12"/>
      <c r="F784" s="13"/>
      <c r="G784" s="13"/>
      <c r="H784" s="13"/>
      <c r="I784" s="11"/>
      <c r="J784" s="11"/>
      <c r="K784" s="11"/>
      <c r="L784" s="11"/>
      <c r="M784" s="15"/>
      <c r="N784" s="15"/>
      <c r="O784" s="15"/>
      <c r="P784" s="15"/>
      <c r="Q784" s="16"/>
      <c r="R784" s="16"/>
      <c r="S784" s="16"/>
      <c r="T784" s="17"/>
      <c r="U784" s="11"/>
      <c r="V784" s="16"/>
      <c r="W784" s="11"/>
      <c r="X784" s="11"/>
      <c r="Y784" s="15"/>
      <c r="Z784" s="11"/>
    </row>
    <row r="785" spans="1:26" x14ac:dyDescent="0.25">
      <c r="A785" s="18"/>
      <c r="B785" s="18"/>
      <c r="C785" s="18"/>
      <c r="D785" s="18"/>
      <c r="E785" s="19"/>
      <c r="F785" s="20"/>
      <c r="G785" s="13"/>
      <c r="H785" s="20"/>
      <c r="I785" s="18"/>
      <c r="J785" s="18"/>
      <c r="K785" s="18"/>
      <c r="L785" s="18"/>
      <c r="M785" s="21"/>
      <c r="N785" s="21"/>
      <c r="O785" s="21"/>
      <c r="P785" s="21"/>
      <c r="Q785" s="22"/>
      <c r="R785" s="19"/>
      <c r="S785" s="22"/>
      <c r="T785" s="23"/>
      <c r="U785" s="18"/>
      <c r="V785" s="22"/>
      <c r="W785" s="18"/>
      <c r="X785" s="18"/>
      <c r="Y785" s="21"/>
      <c r="Z785" s="18"/>
    </row>
    <row r="786" spans="1:26" x14ac:dyDescent="0.25">
      <c r="A786" s="11"/>
      <c r="B786" s="11"/>
      <c r="C786" s="11"/>
      <c r="D786" s="11"/>
      <c r="E786" s="12"/>
      <c r="F786" s="13"/>
      <c r="G786" s="13"/>
      <c r="H786" s="13"/>
      <c r="I786" s="11"/>
      <c r="J786" s="11"/>
      <c r="K786" s="11"/>
      <c r="L786" s="11"/>
      <c r="M786" s="15"/>
      <c r="N786" s="15"/>
      <c r="O786" s="15"/>
      <c r="P786" s="15"/>
      <c r="Q786" s="16"/>
      <c r="R786" s="16"/>
      <c r="S786" s="16"/>
      <c r="T786" s="17"/>
      <c r="U786" s="11"/>
      <c r="V786" s="16"/>
      <c r="W786" s="11"/>
      <c r="X786" s="11"/>
      <c r="Y786" s="15"/>
      <c r="Z786" s="11"/>
    </row>
    <row r="787" spans="1:26" x14ac:dyDescent="0.25">
      <c r="A787" s="11"/>
      <c r="B787" s="11"/>
      <c r="C787" s="11"/>
      <c r="D787" s="11"/>
      <c r="E787" s="12"/>
      <c r="F787" s="13"/>
      <c r="G787" s="13"/>
      <c r="H787" s="13"/>
      <c r="I787" s="11"/>
      <c r="J787" s="11"/>
      <c r="K787" s="11"/>
      <c r="L787" s="11"/>
      <c r="M787" s="15"/>
      <c r="N787" s="15"/>
      <c r="O787" s="15"/>
      <c r="P787" s="15"/>
      <c r="Q787" s="16"/>
      <c r="R787" s="16"/>
      <c r="S787" s="16"/>
      <c r="T787" s="17"/>
      <c r="U787" s="11"/>
      <c r="V787" s="16"/>
      <c r="W787" s="11"/>
      <c r="X787" s="11"/>
      <c r="Y787" s="15"/>
      <c r="Z787" s="11"/>
    </row>
    <row r="788" spans="1:26" x14ac:dyDescent="0.25">
      <c r="A788" s="11"/>
      <c r="B788" s="11"/>
      <c r="C788" s="11"/>
      <c r="D788" s="11"/>
      <c r="E788" s="12"/>
      <c r="F788" s="13"/>
      <c r="G788" s="13"/>
      <c r="H788" s="13"/>
      <c r="I788" s="11"/>
      <c r="J788" s="11"/>
      <c r="K788" s="11"/>
      <c r="L788" s="11"/>
      <c r="M788" s="15"/>
      <c r="N788" s="15"/>
      <c r="O788" s="15"/>
      <c r="P788" s="15"/>
      <c r="Q788" s="16"/>
      <c r="R788" s="16"/>
      <c r="S788" s="16"/>
      <c r="T788" s="17"/>
      <c r="U788" s="11"/>
      <c r="V788" s="16"/>
      <c r="W788" s="11"/>
      <c r="X788" s="11"/>
      <c r="Y788" s="15"/>
      <c r="Z788" s="11"/>
    </row>
    <row r="789" spans="1:26" x14ac:dyDescent="0.25">
      <c r="A789" s="11"/>
      <c r="B789" s="11"/>
      <c r="C789" s="11"/>
      <c r="D789" s="11"/>
      <c r="E789" s="12"/>
      <c r="F789" s="13"/>
      <c r="G789" s="13"/>
      <c r="H789" s="13"/>
      <c r="I789" s="11"/>
      <c r="J789" s="11"/>
      <c r="K789" s="11"/>
      <c r="L789" s="11"/>
      <c r="M789" s="15"/>
      <c r="N789" s="15"/>
      <c r="O789" s="15"/>
      <c r="P789" s="15"/>
      <c r="Q789" s="16"/>
      <c r="R789" s="16"/>
      <c r="S789" s="16"/>
      <c r="T789" s="17"/>
      <c r="U789" s="11"/>
      <c r="V789" s="16"/>
      <c r="W789" s="11"/>
      <c r="X789" s="11"/>
      <c r="Y789" s="15"/>
      <c r="Z789" s="11"/>
    </row>
    <row r="790" spans="1:26" x14ac:dyDescent="0.25">
      <c r="A790" s="18"/>
      <c r="B790" s="18"/>
      <c r="C790" s="18"/>
      <c r="D790" s="18"/>
      <c r="E790" s="19"/>
      <c r="F790" s="20"/>
      <c r="G790" s="13"/>
      <c r="H790" s="20"/>
      <c r="I790" s="18"/>
      <c r="J790" s="18"/>
      <c r="K790" s="18"/>
      <c r="L790" s="18"/>
      <c r="M790" s="21"/>
      <c r="N790" s="21"/>
      <c r="O790" s="21"/>
      <c r="P790" s="21"/>
      <c r="Q790" s="22"/>
      <c r="R790" s="19"/>
      <c r="S790" s="22"/>
      <c r="T790" s="23"/>
      <c r="U790" s="18"/>
      <c r="V790" s="22"/>
      <c r="W790" s="18"/>
      <c r="X790" s="18"/>
      <c r="Y790" s="21"/>
      <c r="Z790" s="18"/>
    </row>
    <row r="791" spans="1:26" x14ac:dyDescent="0.25">
      <c r="A791" s="11"/>
      <c r="B791" s="11"/>
      <c r="C791" s="11"/>
      <c r="D791" s="11"/>
      <c r="E791" s="12"/>
      <c r="F791" s="13"/>
      <c r="G791" s="13"/>
      <c r="H791" s="13"/>
      <c r="I791" s="11"/>
      <c r="J791" s="11"/>
      <c r="K791" s="11"/>
      <c r="L791" s="11"/>
      <c r="M791" s="15"/>
      <c r="N791" s="15"/>
      <c r="O791" s="15"/>
      <c r="P791" s="15"/>
      <c r="Q791" s="16"/>
      <c r="R791" s="16"/>
      <c r="S791" s="16"/>
      <c r="T791" s="17"/>
      <c r="U791" s="11"/>
      <c r="V791" s="16"/>
      <c r="W791" s="11"/>
      <c r="X791" s="11"/>
      <c r="Y791" s="15"/>
      <c r="Z791" s="11"/>
    </row>
    <row r="792" spans="1:26" x14ac:dyDescent="0.25">
      <c r="A792" s="11"/>
      <c r="B792" s="11"/>
      <c r="C792" s="11"/>
      <c r="D792" s="11"/>
      <c r="E792" s="12"/>
      <c r="F792" s="13"/>
      <c r="G792" s="13"/>
      <c r="H792" s="13"/>
      <c r="I792" s="11"/>
      <c r="J792" s="11"/>
      <c r="K792" s="11"/>
      <c r="L792" s="11"/>
      <c r="M792" s="15"/>
      <c r="N792" s="15"/>
      <c r="O792" s="15"/>
      <c r="P792" s="15"/>
      <c r="Q792" s="16"/>
      <c r="R792" s="16"/>
      <c r="S792" s="16"/>
      <c r="T792" s="17"/>
      <c r="U792" s="11"/>
      <c r="V792" s="16"/>
      <c r="W792" s="11"/>
      <c r="X792" s="11"/>
      <c r="Y792" s="15"/>
      <c r="Z792" s="11"/>
    </row>
    <row r="793" spans="1:26" x14ac:dyDescent="0.25">
      <c r="A793" s="11"/>
      <c r="B793" s="11"/>
      <c r="C793" s="11"/>
      <c r="D793" s="11"/>
      <c r="E793" s="12"/>
      <c r="F793" s="13"/>
      <c r="G793" s="13"/>
      <c r="H793" s="13"/>
      <c r="I793" s="11"/>
      <c r="J793" s="11"/>
      <c r="K793" s="11"/>
      <c r="L793" s="11"/>
      <c r="M793" s="15"/>
      <c r="N793" s="15"/>
      <c r="O793" s="15"/>
      <c r="P793" s="15"/>
      <c r="Q793" s="16"/>
      <c r="R793" s="16"/>
      <c r="S793" s="16"/>
      <c r="T793" s="17"/>
      <c r="U793" s="11"/>
      <c r="V793" s="16"/>
      <c r="W793" s="11"/>
      <c r="X793" s="11"/>
      <c r="Y793" s="15"/>
      <c r="Z793" s="11"/>
    </row>
    <row r="794" spans="1:26" x14ac:dyDescent="0.25">
      <c r="A794" s="11"/>
      <c r="B794" s="11"/>
      <c r="C794" s="11"/>
      <c r="D794" s="11"/>
      <c r="E794" s="12"/>
      <c r="F794" s="13"/>
      <c r="G794" s="13"/>
      <c r="H794" s="13"/>
      <c r="I794" s="11"/>
      <c r="J794" s="11"/>
      <c r="K794" s="11"/>
      <c r="L794" s="11"/>
      <c r="M794" s="15"/>
      <c r="N794" s="15"/>
      <c r="O794" s="15"/>
      <c r="P794" s="15"/>
      <c r="Q794" s="16"/>
      <c r="R794" s="16"/>
      <c r="S794" s="16"/>
      <c r="T794" s="17"/>
      <c r="U794" s="11"/>
      <c r="V794" s="16"/>
      <c r="W794" s="11"/>
      <c r="X794" s="11"/>
      <c r="Y794" s="15"/>
      <c r="Z794" s="11"/>
    </row>
    <row r="795" spans="1:26" x14ac:dyDescent="0.25">
      <c r="A795" s="11"/>
      <c r="B795" s="11"/>
      <c r="C795" s="11"/>
      <c r="D795" s="11"/>
      <c r="E795" s="12"/>
      <c r="F795" s="13"/>
      <c r="G795" s="13"/>
      <c r="H795" s="13"/>
      <c r="I795" s="11"/>
      <c r="J795" s="11"/>
      <c r="K795" s="11"/>
      <c r="L795" s="11"/>
      <c r="M795" s="15"/>
      <c r="N795" s="15"/>
      <c r="O795" s="15"/>
      <c r="P795" s="15"/>
      <c r="Q795" s="16"/>
      <c r="R795" s="16"/>
      <c r="S795" s="16"/>
      <c r="T795" s="17"/>
      <c r="U795" s="11"/>
      <c r="V795" s="16"/>
      <c r="W795" s="11"/>
      <c r="X795" s="11"/>
      <c r="Y795" s="15"/>
      <c r="Z795" s="11"/>
    </row>
    <row r="796" spans="1:26" x14ac:dyDescent="0.25">
      <c r="A796" s="18"/>
      <c r="B796" s="18"/>
      <c r="C796" s="18"/>
      <c r="D796" s="18"/>
      <c r="E796" s="19"/>
      <c r="F796" s="20"/>
      <c r="G796" s="13"/>
      <c r="H796" s="20"/>
      <c r="I796" s="18"/>
      <c r="J796" s="18"/>
      <c r="K796" s="18"/>
      <c r="L796" s="18"/>
      <c r="M796" s="21"/>
      <c r="N796" s="21"/>
      <c r="O796" s="21"/>
      <c r="P796" s="21"/>
      <c r="Q796" s="22"/>
      <c r="R796" s="19"/>
      <c r="S796" s="22"/>
      <c r="T796" s="23"/>
      <c r="U796" s="18"/>
      <c r="V796" s="22"/>
      <c r="W796" s="18"/>
      <c r="X796" s="18"/>
      <c r="Y796" s="21"/>
      <c r="Z796" s="18"/>
    </row>
    <row r="797" spans="1:26" x14ac:dyDescent="0.25">
      <c r="A797" s="11"/>
      <c r="B797" s="11"/>
      <c r="C797" s="11"/>
      <c r="D797" s="11"/>
      <c r="E797" s="12"/>
      <c r="F797" s="13"/>
      <c r="G797" s="13"/>
      <c r="H797" s="13"/>
      <c r="I797" s="11"/>
      <c r="J797" s="11"/>
      <c r="K797" s="11"/>
      <c r="L797" s="11"/>
      <c r="M797" s="15"/>
      <c r="N797" s="15"/>
      <c r="O797" s="15"/>
      <c r="P797" s="15"/>
      <c r="Q797" s="16"/>
      <c r="R797" s="16"/>
      <c r="S797" s="16"/>
      <c r="T797" s="17"/>
      <c r="U797" s="11"/>
      <c r="V797" s="16"/>
      <c r="W797" s="11"/>
      <c r="X797" s="11"/>
      <c r="Y797" s="15"/>
      <c r="Z797" s="11"/>
    </row>
    <row r="798" spans="1:26" x14ac:dyDescent="0.25">
      <c r="A798" s="18"/>
      <c r="B798" s="18"/>
      <c r="C798" s="18"/>
      <c r="D798" s="18"/>
      <c r="E798" s="19"/>
      <c r="F798" s="20"/>
      <c r="G798" s="13"/>
      <c r="H798" s="20"/>
      <c r="I798" s="18"/>
      <c r="J798" s="18"/>
      <c r="K798" s="18"/>
      <c r="L798" s="18"/>
      <c r="M798" s="21"/>
      <c r="N798" s="21"/>
      <c r="O798" s="21"/>
      <c r="P798" s="21"/>
      <c r="Q798" s="22"/>
      <c r="R798" s="19"/>
      <c r="S798" s="22"/>
      <c r="T798" s="23"/>
      <c r="U798" s="18"/>
      <c r="V798" s="22"/>
      <c r="W798" s="18"/>
      <c r="X798" s="18"/>
      <c r="Y798" s="21"/>
      <c r="Z798" s="18"/>
    </row>
    <row r="799" spans="1:26" x14ac:dyDescent="0.25">
      <c r="A799" s="11"/>
      <c r="B799" s="11"/>
      <c r="C799" s="11"/>
      <c r="D799" s="11"/>
      <c r="E799" s="12"/>
      <c r="F799" s="13"/>
      <c r="G799" s="13"/>
      <c r="H799" s="13"/>
      <c r="I799" s="11"/>
      <c r="J799" s="11"/>
      <c r="K799" s="11"/>
      <c r="L799" s="11"/>
      <c r="M799" s="15"/>
      <c r="N799" s="15"/>
      <c r="O799" s="15"/>
      <c r="P799" s="15"/>
      <c r="Q799" s="16"/>
      <c r="R799" s="16"/>
      <c r="S799" s="16"/>
      <c r="T799" s="17"/>
      <c r="U799" s="11"/>
      <c r="V799" s="16"/>
      <c r="W799" s="11"/>
      <c r="X799" s="11"/>
      <c r="Y799" s="15"/>
      <c r="Z799" s="11"/>
    </row>
    <row r="800" spans="1:26" x14ac:dyDescent="0.25">
      <c r="A800" s="18"/>
      <c r="B800" s="18"/>
      <c r="C800" s="18"/>
      <c r="D800" s="18"/>
      <c r="E800" s="19"/>
      <c r="F800" s="20"/>
      <c r="G800" s="13"/>
      <c r="H800" s="20"/>
      <c r="I800" s="18"/>
      <c r="J800" s="18"/>
      <c r="K800" s="18"/>
      <c r="L800" s="18"/>
      <c r="M800" s="21"/>
      <c r="N800" s="21"/>
      <c r="O800" s="21"/>
      <c r="P800" s="21"/>
      <c r="Q800" s="22"/>
      <c r="R800" s="19"/>
      <c r="S800" s="22"/>
      <c r="T800" s="23"/>
      <c r="U800" s="18"/>
      <c r="V800" s="22"/>
      <c r="W800" s="18"/>
      <c r="X800" s="18"/>
      <c r="Y800" s="21"/>
      <c r="Z800" s="18"/>
    </row>
    <row r="801" spans="1:26" x14ac:dyDescent="0.25">
      <c r="A801" s="11"/>
      <c r="B801" s="11"/>
      <c r="C801" s="11"/>
      <c r="D801" s="11"/>
      <c r="E801" s="12"/>
      <c r="F801" s="13"/>
      <c r="G801" s="13"/>
      <c r="H801" s="13"/>
      <c r="I801" s="11"/>
      <c r="J801" s="11"/>
      <c r="K801" s="11"/>
      <c r="L801" s="11"/>
      <c r="M801" s="15"/>
      <c r="N801" s="15"/>
      <c r="O801" s="15"/>
      <c r="P801" s="15"/>
      <c r="Q801" s="16"/>
      <c r="R801" s="16"/>
      <c r="S801" s="16"/>
      <c r="T801" s="17"/>
      <c r="U801" s="11"/>
      <c r="V801" s="16"/>
      <c r="W801" s="11"/>
      <c r="X801" s="11"/>
      <c r="Y801" s="15"/>
      <c r="Z801" s="11"/>
    </row>
    <row r="802" spans="1:26" x14ac:dyDescent="0.25">
      <c r="A802" s="11"/>
      <c r="B802" s="11"/>
      <c r="C802" s="11"/>
      <c r="D802" s="11"/>
      <c r="E802" s="12"/>
      <c r="F802" s="13"/>
      <c r="G802" s="13"/>
      <c r="H802" s="13"/>
      <c r="I802" s="11"/>
      <c r="J802" s="11"/>
      <c r="K802" s="11"/>
      <c r="L802" s="11"/>
      <c r="M802" s="15"/>
      <c r="N802" s="15"/>
      <c r="O802" s="15"/>
      <c r="P802" s="15"/>
      <c r="Q802" s="16"/>
      <c r="R802" s="16"/>
      <c r="S802" s="16"/>
      <c r="T802" s="17"/>
      <c r="U802" s="11"/>
      <c r="V802" s="16"/>
      <c r="W802" s="11"/>
      <c r="X802" s="11"/>
      <c r="Y802" s="15"/>
      <c r="Z802" s="11"/>
    </row>
    <row r="803" spans="1:26" x14ac:dyDescent="0.25">
      <c r="A803" s="11"/>
      <c r="B803" s="11"/>
      <c r="C803" s="11"/>
      <c r="D803" s="11"/>
      <c r="E803" s="12"/>
      <c r="F803" s="13"/>
      <c r="G803" s="13"/>
      <c r="H803" s="13"/>
      <c r="I803" s="11"/>
      <c r="J803" s="11"/>
      <c r="K803" s="11"/>
      <c r="L803" s="11"/>
      <c r="M803" s="15"/>
      <c r="N803" s="15"/>
      <c r="O803" s="15"/>
      <c r="P803" s="15"/>
      <c r="Q803" s="16"/>
      <c r="R803" s="16"/>
      <c r="S803" s="16"/>
      <c r="T803" s="17"/>
      <c r="U803" s="11"/>
      <c r="V803" s="16"/>
      <c r="W803" s="11"/>
      <c r="X803" s="11"/>
      <c r="Y803" s="15"/>
      <c r="Z803" s="11"/>
    </row>
    <row r="804" spans="1:26" x14ac:dyDescent="0.25">
      <c r="A804" s="11"/>
      <c r="B804" s="11"/>
      <c r="C804" s="11"/>
      <c r="D804" s="11"/>
      <c r="E804" s="12"/>
      <c r="F804" s="13"/>
      <c r="G804" s="13"/>
      <c r="H804" s="13"/>
      <c r="I804" s="11"/>
      <c r="J804" s="11"/>
      <c r="K804" s="11"/>
      <c r="L804" s="11"/>
      <c r="M804" s="15"/>
      <c r="N804" s="15"/>
      <c r="O804" s="15"/>
      <c r="P804" s="15"/>
      <c r="Q804" s="16"/>
      <c r="R804" s="16"/>
      <c r="S804" s="16"/>
      <c r="T804" s="17"/>
      <c r="U804" s="11"/>
      <c r="V804" s="16"/>
      <c r="W804" s="11"/>
      <c r="X804" s="11"/>
      <c r="Y804" s="15"/>
      <c r="Z804" s="11"/>
    </row>
    <row r="805" spans="1:26" x14ac:dyDescent="0.25">
      <c r="A805" s="11"/>
      <c r="B805" s="11"/>
      <c r="C805" s="11"/>
      <c r="D805" s="11"/>
      <c r="E805" s="12"/>
      <c r="F805" s="13"/>
      <c r="G805" s="13"/>
      <c r="H805" s="13"/>
      <c r="I805" s="11"/>
      <c r="J805" s="11"/>
      <c r="K805" s="11"/>
      <c r="L805" s="11"/>
      <c r="M805" s="15"/>
      <c r="N805" s="15"/>
      <c r="O805" s="15"/>
      <c r="P805" s="15"/>
      <c r="Q805" s="16"/>
      <c r="R805" s="16"/>
      <c r="S805" s="16"/>
      <c r="T805" s="17"/>
      <c r="U805" s="11"/>
      <c r="V805" s="16"/>
      <c r="W805" s="11"/>
      <c r="X805" s="11"/>
      <c r="Y805" s="15"/>
      <c r="Z805" s="11"/>
    </row>
    <row r="806" spans="1:26" x14ac:dyDescent="0.25">
      <c r="A806" s="11"/>
      <c r="B806" s="11"/>
      <c r="C806" s="11"/>
      <c r="D806" s="11"/>
      <c r="E806" s="12"/>
      <c r="F806" s="13"/>
      <c r="G806" s="13"/>
      <c r="H806" s="13"/>
      <c r="I806" s="11"/>
      <c r="J806" s="11"/>
      <c r="K806" s="11"/>
      <c r="L806" s="11"/>
      <c r="M806" s="15"/>
      <c r="N806" s="15"/>
      <c r="O806" s="15"/>
      <c r="P806" s="15"/>
      <c r="Q806" s="16"/>
      <c r="R806" s="16"/>
      <c r="S806" s="16"/>
      <c r="T806" s="17"/>
      <c r="U806" s="11"/>
      <c r="V806" s="16"/>
      <c r="W806" s="11"/>
      <c r="X806" s="11"/>
      <c r="Y806" s="15"/>
      <c r="Z806" s="11"/>
    </row>
    <row r="807" spans="1:26" x14ac:dyDescent="0.25">
      <c r="A807" s="11"/>
      <c r="B807" s="11"/>
      <c r="C807" s="11"/>
      <c r="D807" s="11"/>
      <c r="E807" s="12"/>
      <c r="F807" s="13"/>
      <c r="G807" s="13"/>
      <c r="H807" s="13"/>
      <c r="I807" s="11"/>
      <c r="J807" s="11"/>
      <c r="K807" s="11"/>
      <c r="L807" s="11"/>
      <c r="M807" s="15"/>
      <c r="N807" s="15"/>
      <c r="O807" s="15"/>
      <c r="P807" s="15"/>
      <c r="Q807" s="16"/>
      <c r="R807" s="16"/>
      <c r="S807" s="16"/>
      <c r="T807" s="17"/>
      <c r="U807" s="11"/>
      <c r="V807" s="16"/>
      <c r="W807" s="11"/>
      <c r="X807" s="11"/>
      <c r="Y807" s="15"/>
      <c r="Z807" s="11"/>
    </row>
    <row r="808" spans="1:26" x14ac:dyDescent="0.25">
      <c r="A808" s="18"/>
      <c r="B808" s="18"/>
      <c r="C808" s="18"/>
      <c r="D808" s="18"/>
      <c r="E808" s="19"/>
      <c r="F808" s="20"/>
      <c r="G808" s="13"/>
      <c r="H808" s="20"/>
      <c r="I808" s="18"/>
      <c r="J808" s="18"/>
      <c r="K808" s="18"/>
      <c r="L808" s="18"/>
      <c r="M808" s="21"/>
      <c r="N808" s="21"/>
      <c r="O808" s="21"/>
      <c r="P808" s="21"/>
      <c r="Q808" s="22"/>
      <c r="R808" s="19"/>
      <c r="S808" s="22"/>
      <c r="T808" s="23"/>
      <c r="U808" s="18"/>
      <c r="V808" s="22"/>
      <c r="W808" s="18"/>
      <c r="X808" s="18"/>
      <c r="Y808" s="21"/>
      <c r="Z808" s="18"/>
    </row>
    <row r="809" spans="1:26" x14ac:dyDescent="0.25">
      <c r="A809" s="11"/>
      <c r="B809" s="11"/>
      <c r="C809" s="11"/>
      <c r="D809" s="11"/>
      <c r="E809" s="12"/>
      <c r="F809" s="13"/>
      <c r="G809" s="13"/>
      <c r="H809" s="13"/>
      <c r="I809" s="11"/>
      <c r="J809" s="11"/>
      <c r="K809" s="11"/>
      <c r="L809" s="11"/>
      <c r="M809" s="15"/>
      <c r="N809" s="15"/>
      <c r="O809" s="15"/>
      <c r="P809" s="15"/>
      <c r="Q809" s="16"/>
      <c r="R809" s="16"/>
      <c r="S809" s="16"/>
      <c r="T809" s="17"/>
      <c r="U809" s="11"/>
      <c r="V809" s="16"/>
      <c r="W809" s="11"/>
      <c r="X809" s="11"/>
      <c r="Y809" s="15"/>
      <c r="Z809" s="11"/>
    </row>
    <row r="810" spans="1:26" x14ac:dyDescent="0.25">
      <c r="A810" s="11"/>
      <c r="B810" s="11"/>
      <c r="C810" s="11"/>
      <c r="D810" s="11"/>
      <c r="E810" s="12"/>
      <c r="F810" s="13"/>
      <c r="G810" s="13"/>
      <c r="H810" s="13"/>
      <c r="I810" s="11"/>
      <c r="J810" s="11"/>
      <c r="K810" s="11"/>
      <c r="L810" s="11"/>
      <c r="M810" s="15"/>
      <c r="N810" s="15"/>
      <c r="O810" s="15"/>
      <c r="P810" s="15"/>
      <c r="Q810" s="16"/>
      <c r="R810" s="16"/>
      <c r="S810" s="16"/>
      <c r="T810" s="17"/>
      <c r="U810" s="11"/>
      <c r="V810" s="16"/>
      <c r="W810" s="11"/>
      <c r="X810" s="11"/>
      <c r="Y810" s="15"/>
      <c r="Z810" s="11"/>
    </row>
    <row r="811" spans="1:26" x14ac:dyDescent="0.25">
      <c r="A811" s="11"/>
      <c r="B811" s="11"/>
      <c r="C811" s="11"/>
      <c r="D811" s="11"/>
      <c r="E811" s="12"/>
      <c r="F811" s="13"/>
      <c r="G811" s="13"/>
      <c r="H811" s="13"/>
      <c r="I811" s="11"/>
      <c r="J811" s="11"/>
      <c r="K811" s="11"/>
      <c r="L811" s="11"/>
      <c r="M811" s="15"/>
      <c r="N811" s="15"/>
      <c r="O811" s="15"/>
      <c r="P811" s="15"/>
      <c r="Q811" s="16"/>
      <c r="R811" s="16"/>
      <c r="S811" s="16"/>
      <c r="T811" s="17"/>
      <c r="U811" s="11"/>
      <c r="V811" s="16"/>
      <c r="W811" s="11"/>
      <c r="X811" s="11"/>
      <c r="Y811" s="15"/>
      <c r="Z811" s="11"/>
    </row>
    <row r="812" spans="1:26" x14ac:dyDescent="0.25">
      <c r="A812" s="11"/>
      <c r="B812" s="11"/>
      <c r="C812" s="11"/>
      <c r="D812" s="11"/>
      <c r="E812" s="12"/>
      <c r="F812" s="13"/>
      <c r="G812" s="13"/>
      <c r="H812" s="13"/>
      <c r="I812" s="11"/>
      <c r="J812" s="11"/>
      <c r="K812" s="11"/>
      <c r="L812" s="11"/>
      <c r="M812" s="15"/>
      <c r="N812" s="15"/>
      <c r="O812" s="15"/>
      <c r="P812" s="15"/>
      <c r="Q812" s="16"/>
      <c r="R812" s="16"/>
      <c r="S812" s="16"/>
      <c r="T812" s="17"/>
      <c r="U812" s="11"/>
      <c r="V812" s="16"/>
      <c r="W812" s="11"/>
      <c r="X812" s="11"/>
      <c r="Y812" s="15"/>
      <c r="Z812" s="11"/>
    </row>
    <row r="813" spans="1:26" x14ac:dyDescent="0.25">
      <c r="A813" s="11"/>
      <c r="B813" s="11"/>
      <c r="C813" s="11"/>
      <c r="D813" s="11"/>
      <c r="E813" s="12"/>
      <c r="F813" s="13"/>
      <c r="G813" s="13"/>
      <c r="H813" s="13"/>
      <c r="I813" s="11"/>
      <c r="J813" s="11"/>
      <c r="K813" s="11"/>
      <c r="L813" s="11"/>
      <c r="M813" s="15"/>
      <c r="N813" s="15"/>
      <c r="O813" s="15"/>
      <c r="P813" s="15"/>
      <c r="Q813" s="16"/>
      <c r="R813" s="16"/>
      <c r="S813" s="16"/>
      <c r="T813" s="17"/>
      <c r="U813" s="11"/>
      <c r="V813" s="16"/>
      <c r="W813" s="11"/>
      <c r="X813" s="11"/>
      <c r="Y813" s="15"/>
      <c r="Z813" s="11"/>
    </row>
    <row r="814" spans="1:26" x14ac:dyDescent="0.25">
      <c r="A814" s="11"/>
      <c r="B814" s="11"/>
      <c r="C814" s="11"/>
      <c r="D814" s="11"/>
      <c r="E814" s="12"/>
      <c r="F814" s="13"/>
      <c r="G814" s="13"/>
      <c r="H814" s="13"/>
      <c r="I814" s="11"/>
      <c r="J814" s="11"/>
      <c r="K814" s="11"/>
      <c r="L814" s="11"/>
      <c r="M814" s="15"/>
      <c r="N814" s="15"/>
      <c r="O814" s="15"/>
      <c r="P814" s="15"/>
      <c r="Q814" s="16"/>
      <c r="R814" s="16"/>
      <c r="S814" s="16"/>
      <c r="T814" s="17"/>
      <c r="U814" s="11"/>
      <c r="V814" s="16"/>
      <c r="W814" s="11"/>
      <c r="X814" s="11"/>
      <c r="Y814" s="15"/>
      <c r="Z814" s="11"/>
    </row>
    <row r="815" spans="1:26" x14ac:dyDescent="0.25">
      <c r="A815" s="18"/>
      <c r="B815" s="18"/>
      <c r="C815" s="18"/>
      <c r="D815" s="18"/>
      <c r="E815" s="19"/>
      <c r="F815" s="20"/>
      <c r="G815" s="13"/>
      <c r="H815" s="20"/>
      <c r="I815" s="18"/>
      <c r="J815" s="18"/>
      <c r="K815" s="18"/>
      <c r="L815" s="18"/>
      <c r="M815" s="21"/>
      <c r="N815" s="21"/>
      <c r="O815" s="21"/>
      <c r="P815" s="21"/>
      <c r="Q815" s="22"/>
      <c r="R815" s="19"/>
      <c r="S815" s="22"/>
      <c r="T815" s="23"/>
      <c r="U815" s="18"/>
      <c r="V815" s="22"/>
      <c r="W815" s="18"/>
      <c r="X815" s="18"/>
      <c r="Y815" s="21"/>
      <c r="Z815" s="18"/>
    </row>
    <row r="816" spans="1:26" x14ac:dyDescent="0.25">
      <c r="A816" s="11"/>
      <c r="B816" s="11"/>
      <c r="C816" s="11"/>
      <c r="D816" s="11"/>
      <c r="E816" s="12"/>
      <c r="F816" s="13"/>
      <c r="G816" s="13"/>
      <c r="H816" s="13"/>
      <c r="I816" s="11"/>
      <c r="J816" s="11"/>
      <c r="K816" s="11"/>
      <c r="L816" s="11"/>
      <c r="M816" s="15"/>
      <c r="N816" s="15"/>
      <c r="O816" s="15"/>
      <c r="P816" s="15"/>
      <c r="Q816" s="16"/>
      <c r="R816" s="16"/>
      <c r="S816" s="16"/>
      <c r="T816" s="17"/>
      <c r="U816" s="11"/>
      <c r="V816" s="16"/>
      <c r="W816" s="11"/>
      <c r="X816" s="11"/>
      <c r="Y816" s="15"/>
      <c r="Z816" s="11"/>
    </row>
    <row r="817" spans="1:26" x14ac:dyDescent="0.25">
      <c r="A817" s="11"/>
      <c r="B817" s="11"/>
      <c r="C817" s="11"/>
      <c r="D817" s="11"/>
      <c r="E817" s="12"/>
      <c r="F817" s="13"/>
      <c r="G817" s="13"/>
      <c r="H817" s="13"/>
      <c r="I817" s="11"/>
      <c r="J817" s="11"/>
      <c r="K817" s="11"/>
      <c r="L817" s="11"/>
      <c r="M817" s="15"/>
      <c r="N817" s="15"/>
      <c r="O817" s="15"/>
      <c r="P817" s="15"/>
      <c r="Q817" s="16"/>
      <c r="R817" s="16"/>
      <c r="S817" s="16"/>
      <c r="T817" s="17"/>
      <c r="U817" s="11"/>
      <c r="V817" s="16"/>
      <c r="W817" s="11"/>
      <c r="X817" s="11"/>
      <c r="Y817" s="15"/>
      <c r="Z817" s="11"/>
    </row>
    <row r="818" spans="1:26" x14ac:dyDescent="0.25">
      <c r="A818" s="11"/>
      <c r="B818" s="11"/>
      <c r="C818" s="11"/>
      <c r="D818" s="11"/>
      <c r="E818" s="12"/>
      <c r="F818" s="13"/>
      <c r="G818" s="13"/>
      <c r="H818" s="13"/>
      <c r="I818" s="11"/>
      <c r="J818" s="11"/>
      <c r="K818" s="11"/>
      <c r="L818" s="11"/>
      <c r="M818" s="15"/>
      <c r="N818" s="15"/>
      <c r="O818" s="15"/>
      <c r="P818" s="15"/>
      <c r="Q818" s="16"/>
      <c r="R818" s="16"/>
      <c r="S818" s="16"/>
      <c r="T818" s="17"/>
      <c r="U818" s="11"/>
      <c r="V818" s="16"/>
      <c r="W818" s="11"/>
      <c r="X818" s="11"/>
      <c r="Y818" s="15"/>
      <c r="Z818" s="11"/>
    </row>
    <row r="819" spans="1:26" x14ac:dyDescent="0.25">
      <c r="A819" s="11"/>
      <c r="B819" s="11"/>
      <c r="C819" s="11"/>
      <c r="D819" s="11"/>
      <c r="E819" s="12"/>
      <c r="F819" s="13"/>
      <c r="G819" s="13"/>
      <c r="H819" s="13"/>
      <c r="I819" s="11"/>
      <c r="J819" s="11"/>
      <c r="K819" s="11"/>
      <c r="L819" s="11"/>
      <c r="M819" s="15"/>
      <c r="N819" s="15"/>
      <c r="O819" s="15"/>
      <c r="P819" s="15"/>
      <c r="Q819" s="16"/>
      <c r="R819" s="16"/>
      <c r="S819" s="16"/>
      <c r="T819" s="17"/>
      <c r="U819" s="11"/>
      <c r="V819" s="16"/>
      <c r="W819" s="11"/>
      <c r="X819" s="11"/>
      <c r="Y819" s="15"/>
      <c r="Z819" s="11"/>
    </row>
    <row r="820" spans="1:26" x14ac:dyDescent="0.25">
      <c r="A820" s="11"/>
      <c r="B820" s="11"/>
      <c r="C820" s="11"/>
      <c r="D820" s="11"/>
      <c r="E820" s="12"/>
      <c r="F820" s="13"/>
      <c r="G820" s="13"/>
      <c r="H820" s="13"/>
      <c r="I820" s="11"/>
      <c r="J820" s="11"/>
      <c r="K820" s="11"/>
      <c r="L820" s="11"/>
      <c r="M820" s="15"/>
      <c r="N820" s="15"/>
      <c r="O820" s="15"/>
      <c r="P820" s="15"/>
      <c r="Q820" s="16"/>
      <c r="R820" s="16"/>
      <c r="S820" s="16"/>
      <c r="T820" s="17"/>
      <c r="U820" s="11"/>
      <c r="V820" s="16"/>
      <c r="W820" s="11"/>
      <c r="X820" s="11"/>
      <c r="Y820" s="15"/>
      <c r="Z820" s="11"/>
    </row>
    <row r="821" spans="1:26" x14ac:dyDescent="0.25">
      <c r="A821" s="11"/>
      <c r="B821" s="11"/>
      <c r="C821" s="11"/>
      <c r="D821" s="11"/>
      <c r="E821" s="12"/>
      <c r="F821" s="13"/>
      <c r="G821" s="13"/>
      <c r="H821" s="13"/>
      <c r="I821" s="11"/>
      <c r="J821" s="11"/>
      <c r="K821" s="11"/>
      <c r="L821" s="11"/>
      <c r="M821" s="15"/>
      <c r="N821" s="15"/>
      <c r="O821" s="15"/>
      <c r="P821" s="15"/>
      <c r="Q821" s="16"/>
      <c r="R821" s="16"/>
      <c r="S821" s="16"/>
      <c r="T821" s="17"/>
      <c r="U821" s="11"/>
      <c r="V821" s="16"/>
      <c r="W821" s="11"/>
      <c r="X821" s="11"/>
      <c r="Y821" s="15"/>
      <c r="Z821" s="11"/>
    </row>
    <row r="822" spans="1:26" x14ac:dyDescent="0.25">
      <c r="A822" s="11"/>
      <c r="B822" s="11"/>
      <c r="C822" s="11"/>
      <c r="D822" s="11"/>
      <c r="E822" s="12"/>
      <c r="F822" s="13"/>
      <c r="G822" s="13"/>
      <c r="H822" s="13"/>
      <c r="I822" s="11"/>
      <c r="J822" s="11"/>
      <c r="K822" s="11"/>
      <c r="L822" s="11"/>
      <c r="M822" s="15"/>
      <c r="N822" s="15"/>
      <c r="O822" s="15"/>
      <c r="P822" s="15"/>
      <c r="Q822" s="16"/>
      <c r="R822" s="16"/>
      <c r="S822" s="16"/>
      <c r="T822" s="17"/>
      <c r="U822" s="11"/>
      <c r="V822" s="16"/>
      <c r="W822" s="11"/>
      <c r="X822" s="11"/>
      <c r="Y822" s="15"/>
      <c r="Z822" s="11"/>
    </row>
    <row r="823" spans="1:26" x14ac:dyDescent="0.25">
      <c r="A823" s="18"/>
      <c r="B823" s="18"/>
      <c r="C823" s="18"/>
      <c r="D823" s="18"/>
      <c r="E823" s="19"/>
      <c r="F823" s="20"/>
      <c r="G823" s="13"/>
      <c r="H823" s="20"/>
      <c r="I823" s="18"/>
      <c r="J823" s="18"/>
      <c r="K823" s="18"/>
      <c r="L823" s="18"/>
      <c r="M823" s="21"/>
      <c r="N823" s="21"/>
      <c r="O823" s="21"/>
      <c r="P823" s="21"/>
      <c r="Q823" s="22"/>
      <c r="R823" s="19"/>
      <c r="S823" s="22"/>
      <c r="T823" s="23"/>
      <c r="U823" s="18"/>
      <c r="V823" s="22"/>
      <c r="W823" s="18"/>
      <c r="X823" s="18"/>
      <c r="Y823" s="21"/>
      <c r="Z823" s="18"/>
    </row>
    <row r="824" spans="1:26" x14ac:dyDescent="0.25">
      <c r="A824" s="11"/>
      <c r="B824" s="11"/>
      <c r="C824" s="11"/>
      <c r="D824" s="11"/>
      <c r="E824" s="12"/>
      <c r="F824" s="13"/>
      <c r="G824" s="13"/>
      <c r="H824" s="13"/>
      <c r="I824" s="11"/>
      <c r="J824" s="11"/>
      <c r="K824" s="11"/>
      <c r="L824" s="11"/>
      <c r="M824" s="15"/>
      <c r="N824" s="15"/>
      <c r="O824" s="15"/>
      <c r="P824" s="15"/>
      <c r="Q824" s="16"/>
      <c r="R824" s="16"/>
      <c r="S824" s="16"/>
      <c r="T824" s="17"/>
      <c r="U824" s="11"/>
      <c r="V824" s="16"/>
      <c r="W824" s="11"/>
      <c r="X824" s="11"/>
      <c r="Y824" s="15"/>
      <c r="Z824" s="11"/>
    </row>
    <row r="825" spans="1:26" x14ac:dyDescent="0.25">
      <c r="A825" s="11"/>
      <c r="B825" s="11"/>
      <c r="C825" s="11"/>
      <c r="D825" s="11"/>
      <c r="E825" s="12"/>
      <c r="F825" s="13"/>
      <c r="G825" s="13"/>
      <c r="H825" s="13"/>
      <c r="I825" s="11"/>
      <c r="J825" s="11"/>
      <c r="K825" s="11"/>
      <c r="L825" s="11"/>
      <c r="M825" s="15"/>
      <c r="N825" s="15"/>
      <c r="O825" s="15"/>
      <c r="P825" s="15"/>
      <c r="Q825" s="16"/>
      <c r="R825" s="16"/>
      <c r="S825" s="16"/>
      <c r="T825" s="17"/>
      <c r="U825" s="11"/>
      <c r="V825" s="16"/>
      <c r="W825" s="11"/>
      <c r="X825" s="11"/>
      <c r="Y825" s="15"/>
      <c r="Z825" s="11"/>
    </row>
    <row r="826" spans="1:26" x14ac:dyDescent="0.25">
      <c r="A826" s="11"/>
      <c r="B826" s="11"/>
      <c r="C826" s="11"/>
      <c r="D826" s="11"/>
      <c r="E826" s="12"/>
      <c r="F826" s="13"/>
      <c r="G826" s="13"/>
      <c r="H826" s="13"/>
      <c r="I826" s="11"/>
      <c r="J826" s="11"/>
      <c r="K826" s="11"/>
      <c r="L826" s="11"/>
      <c r="M826" s="15"/>
      <c r="N826" s="15"/>
      <c r="O826" s="15"/>
      <c r="P826" s="15"/>
      <c r="Q826" s="16"/>
      <c r="R826" s="16"/>
      <c r="S826" s="16"/>
      <c r="T826" s="17"/>
      <c r="U826" s="11"/>
      <c r="V826" s="16"/>
      <c r="W826" s="11"/>
      <c r="X826" s="11"/>
      <c r="Y826" s="15"/>
      <c r="Z826" s="11"/>
    </row>
    <row r="827" spans="1:26" x14ac:dyDescent="0.25">
      <c r="A827" s="11"/>
      <c r="B827" s="11"/>
      <c r="C827" s="11"/>
      <c r="D827" s="11"/>
      <c r="E827" s="12"/>
      <c r="F827" s="13"/>
      <c r="G827" s="13"/>
      <c r="H827" s="13"/>
      <c r="I827" s="11"/>
      <c r="J827" s="11"/>
      <c r="K827" s="11"/>
      <c r="L827" s="11"/>
      <c r="M827" s="15"/>
      <c r="N827" s="15"/>
      <c r="O827" s="15"/>
      <c r="P827" s="15"/>
      <c r="Q827" s="16"/>
      <c r="R827" s="16"/>
      <c r="S827" s="16"/>
      <c r="T827" s="17"/>
      <c r="U827" s="11"/>
      <c r="V827" s="16"/>
      <c r="W827" s="11"/>
      <c r="X827" s="11"/>
      <c r="Y827" s="15"/>
      <c r="Z827" s="11"/>
    </row>
    <row r="828" spans="1:26" x14ac:dyDescent="0.25">
      <c r="A828" s="11"/>
      <c r="B828" s="11"/>
      <c r="C828" s="11"/>
      <c r="D828" s="11"/>
      <c r="E828" s="12"/>
      <c r="F828" s="13"/>
      <c r="G828" s="13"/>
      <c r="H828" s="13"/>
      <c r="I828" s="11"/>
      <c r="J828" s="11"/>
      <c r="K828" s="11"/>
      <c r="L828" s="11"/>
      <c r="M828" s="15"/>
      <c r="N828" s="15"/>
      <c r="O828" s="15"/>
      <c r="P828" s="15"/>
      <c r="Q828" s="16"/>
      <c r="R828" s="16"/>
      <c r="S828" s="16"/>
      <c r="T828" s="17"/>
      <c r="U828" s="11"/>
      <c r="V828" s="16"/>
      <c r="W828" s="11"/>
      <c r="X828" s="11"/>
      <c r="Y828" s="15"/>
      <c r="Z828" s="11"/>
    </row>
    <row r="829" spans="1:26" x14ac:dyDescent="0.25">
      <c r="A829" s="11"/>
      <c r="B829" s="11"/>
      <c r="C829" s="11"/>
      <c r="D829" s="11"/>
      <c r="E829" s="12"/>
      <c r="F829" s="13"/>
      <c r="G829" s="13"/>
      <c r="H829" s="13"/>
      <c r="I829" s="11"/>
      <c r="J829" s="11"/>
      <c r="K829" s="11"/>
      <c r="L829" s="11"/>
      <c r="M829" s="15"/>
      <c r="N829" s="15"/>
      <c r="O829" s="15"/>
      <c r="P829" s="15"/>
      <c r="Q829" s="16"/>
      <c r="R829" s="16"/>
      <c r="S829" s="16"/>
      <c r="T829" s="17"/>
      <c r="U829" s="11"/>
      <c r="V829" s="16"/>
      <c r="W829" s="11"/>
      <c r="X829" s="11"/>
      <c r="Y829" s="15"/>
      <c r="Z829" s="11"/>
    </row>
    <row r="830" spans="1:26" x14ac:dyDescent="0.25">
      <c r="A830" s="11"/>
      <c r="B830" s="11"/>
      <c r="C830" s="11"/>
      <c r="D830" s="11"/>
      <c r="E830" s="12"/>
      <c r="F830" s="13"/>
      <c r="G830" s="13"/>
      <c r="H830" s="13"/>
      <c r="I830" s="11"/>
      <c r="J830" s="11"/>
      <c r="K830" s="11"/>
      <c r="L830" s="11"/>
      <c r="M830" s="15"/>
      <c r="N830" s="15"/>
      <c r="O830" s="15"/>
      <c r="P830" s="15"/>
      <c r="Q830" s="16"/>
      <c r="R830" s="16"/>
      <c r="S830" s="16"/>
      <c r="T830" s="17"/>
      <c r="U830" s="11"/>
      <c r="V830" s="16"/>
      <c r="W830" s="11"/>
      <c r="X830" s="11"/>
      <c r="Y830" s="15"/>
      <c r="Z830" s="11"/>
    </row>
    <row r="831" spans="1:26" x14ac:dyDescent="0.25">
      <c r="A831" s="11"/>
      <c r="B831" s="11"/>
      <c r="C831" s="11"/>
      <c r="D831" s="11"/>
      <c r="E831" s="12"/>
      <c r="F831" s="13"/>
      <c r="G831" s="13"/>
      <c r="H831" s="13"/>
      <c r="I831" s="11"/>
      <c r="J831" s="11"/>
      <c r="K831" s="11"/>
      <c r="L831" s="11"/>
      <c r="M831" s="15"/>
      <c r="N831" s="15"/>
      <c r="O831" s="15"/>
      <c r="P831" s="15"/>
      <c r="Q831" s="16"/>
      <c r="R831" s="16"/>
      <c r="S831" s="16"/>
      <c r="T831" s="17"/>
      <c r="U831" s="11"/>
      <c r="V831" s="16"/>
      <c r="W831" s="11"/>
      <c r="X831" s="11"/>
      <c r="Y831" s="15"/>
      <c r="Z831" s="11"/>
    </row>
    <row r="832" spans="1:26" x14ac:dyDescent="0.25">
      <c r="A832" s="11"/>
      <c r="B832" s="11"/>
      <c r="C832" s="11"/>
      <c r="D832" s="11"/>
      <c r="E832" s="12"/>
      <c r="F832" s="13"/>
      <c r="G832" s="13"/>
      <c r="H832" s="13"/>
      <c r="I832" s="11"/>
      <c r="J832" s="11"/>
      <c r="K832" s="11"/>
      <c r="L832" s="11"/>
      <c r="M832" s="15"/>
      <c r="N832" s="15"/>
      <c r="O832" s="15"/>
      <c r="P832" s="15"/>
      <c r="Q832" s="16"/>
      <c r="R832" s="16"/>
      <c r="S832" s="16"/>
      <c r="T832" s="17"/>
      <c r="U832" s="11"/>
      <c r="V832" s="16"/>
      <c r="W832" s="11"/>
      <c r="X832" s="11"/>
      <c r="Y832" s="15"/>
      <c r="Z832" s="11"/>
    </row>
    <row r="833" spans="1:26" x14ac:dyDescent="0.25">
      <c r="A833" s="11"/>
      <c r="B833" s="11"/>
      <c r="C833" s="11"/>
      <c r="D833" s="11"/>
      <c r="E833" s="12"/>
      <c r="F833" s="13"/>
      <c r="G833" s="13"/>
      <c r="H833" s="13"/>
      <c r="I833" s="11"/>
      <c r="J833" s="11"/>
      <c r="K833" s="11"/>
      <c r="L833" s="11"/>
      <c r="M833" s="15"/>
      <c r="N833" s="15"/>
      <c r="O833" s="15"/>
      <c r="P833" s="15"/>
      <c r="Q833" s="16"/>
      <c r="R833" s="16"/>
      <c r="S833" s="16"/>
      <c r="T833" s="17"/>
      <c r="U833" s="11"/>
      <c r="V833" s="16"/>
      <c r="W833" s="11"/>
      <c r="X833" s="11"/>
      <c r="Y833" s="15"/>
      <c r="Z833" s="11"/>
    </row>
    <row r="834" spans="1:26" x14ac:dyDescent="0.25">
      <c r="A834" s="11"/>
      <c r="B834" s="11"/>
      <c r="C834" s="11"/>
      <c r="D834" s="11"/>
      <c r="E834" s="12"/>
      <c r="F834" s="13"/>
      <c r="G834" s="13"/>
      <c r="H834" s="13"/>
      <c r="I834" s="11"/>
      <c r="J834" s="11"/>
      <c r="K834" s="11"/>
      <c r="L834" s="11"/>
      <c r="M834" s="15"/>
      <c r="N834" s="15"/>
      <c r="O834" s="15"/>
      <c r="P834" s="15"/>
      <c r="Q834" s="16"/>
      <c r="R834" s="16"/>
      <c r="S834" s="16"/>
      <c r="T834" s="17"/>
      <c r="U834" s="11"/>
      <c r="V834" s="16"/>
      <c r="W834" s="11"/>
      <c r="X834" s="11"/>
      <c r="Y834" s="15"/>
      <c r="Z834" s="11"/>
    </row>
    <row r="835" spans="1:26" x14ac:dyDescent="0.25">
      <c r="A835" s="11"/>
      <c r="B835" s="11"/>
      <c r="C835" s="11"/>
      <c r="D835" s="11"/>
      <c r="E835" s="12"/>
      <c r="F835" s="13"/>
      <c r="G835" s="13"/>
      <c r="H835" s="13"/>
      <c r="I835" s="11"/>
      <c r="J835" s="11"/>
      <c r="K835" s="11"/>
      <c r="L835" s="11"/>
      <c r="M835" s="15"/>
      <c r="N835" s="15"/>
      <c r="O835" s="15"/>
      <c r="P835" s="15"/>
      <c r="Q835" s="16"/>
      <c r="R835" s="16"/>
      <c r="S835" s="16"/>
      <c r="T835" s="17"/>
      <c r="U835" s="11"/>
      <c r="V835" s="16"/>
      <c r="W835" s="11"/>
      <c r="X835" s="11"/>
      <c r="Y835" s="15"/>
      <c r="Z835" s="11"/>
    </row>
    <row r="836" spans="1:26" x14ac:dyDescent="0.25">
      <c r="A836" s="11"/>
      <c r="B836" s="11"/>
      <c r="C836" s="11"/>
      <c r="D836" s="11"/>
      <c r="E836" s="12"/>
      <c r="F836" s="13"/>
      <c r="G836" s="13"/>
      <c r="H836" s="13"/>
      <c r="I836" s="11"/>
      <c r="J836" s="11"/>
      <c r="K836" s="11"/>
      <c r="L836" s="11"/>
      <c r="M836" s="15"/>
      <c r="N836" s="15"/>
      <c r="O836" s="15"/>
      <c r="P836" s="15"/>
      <c r="Q836" s="16"/>
      <c r="R836" s="16"/>
      <c r="S836" s="16"/>
      <c r="T836" s="17"/>
      <c r="U836" s="11"/>
      <c r="V836" s="16"/>
      <c r="W836" s="11"/>
      <c r="X836" s="11"/>
      <c r="Y836" s="15"/>
      <c r="Z836" s="11"/>
    </row>
    <row r="837" spans="1:26" x14ac:dyDescent="0.25">
      <c r="A837" s="11"/>
      <c r="B837" s="11"/>
      <c r="C837" s="11"/>
      <c r="D837" s="11"/>
      <c r="E837" s="12"/>
      <c r="F837" s="13"/>
      <c r="G837" s="13"/>
      <c r="H837" s="13"/>
      <c r="I837" s="11"/>
      <c r="J837" s="11"/>
      <c r="K837" s="11"/>
      <c r="L837" s="11"/>
      <c r="M837" s="15"/>
      <c r="N837" s="15"/>
      <c r="O837" s="15"/>
      <c r="P837" s="15"/>
      <c r="Q837" s="16"/>
      <c r="R837" s="16"/>
      <c r="S837" s="16"/>
      <c r="T837" s="17"/>
      <c r="U837" s="11"/>
      <c r="V837" s="16"/>
      <c r="W837" s="11"/>
      <c r="X837" s="11"/>
      <c r="Y837" s="15"/>
      <c r="Z837" s="11"/>
    </row>
    <row r="838" spans="1:26" x14ac:dyDescent="0.25">
      <c r="A838" s="11"/>
      <c r="B838" s="11"/>
      <c r="C838" s="11"/>
      <c r="D838" s="11"/>
      <c r="E838" s="12"/>
      <c r="F838" s="13"/>
      <c r="G838" s="13"/>
      <c r="H838" s="13"/>
      <c r="I838" s="11"/>
      <c r="J838" s="11"/>
      <c r="K838" s="11"/>
      <c r="L838" s="11"/>
      <c r="M838" s="15"/>
      <c r="N838" s="15"/>
      <c r="O838" s="15"/>
      <c r="P838" s="15"/>
      <c r="Q838" s="16"/>
      <c r="R838" s="16"/>
      <c r="S838" s="16"/>
      <c r="T838" s="17"/>
      <c r="U838" s="11"/>
      <c r="V838" s="16"/>
      <c r="W838" s="11"/>
      <c r="X838" s="11"/>
      <c r="Y838" s="15"/>
      <c r="Z838" s="11"/>
    </row>
    <row r="839" spans="1:26" x14ac:dyDescent="0.25">
      <c r="A839" s="11"/>
      <c r="B839" s="11"/>
      <c r="C839" s="11"/>
      <c r="D839" s="11"/>
      <c r="E839" s="12"/>
      <c r="F839" s="13"/>
      <c r="G839" s="13"/>
      <c r="H839" s="13"/>
      <c r="I839" s="11"/>
      <c r="J839" s="11"/>
      <c r="K839" s="11"/>
      <c r="L839" s="11"/>
      <c r="M839" s="15"/>
      <c r="N839" s="15"/>
      <c r="O839" s="15"/>
      <c r="P839" s="15"/>
      <c r="Q839" s="16"/>
      <c r="R839" s="16"/>
      <c r="S839" s="16"/>
      <c r="T839" s="17"/>
      <c r="U839" s="11"/>
      <c r="V839" s="16"/>
      <c r="W839" s="11"/>
      <c r="X839" s="11"/>
      <c r="Y839" s="15"/>
      <c r="Z839" s="11"/>
    </row>
    <row r="840" spans="1:26" x14ac:dyDescent="0.25">
      <c r="A840" s="11"/>
      <c r="B840" s="11"/>
      <c r="C840" s="11"/>
      <c r="D840" s="11"/>
      <c r="E840" s="12"/>
      <c r="F840" s="13"/>
      <c r="G840" s="13"/>
      <c r="H840" s="13"/>
      <c r="I840" s="11"/>
      <c r="J840" s="11"/>
      <c r="K840" s="11"/>
      <c r="L840" s="11"/>
      <c r="M840" s="15"/>
      <c r="N840" s="15"/>
      <c r="O840" s="15"/>
      <c r="P840" s="15"/>
      <c r="Q840" s="16"/>
      <c r="R840" s="16"/>
      <c r="S840" s="16"/>
      <c r="T840" s="17"/>
      <c r="U840" s="11"/>
      <c r="V840" s="16"/>
      <c r="W840" s="11"/>
      <c r="X840" s="11"/>
      <c r="Y840" s="15"/>
      <c r="Z840" s="11"/>
    </row>
    <row r="841" spans="1:26" x14ac:dyDescent="0.25">
      <c r="A841" s="11"/>
      <c r="B841" s="11"/>
      <c r="C841" s="11"/>
      <c r="D841" s="11"/>
      <c r="E841" s="12"/>
      <c r="F841" s="13"/>
      <c r="G841" s="13"/>
      <c r="H841" s="13"/>
      <c r="I841" s="11"/>
      <c r="J841" s="11"/>
      <c r="K841" s="11"/>
      <c r="L841" s="11"/>
      <c r="M841" s="15"/>
      <c r="N841" s="15"/>
      <c r="O841" s="15"/>
      <c r="P841" s="15"/>
      <c r="Q841" s="16"/>
      <c r="R841" s="16"/>
      <c r="S841" s="16"/>
      <c r="T841" s="17"/>
      <c r="U841" s="11"/>
      <c r="V841" s="16"/>
      <c r="W841" s="11"/>
      <c r="X841" s="11"/>
      <c r="Y841" s="15"/>
      <c r="Z841" s="11"/>
    </row>
    <row r="842" spans="1:26" x14ac:dyDescent="0.25">
      <c r="A842" s="11"/>
      <c r="B842" s="11"/>
      <c r="C842" s="11"/>
      <c r="D842" s="11"/>
      <c r="E842" s="12"/>
      <c r="F842" s="13"/>
      <c r="G842" s="13"/>
      <c r="H842" s="13"/>
      <c r="I842" s="11"/>
      <c r="J842" s="11"/>
      <c r="K842" s="11"/>
      <c r="L842" s="11"/>
      <c r="M842" s="15"/>
      <c r="N842" s="15"/>
      <c r="O842" s="15"/>
      <c r="P842" s="15"/>
      <c r="Q842" s="16"/>
      <c r="R842" s="16"/>
      <c r="S842" s="16"/>
      <c r="T842" s="17"/>
      <c r="U842" s="11"/>
      <c r="V842" s="16"/>
      <c r="W842" s="11"/>
      <c r="X842" s="11"/>
      <c r="Y842" s="15"/>
      <c r="Z842" s="11"/>
    </row>
    <row r="843" spans="1:26" x14ac:dyDescent="0.25">
      <c r="A843" s="11"/>
      <c r="B843" s="11"/>
      <c r="C843" s="11"/>
      <c r="D843" s="11"/>
      <c r="E843" s="12"/>
      <c r="F843" s="13"/>
      <c r="G843" s="13"/>
      <c r="H843" s="13"/>
      <c r="I843" s="11"/>
      <c r="J843" s="11"/>
      <c r="K843" s="11"/>
      <c r="L843" s="11"/>
      <c r="M843" s="15"/>
      <c r="N843" s="15"/>
      <c r="O843" s="15"/>
      <c r="P843" s="15"/>
      <c r="Q843" s="16"/>
      <c r="R843" s="16"/>
      <c r="S843" s="16"/>
      <c r="T843" s="17"/>
      <c r="U843" s="11"/>
      <c r="V843" s="16"/>
      <c r="W843" s="11"/>
      <c r="X843" s="11"/>
      <c r="Y843" s="15"/>
      <c r="Z843" s="11"/>
    </row>
    <row r="844" spans="1:26" x14ac:dyDescent="0.25">
      <c r="A844" s="11"/>
      <c r="B844" s="11"/>
      <c r="C844" s="11"/>
      <c r="D844" s="11"/>
      <c r="E844" s="12"/>
      <c r="F844" s="13"/>
      <c r="G844" s="13"/>
      <c r="H844" s="13"/>
      <c r="I844" s="11"/>
      <c r="J844" s="11"/>
      <c r="K844" s="11"/>
      <c r="L844" s="11"/>
      <c r="M844" s="15"/>
      <c r="N844" s="15"/>
      <c r="O844" s="15"/>
      <c r="P844" s="15"/>
      <c r="Q844" s="16"/>
      <c r="R844" s="16"/>
      <c r="S844" s="16"/>
      <c r="T844" s="17"/>
      <c r="U844" s="11"/>
      <c r="V844" s="16"/>
      <c r="W844" s="11"/>
      <c r="X844" s="11"/>
      <c r="Y844" s="15"/>
      <c r="Z844" s="11"/>
    </row>
    <row r="845" spans="1:26" x14ac:dyDescent="0.25">
      <c r="A845" s="11"/>
      <c r="B845" s="11"/>
      <c r="C845" s="11"/>
      <c r="D845" s="11"/>
      <c r="E845" s="12"/>
      <c r="F845" s="13"/>
      <c r="G845" s="13"/>
      <c r="H845" s="13"/>
      <c r="I845" s="11"/>
      <c r="J845" s="11"/>
      <c r="K845" s="11"/>
      <c r="L845" s="11"/>
      <c r="M845" s="15"/>
      <c r="N845" s="15"/>
      <c r="O845" s="15"/>
      <c r="P845" s="15"/>
      <c r="Q845" s="16"/>
      <c r="R845" s="16"/>
      <c r="S845" s="16"/>
      <c r="T845" s="17"/>
      <c r="U845" s="11"/>
      <c r="V845" s="16"/>
      <c r="W845" s="11"/>
      <c r="X845" s="11"/>
      <c r="Y845" s="15"/>
      <c r="Z845" s="11"/>
    </row>
    <row r="846" spans="1:26" x14ac:dyDescent="0.25">
      <c r="A846" s="11"/>
      <c r="B846" s="11"/>
      <c r="C846" s="11"/>
      <c r="D846" s="11"/>
      <c r="E846" s="12"/>
      <c r="F846" s="13"/>
      <c r="G846" s="13"/>
      <c r="H846" s="13"/>
      <c r="I846" s="11"/>
      <c r="J846" s="11"/>
      <c r="K846" s="11"/>
      <c r="L846" s="11"/>
      <c r="M846" s="15"/>
      <c r="N846" s="15"/>
      <c r="O846" s="15"/>
      <c r="P846" s="15"/>
      <c r="Q846" s="16"/>
      <c r="R846" s="16"/>
      <c r="S846" s="16"/>
      <c r="T846" s="17"/>
      <c r="U846" s="11"/>
      <c r="V846" s="16"/>
      <c r="W846" s="11"/>
      <c r="X846" s="11"/>
      <c r="Y846" s="15"/>
      <c r="Z846" s="11"/>
    </row>
    <row r="847" spans="1:26" x14ac:dyDescent="0.25">
      <c r="A847" s="18"/>
      <c r="B847" s="18"/>
      <c r="C847" s="18"/>
      <c r="D847" s="18"/>
      <c r="E847" s="19"/>
      <c r="F847" s="20"/>
      <c r="G847" s="13"/>
      <c r="H847" s="20"/>
      <c r="I847" s="18"/>
      <c r="J847" s="18"/>
      <c r="K847" s="18"/>
      <c r="L847" s="18"/>
      <c r="M847" s="21"/>
      <c r="N847" s="21"/>
      <c r="O847" s="21"/>
      <c r="P847" s="21"/>
      <c r="Q847" s="22"/>
      <c r="R847" s="19"/>
      <c r="S847" s="22"/>
      <c r="T847" s="23"/>
      <c r="U847" s="18"/>
      <c r="V847" s="22"/>
      <c r="W847" s="18"/>
      <c r="X847" s="18"/>
      <c r="Y847" s="21"/>
      <c r="Z847" s="18"/>
    </row>
    <row r="848" spans="1:26" x14ac:dyDescent="0.25">
      <c r="A848" s="18"/>
      <c r="B848" s="18"/>
      <c r="C848" s="18"/>
      <c r="D848" s="18"/>
      <c r="E848" s="19"/>
      <c r="F848" s="20"/>
      <c r="G848" s="13"/>
      <c r="H848" s="20"/>
      <c r="I848" s="18"/>
      <c r="J848" s="18"/>
      <c r="K848" s="18"/>
      <c r="L848" s="18"/>
      <c r="M848" s="21"/>
      <c r="N848" s="21"/>
      <c r="O848" s="21"/>
      <c r="P848" s="21"/>
      <c r="Q848" s="22"/>
      <c r="R848" s="19"/>
      <c r="S848" s="22"/>
      <c r="T848" s="23"/>
      <c r="U848" s="18"/>
      <c r="V848" s="22"/>
      <c r="W848" s="18"/>
      <c r="X848" s="18"/>
      <c r="Y848" s="21"/>
      <c r="Z848" s="18"/>
    </row>
    <row r="849" spans="1:26" x14ac:dyDescent="0.25">
      <c r="A849" s="11"/>
      <c r="B849" s="11"/>
      <c r="C849" s="11"/>
      <c r="D849" s="11"/>
      <c r="E849" s="12"/>
      <c r="F849" s="13"/>
      <c r="G849" s="13"/>
      <c r="H849" s="13"/>
      <c r="I849" s="11"/>
      <c r="J849" s="11"/>
      <c r="K849" s="11"/>
      <c r="L849" s="11"/>
      <c r="M849" s="15"/>
      <c r="N849" s="15"/>
      <c r="O849" s="15"/>
      <c r="P849" s="15"/>
      <c r="Q849" s="16"/>
      <c r="R849" s="16"/>
      <c r="S849" s="16"/>
      <c r="T849" s="17"/>
      <c r="U849" s="11"/>
      <c r="V849" s="16"/>
      <c r="W849" s="11"/>
      <c r="X849" s="11"/>
      <c r="Y849" s="15"/>
      <c r="Z849" s="11"/>
    </row>
    <row r="850" spans="1:26" x14ac:dyDescent="0.25">
      <c r="A850" s="18"/>
      <c r="B850" s="18"/>
      <c r="C850" s="18"/>
      <c r="D850" s="18"/>
      <c r="E850" s="19"/>
      <c r="F850" s="20"/>
      <c r="G850" s="13"/>
      <c r="H850" s="20"/>
      <c r="I850" s="18"/>
      <c r="J850" s="18"/>
      <c r="K850" s="18"/>
      <c r="L850" s="18"/>
      <c r="M850" s="21"/>
      <c r="N850" s="21"/>
      <c r="O850" s="21"/>
      <c r="P850" s="21"/>
      <c r="Q850" s="22"/>
      <c r="R850" s="19"/>
      <c r="S850" s="22"/>
      <c r="T850" s="23"/>
      <c r="U850" s="18"/>
      <c r="V850" s="22"/>
      <c r="W850" s="18"/>
      <c r="X850" s="18"/>
      <c r="Y850" s="21"/>
      <c r="Z850" s="18"/>
    </row>
    <row r="851" spans="1:26" x14ac:dyDescent="0.25">
      <c r="A851" s="18"/>
      <c r="B851" s="18"/>
      <c r="C851" s="18"/>
      <c r="D851" s="18"/>
      <c r="E851" s="19"/>
      <c r="F851" s="20"/>
      <c r="G851" s="13"/>
      <c r="H851" s="20"/>
      <c r="I851" s="18"/>
      <c r="J851" s="18"/>
      <c r="K851" s="18"/>
      <c r="L851" s="18"/>
      <c r="M851" s="21"/>
      <c r="N851" s="21"/>
      <c r="O851" s="21"/>
      <c r="P851" s="21"/>
      <c r="Q851" s="22"/>
      <c r="R851" s="19"/>
      <c r="S851" s="22"/>
      <c r="T851" s="23"/>
      <c r="U851" s="18"/>
      <c r="V851" s="22"/>
      <c r="W851" s="18"/>
      <c r="X851" s="18"/>
      <c r="Y851" s="21"/>
      <c r="Z851" s="18"/>
    </row>
    <row r="852" spans="1:26" x14ac:dyDescent="0.25">
      <c r="A852" s="11"/>
      <c r="B852" s="11"/>
      <c r="C852" s="11"/>
      <c r="D852" s="11"/>
      <c r="E852" s="12"/>
      <c r="F852" s="13"/>
      <c r="G852" s="13"/>
      <c r="H852" s="13"/>
      <c r="I852" s="11"/>
      <c r="J852" s="11"/>
      <c r="K852" s="11"/>
      <c r="L852" s="11"/>
      <c r="M852" s="15"/>
      <c r="N852" s="15"/>
      <c r="O852" s="15"/>
      <c r="P852" s="15"/>
      <c r="Q852" s="16"/>
      <c r="R852" s="16"/>
      <c r="S852" s="16"/>
      <c r="T852" s="17"/>
      <c r="U852" s="11"/>
      <c r="V852" s="16"/>
      <c r="W852" s="11"/>
      <c r="X852" s="11"/>
      <c r="Y852" s="15"/>
      <c r="Z852" s="11"/>
    </row>
    <row r="853" spans="1:26" x14ac:dyDescent="0.25">
      <c r="A853" s="18"/>
      <c r="B853" s="18"/>
      <c r="C853" s="18"/>
      <c r="D853" s="18"/>
      <c r="E853" s="19"/>
      <c r="F853" s="20"/>
      <c r="G853" s="13"/>
      <c r="H853" s="20"/>
      <c r="I853" s="18"/>
      <c r="J853" s="18"/>
      <c r="K853" s="18"/>
      <c r="L853" s="18"/>
      <c r="M853" s="21"/>
      <c r="N853" s="21"/>
      <c r="O853" s="21"/>
      <c r="P853" s="21"/>
      <c r="Q853" s="22"/>
      <c r="R853" s="19"/>
      <c r="S853" s="22"/>
      <c r="T853" s="23"/>
      <c r="U853" s="18"/>
      <c r="V853" s="22"/>
      <c r="W853" s="18"/>
      <c r="X853" s="18"/>
      <c r="Y853" s="21"/>
      <c r="Z853" s="18"/>
    </row>
    <row r="854" spans="1:26" x14ac:dyDescent="0.25">
      <c r="A854" s="11"/>
      <c r="B854" s="11"/>
      <c r="C854" s="11"/>
      <c r="D854" s="11"/>
      <c r="E854" s="12"/>
      <c r="F854" s="13"/>
      <c r="G854" s="13"/>
      <c r="H854" s="13"/>
      <c r="I854" s="11"/>
      <c r="J854" s="11"/>
      <c r="K854" s="11"/>
      <c r="L854" s="11"/>
      <c r="M854" s="15"/>
      <c r="N854" s="15"/>
      <c r="O854" s="15"/>
      <c r="P854" s="15"/>
      <c r="Q854" s="16"/>
      <c r="R854" s="16"/>
      <c r="S854" s="16"/>
      <c r="T854" s="17"/>
      <c r="U854" s="11"/>
      <c r="V854" s="16"/>
      <c r="W854" s="11"/>
      <c r="X854" s="11"/>
      <c r="Y854" s="15"/>
      <c r="Z854" s="11"/>
    </row>
    <row r="855" spans="1:26" x14ac:dyDescent="0.25">
      <c r="A855" s="11"/>
      <c r="B855" s="11"/>
      <c r="C855" s="11"/>
      <c r="D855" s="11"/>
      <c r="E855" s="12"/>
      <c r="F855" s="13"/>
      <c r="G855" s="13"/>
      <c r="H855" s="13"/>
      <c r="I855" s="11"/>
      <c r="J855" s="11"/>
      <c r="K855" s="11"/>
      <c r="L855" s="11"/>
      <c r="M855" s="15"/>
      <c r="N855" s="15"/>
      <c r="O855" s="15"/>
      <c r="P855" s="15"/>
      <c r="Q855" s="16"/>
      <c r="R855" s="16"/>
      <c r="S855" s="16"/>
      <c r="T855" s="17"/>
      <c r="U855" s="11"/>
      <c r="V855" s="16"/>
      <c r="W855" s="11"/>
      <c r="X855" s="11"/>
      <c r="Y855" s="15"/>
      <c r="Z855" s="11"/>
    </row>
    <row r="856" spans="1:26" x14ac:dyDescent="0.25">
      <c r="A856" s="11"/>
      <c r="B856" s="11"/>
      <c r="C856" s="11"/>
      <c r="D856" s="11"/>
      <c r="E856" s="12"/>
      <c r="F856" s="13"/>
      <c r="G856" s="13"/>
      <c r="H856" s="13"/>
      <c r="I856" s="11"/>
      <c r="J856" s="11"/>
      <c r="K856" s="11"/>
      <c r="L856" s="11"/>
      <c r="M856" s="15"/>
      <c r="N856" s="15"/>
      <c r="O856" s="15"/>
      <c r="P856" s="15"/>
      <c r="Q856" s="16"/>
      <c r="R856" s="16"/>
      <c r="S856" s="16"/>
      <c r="T856" s="17"/>
      <c r="U856" s="11"/>
      <c r="V856" s="16"/>
      <c r="W856" s="11"/>
      <c r="X856" s="11"/>
      <c r="Y856" s="15"/>
      <c r="Z856" s="11"/>
    </row>
    <row r="857" spans="1:26" x14ac:dyDescent="0.25">
      <c r="A857" s="11"/>
      <c r="B857" s="11"/>
      <c r="C857" s="11"/>
      <c r="D857" s="11"/>
      <c r="E857" s="12"/>
      <c r="F857" s="13"/>
      <c r="G857" s="13"/>
      <c r="H857" s="13"/>
      <c r="I857" s="11"/>
      <c r="J857" s="11"/>
      <c r="K857" s="11"/>
      <c r="L857" s="11"/>
      <c r="M857" s="15"/>
      <c r="N857" s="15"/>
      <c r="O857" s="15"/>
      <c r="P857" s="15"/>
      <c r="Q857" s="16"/>
      <c r="R857" s="16"/>
      <c r="S857" s="16"/>
      <c r="T857" s="17"/>
      <c r="U857" s="11"/>
      <c r="V857" s="16"/>
      <c r="W857" s="11"/>
      <c r="X857" s="11"/>
      <c r="Y857" s="15"/>
      <c r="Z857" s="11"/>
    </row>
    <row r="858" spans="1:26" x14ac:dyDescent="0.25">
      <c r="A858" s="11"/>
      <c r="B858" s="11"/>
      <c r="C858" s="11"/>
      <c r="D858" s="11"/>
      <c r="E858" s="12"/>
      <c r="F858" s="13"/>
      <c r="G858" s="13"/>
      <c r="H858" s="13"/>
      <c r="I858" s="11"/>
      <c r="J858" s="11"/>
      <c r="K858" s="11"/>
      <c r="L858" s="11"/>
      <c r="M858" s="15"/>
      <c r="N858" s="15"/>
      <c r="O858" s="15"/>
      <c r="P858" s="15"/>
      <c r="Q858" s="16"/>
      <c r="R858" s="16"/>
      <c r="S858" s="16"/>
      <c r="T858" s="17"/>
      <c r="U858" s="11"/>
      <c r="V858" s="16"/>
      <c r="W858" s="11"/>
      <c r="X858" s="11"/>
      <c r="Y858" s="15"/>
      <c r="Z858" s="11"/>
    </row>
    <row r="859" spans="1:26" x14ac:dyDescent="0.25">
      <c r="A859" s="11"/>
      <c r="B859" s="11"/>
      <c r="C859" s="11"/>
      <c r="D859" s="11"/>
      <c r="E859" s="12"/>
      <c r="F859" s="13"/>
      <c r="G859" s="13"/>
      <c r="H859" s="13"/>
      <c r="I859" s="11"/>
      <c r="J859" s="11"/>
      <c r="K859" s="11"/>
      <c r="L859" s="11"/>
      <c r="M859" s="15"/>
      <c r="N859" s="15"/>
      <c r="O859" s="15"/>
      <c r="P859" s="15"/>
      <c r="Q859" s="16"/>
      <c r="R859" s="16"/>
      <c r="S859" s="16"/>
      <c r="T859" s="17"/>
      <c r="U859" s="11"/>
      <c r="V859" s="16"/>
      <c r="W859" s="11"/>
      <c r="X859" s="11"/>
      <c r="Y859" s="15"/>
      <c r="Z859" s="11"/>
    </row>
    <row r="860" spans="1:26" x14ac:dyDescent="0.25">
      <c r="A860" s="11"/>
      <c r="B860" s="11"/>
      <c r="C860" s="11"/>
      <c r="D860" s="11"/>
      <c r="E860" s="12"/>
      <c r="F860" s="13"/>
      <c r="G860" s="13"/>
      <c r="H860" s="13"/>
      <c r="I860" s="11"/>
      <c r="J860" s="11"/>
      <c r="K860" s="11"/>
      <c r="L860" s="11"/>
      <c r="M860" s="15"/>
      <c r="N860" s="15"/>
      <c r="O860" s="15"/>
      <c r="P860" s="15"/>
      <c r="Q860" s="16"/>
      <c r="R860" s="16"/>
      <c r="S860" s="16"/>
      <c r="T860" s="17"/>
      <c r="U860" s="11"/>
      <c r="V860" s="16"/>
      <c r="W860" s="11"/>
      <c r="X860" s="11"/>
      <c r="Y860" s="15"/>
      <c r="Z860" s="11"/>
    </row>
    <row r="861" spans="1:26" x14ac:dyDescent="0.25">
      <c r="A861" s="11"/>
      <c r="B861" s="11"/>
      <c r="C861" s="11"/>
      <c r="D861" s="11"/>
      <c r="E861" s="12"/>
      <c r="F861" s="13"/>
      <c r="G861" s="13"/>
      <c r="H861" s="13"/>
      <c r="I861" s="11"/>
      <c r="J861" s="11"/>
      <c r="K861" s="11"/>
      <c r="L861" s="11"/>
      <c r="M861" s="15"/>
      <c r="N861" s="15"/>
      <c r="O861" s="15"/>
      <c r="P861" s="15"/>
      <c r="Q861" s="16"/>
      <c r="R861" s="16"/>
      <c r="S861" s="16"/>
      <c r="T861" s="17"/>
      <c r="U861" s="11"/>
      <c r="V861" s="16"/>
      <c r="W861" s="11"/>
      <c r="X861" s="11"/>
      <c r="Y861" s="15"/>
      <c r="Z861" s="11"/>
    </row>
    <row r="862" spans="1:26" x14ac:dyDescent="0.25">
      <c r="A862" s="11"/>
      <c r="B862" s="11"/>
      <c r="C862" s="11"/>
      <c r="D862" s="11"/>
      <c r="E862" s="12"/>
      <c r="F862" s="13"/>
      <c r="G862" s="13"/>
      <c r="H862" s="13"/>
      <c r="I862" s="11"/>
      <c r="J862" s="11"/>
      <c r="K862" s="11"/>
      <c r="L862" s="11"/>
      <c r="M862" s="15"/>
      <c r="N862" s="15"/>
      <c r="O862" s="15"/>
      <c r="P862" s="15"/>
      <c r="Q862" s="16"/>
      <c r="R862" s="16"/>
      <c r="S862" s="16"/>
      <c r="T862" s="17"/>
      <c r="U862" s="11"/>
      <c r="V862" s="16"/>
      <c r="W862" s="11"/>
      <c r="X862" s="11"/>
      <c r="Y862" s="15"/>
      <c r="Z862" s="11"/>
    </row>
    <row r="863" spans="1:26" x14ac:dyDescent="0.25">
      <c r="A863" s="11"/>
      <c r="B863" s="11"/>
      <c r="C863" s="11"/>
      <c r="D863" s="11"/>
      <c r="E863" s="12"/>
      <c r="F863" s="13"/>
      <c r="G863" s="13"/>
      <c r="H863" s="13"/>
      <c r="I863" s="11"/>
      <c r="J863" s="11"/>
      <c r="K863" s="11"/>
      <c r="L863" s="11"/>
      <c r="M863" s="15"/>
      <c r="N863" s="15"/>
      <c r="O863" s="15"/>
      <c r="P863" s="15"/>
      <c r="Q863" s="16"/>
      <c r="R863" s="16"/>
      <c r="S863" s="16"/>
      <c r="T863" s="17"/>
      <c r="U863" s="11"/>
      <c r="V863" s="16"/>
      <c r="W863" s="11"/>
      <c r="X863" s="11"/>
      <c r="Y863" s="15"/>
      <c r="Z863" s="11"/>
    </row>
    <row r="864" spans="1:26" x14ac:dyDescent="0.25">
      <c r="A864" s="11"/>
      <c r="B864" s="11"/>
      <c r="C864" s="11"/>
      <c r="D864" s="11"/>
      <c r="E864" s="12"/>
      <c r="F864" s="13"/>
      <c r="G864" s="13"/>
      <c r="H864" s="13"/>
      <c r="I864" s="11"/>
      <c r="J864" s="11"/>
      <c r="K864" s="11"/>
      <c r="L864" s="11"/>
      <c r="M864" s="15"/>
      <c r="N864" s="15"/>
      <c r="O864" s="15"/>
      <c r="P864" s="15"/>
      <c r="Q864" s="16"/>
      <c r="R864" s="16"/>
      <c r="S864" s="16"/>
      <c r="T864" s="17"/>
      <c r="U864" s="11"/>
      <c r="V864" s="16"/>
      <c r="W864" s="11"/>
      <c r="X864" s="11"/>
      <c r="Y864" s="15"/>
      <c r="Z864" s="11"/>
    </row>
    <row r="865" spans="1:26" x14ac:dyDescent="0.25">
      <c r="A865" s="11"/>
      <c r="B865" s="11"/>
      <c r="C865" s="11"/>
      <c r="D865" s="11"/>
      <c r="E865" s="12"/>
      <c r="F865" s="13"/>
      <c r="G865" s="13"/>
      <c r="H865" s="13"/>
      <c r="I865" s="11"/>
      <c r="J865" s="11"/>
      <c r="K865" s="11"/>
      <c r="L865" s="11"/>
      <c r="M865" s="15"/>
      <c r="N865" s="15"/>
      <c r="O865" s="15"/>
      <c r="P865" s="15"/>
      <c r="Q865" s="16"/>
      <c r="R865" s="16"/>
      <c r="S865" s="16"/>
      <c r="T865" s="17"/>
      <c r="U865" s="11"/>
      <c r="V865" s="16"/>
      <c r="W865" s="11"/>
      <c r="X865" s="11"/>
      <c r="Y865" s="15"/>
      <c r="Z865" s="11"/>
    </row>
    <row r="866" spans="1:26" x14ac:dyDescent="0.25">
      <c r="A866" s="11"/>
      <c r="B866" s="11"/>
      <c r="C866" s="11"/>
      <c r="D866" s="11"/>
      <c r="E866" s="12"/>
      <c r="F866" s="13"/>
      <c r="G866" s="13"/>
      <c r="H866" s="13"/>
      <c r="I866" s="11"/>
      <c r="J866" s="11"/>
      <c r="K866" s="11"/>
      <c r="L866" s="11"/>
      <c r="M866" s="15"/>
      <c r="N866" s="15"/>
      <c r="O866" s="15"/>
      <c r="P866" s="15"/>
      <c r="Q866" s="16"/>
      <c r="R866" s="16"/>
      <c r="S866" s="16"/>
      <c r="T866" s="17"/>
      <c r="U866" s="11"/>
      <c r="V866" s="16"/>
      <c r="W866" s="11"/>
      <c r="X866" s="11"/>
      <c r="Y866" s="15"/>
      <c r="Z866" s="11"/>
    </row>
    <row r="867" spans="1:26" x14ac:dyDescent="0.25">
      <c r="A867" s="11"/>
      <c r="B867" s="11"/>
      <c r="C867" s="11"/>
      <c r="D867" s="11"/>
      <c r="E867" s="12"/>
      <c r="F867" s="13"/>
      <c r="G867" s="13"/>
      <c r="H867" s="13"/>
      <c r="I867" s="11"/>
      <c r="J867" s="11"/>
      <c r="K867" s="11"/>
      <c r="L867" s="11"/>
      <c r="M867" s="15"/>
      <c r="N867" s="15"/>
      <c r="O867" s="15"/>
      <c r="P867" s="15"/>
      <c r="Q867" s="16"/>
      <c r="R867" s="16"/>
      <c r="S867" s="16"/>
      <c r="T867" s="17"/>
      <c r="U867" s="11"/>
      <c r="V867" s="16"/>
      <c r="W867" s="11"/>
      <c r="X867" s="11"/>
      <c r="Y867" s="15"/>
      <c r="Z867" s="11"/>
    </row>
    <row r="868" spans="1:26" x14ac:dyDescent="0.25">
      <c r="A868" s="11"/>
      <c r="B868" s="11"/>
      <c r="C868" s="11"/>
      <c r="D868" s="11"/>
      <c r="E868" s="12"/>
      <c r="F868" s="13"/>
      <c r="G868" s="13"/>
      <c r="H868" s="13"/>
      <c r="I868" s="11"/>
      <c r="J868" s="11"/>
      <c r="K868" s="11"/>
      <c r="L868" s="11"/>
      <c r="M868" s="15"/>
      <c r="N868" s="15"/>
      <c r="O868" s="15"/>
      <c r="P868" s="15"/>
      <c r="Q868" s="16"/>
      <c r="R868" s="16"/>
      <c r="S868" s="16"/>
      <c r="T868" s="17"/>
      <c r="U868" s="11"/>
      <c r="V868" s="16"/>
      <c r="W868" s="11"/>
      <c r="X868" s="11"/>
      <c r="Y868" s="15"/>
      <c r="Z868" s="11"/>
    </row>
    <row r="869" spans="1:26" x14ac:dyDescent="0.25">
      <c r="A869" s="11"/>
      <c r="B869" s="11"/>
      <c r="C869" s="11"/>
      <c r="D869" s="11"/>
      <c r="E869" s="12"/>
      <c r="F869" s="13"/>
      <c r="G869" s="13"/>
      <c r="H869" s="13"/>
      <c r="I869" s="11"/>
      <c r="J869" s="11"/>
      <c r="K869" s="11"/>
      <c r="L869" s="11"/>
      <c r="M869" s="15"/>
      <c r="N869" s="15"/>
      <c r="O869" s="15"/>
      <c r="P869" s="15"/>
      <c r="Q869" s="16"/>
      <c r="R869" s="16"/>
      <c r="S869" s="16"/>
      <c r="T869" s="17"/>
      <c r="U869" s="11"/>
      <c r="V869" s="16"/>
      <c r="W869" s="11"/>
      <c r="X869" s="11"/>
      <c r="Y869" s="15"/>
      <c r="Z869" s="11"/>
    </row>
    <row r="870" spans="1:26" x14ac:dyDescent="0.25">
      <c r="A870" s="11"/>
      <c r="B870" s="11"/>
      <c r="C870" s="11"/>
      <c r="D870" s="11"/>
      <c r="E870" s="12"/>
      <c r="F870" s="13"/>
      <c r="G870" s="13"/>
      <c r="H870" s="13"/>
      <c r="I870" s="11"/>
      <c r="J870" s="11"/>
      <c r="K870" s="11"/>
      <c r="L870" s="11"/>
      <c r="M870" s="15"/>
      <c r="N870" s="15"/>
      <c r="O870" s="15"/>
      <c r="P870" s="15"/>
      <c r="Q870" s="16"/>
      <c r="R870" s="16"/>
      <c r="S870" s="16"/>
      <c r="T870" s="17"/>
      <c r="U870" s="11"/>
      <c r="V870" s="16"/>
      <c r="W870" s="11"/>
      <c r="X870" s="11"/>
      <c r="Y870" s="15"/>
      <c r="Z870" s="11"/>
    </row>
    <row r="871" spans="1:26" x14ac:dyDescent="0.25">
      <c r="A871" s="11"/>
      <c r="B871" s="11"/>
      <c r="C871" s="11"/>
      <c r="D871" s="11"/>
      <c r="E871" s="12"/>
      <c r="F871" s="13"/>
      <c r="G871" s="13"/>
      <c r="H871" s="13"/>
      <c r="I871" s="11"/>
      <c r="J871" s="11"/>
      <c r="K871" s="11"/>
      <c r="L871" s="11"/>
      <c r="M871" s="15"/>
      <c r="N871" s="15"/>
      <c r="O871" s="15"/>
      <c r="P871" s="15"/>
      <c r="Q871" s="16"/>
      <c r="R871" s="16"/>
      <c r="S871" s="16"/>
      <c r="T871" s="17"/>
      <c r="U871" s="11"/>
      <c r="V871" s="16"/>
      <c r="W871" s="11"/>
      <c r="X871" s="11"/>
      <c r="Y871" s="15"/>
      <c r="Z871" s="11"/>
    </row>
    <row r="872" spans="1:26" x14ac:dyDescent="0.25">
      <c r="A872" s="11"/>
      <c r="B872" s="11"/>
      <c r="C872" s="11"/>
      <c r="D872" s="11"/>
      <c r="E872" s="12"/>
      <c r="F872" s="13"/>
      <c r="G872" s="13"/>
      <c r="H872" s="13"/>
      <c r="I872" s="11"/>
      <c r="J872" s="11"/>
      <c r="K872" s="11"/>
      <c r="L872" s="11"/>
      <c r="M872" s="15"/>
      <c r="N872" s="15"/>
      <c r="O872" s="15"/>
      <c r="P872" s="15"/>
      <c r="Q872" s="16"/>
      <c r="R872" s="16"/>
      <c r="S872" s="16"/>
      <c r="T872" s="17"/>
      <c r="U872" s="11"/>
      <c r="V872" s="16"/>
      <c r="W872" s="11"/>
      <c r="X872" s="11"/>
      <c r="Y872" s="15"/>
      <c r="Z872" s="11"/>
    </row>
    <row r="873" spans="1:26" x14ac:dyDescent="0.25">
      <c r="A873" s="18"/>
      <c r="B873" s="18"/>
      <c r="C873" s="18"/>
      <c r="D873" s="18"/>
      <c r="E873" s="19"/>
      <c r="F873" s="20"/>
      <c r="G873" s="13"/>
      <c r="H873" s="20"/>
      <c r="I873" s="18"/>
      <c r="J873" s="18"/>
      <c r="K873" s="18"/>
      <c r="L873" s="18"/>
      <c r="M873" s="21"/>
      <c r="N873" s="21"/>
      <c r="O873" s="21"/>
      <c r="P873" s="21"/>
      <c r="Q873" s="22"/>
      <c r="R873" s="19"/>
      <c r="S873" s="22"/>
      <c r="T873" s="23"/>
      <c r="U873" s="18"/>
      <c r="V873" s="22"/>
      <c r="W873" s="18"/>
      <c r="X873" s="18"/>
      <c r="Y873" s="21"/>
      <c r="Z873" s="18"/>
    </row>
    <row r="874" spans="1:26" x14ac:dyDescent="0.25">
      <c r="A874" s="11"/>
      <c r="B874" s="11"/>
      <c r="C874" s="11"/>
      <c r="D874" s="11"/>
      <c r="E874" s="12"/>
      <c r="F874" s="13"/>
      <c r="G874" s="13"/>
      <c r="H874" s="13"/>
      <c r="I874" s="11"/>
      <c r="J874" s="11"/>
      <c r="K874" s="11"/>
      <c r="L874" s="11"/>
      <c r="M874" s="15"/>
      <c r="N874" s="15"/>
      <c r="O874" s="15"/>
      <c r="P874" s="15"/>
      <c r="Q874" s="16"/>
      <c r="R874" s="16"/>
      <c r="S874" s="16"/>
      <c r="T874" s="17"/>
      <c r="U874" s="11"/>
      <c r="V874" s="16"/>
      <c r="W874" s="11"/>
      <c r="X874" s="11"/>
      <c r="Y874" s="15"/>
      <c r="Z874" s="11"/>
    </row>
    <row r="875" spans="1:26" x14ac:dyDescent="0.25">
      <c r="A875" s="11"/>
      <c r="B875" s="11"/>
      <c r="C875" s="11"/>
      <c r="D875" s="11"/>
      <c r="E875" s="12"/>
      <c r="F875" s="13"/>
      <c r="G875" s="13"/>
      <c r="H875" s="13"/>
      <c r="I875" s="11"/>
      <c r="J875" s="11"/>
      <c r="K875" s="11"/>
      <c r="L875" s="11"/>
      <c r="M875" s="15"/>
      <c r="N875" s="15"/>
      <c r="O875" s="15"/>
      <c r="P875" s="15"/>
      <c r="Q875" s="16"/>
      <c r="R875" s="16"/>
      <c r="S875" s="16"/>
      <c r="T875" s="17"/>
      <c r="U875" s="11"/>
      <c r="V875" s="16"/>
      <c r="W875" s="11"/>
      <c r="X875" s="11"/>
      <c r="Y875" s="15"/>
      <c r="Z875" s="11"/>
    </row>
    <row r="876" spans="1:26" x14ac:dyDescent="0.25">
      <c r="A876" s="11"/>
      <c r="B876" s="11"/>
      <c r="C876" s="11"/>
      <c r="D876" s="11"/>
      <c r="E876" s="12"/>
      <c r="F876" s="13"/>
      <c r="G876" s="13"/>
      <c r="H876" s="13"/>
      <c r="I876" s="11"/>
      <c r="J876" s="11"/>
      <c r="K876" s="11"/>
      <c r="L876" s="11"/>
      <c r="M876" s="15"/>
      <c r="N876" s="15"/>
      <c r="O876" s="15"/>
      <c r="P876" s="15"/>
      <c r="Q876" s="16"/>
      <c r="R876" s="16"/>
      <c r="S876" s="16"/>
      <c r="T876" s="17"/>
      <c r="U876" s="11"/>
      <c r="V876" s="16"/>
      <c r="W876" s="11"/>
      <c r="X876" s="11"/>
      <c r="Y876" s="15"/>
      <c r="Z876" s="11"/>
    </row>
    <row r="877" spans="1:26" x14ac:dyDescent="0.25">
      <c r="A877" s="11"/>
      <c r="B877" s="11"/>
      <c r="C877" s="11"/>
      <c r="D877" s="11"/>
      <c r="E877" s="12"/>
      <c r="F877" s="13"/>
      <c r="G877" s="13"/>
      <c r="H877" s="13"/>
      <c r="I877" s="11"/>
      <c r="J877" s="11"/>
      <c r="K877" s="11"/>
      <c r="L877" s="11"/>
      <c r="M877" s="15"/>
      <c r="N877" s="15"/>
      <c r="O877" s="15"/>
      <c r="P877" s="15"/>
      <c r="Q877" s="16"/>
      <c r="R877" s="16"/>
      <c r="S877" s="16"/>
      <c r="T877" s="17"/>
      <c r="U877" s="11"/>
      <c r="V877" s="16"/>
      <c r="W877" s="11"/>
      <c r="X877" s="11"/>
      <c r="Y877" s="15"/>
      <c r="Z877" s="11"/>
    </row>
    <row r="878" spans="1:26" x14ac:dyDescent="0.25">
      <c r="A878" s="11"/>
      <c r="B878" s="11"/>
      <c r="C878" s="11"/>
      <c r="D878" s="11"/>
      <c r="E878" s="12"/>
      <c r="F878" s="13"/>
      <c r="G878" s="13"/>
      <c r="H878" s="13"/>
      <c r="I878" s="11"/>
      <c r="J878" s="11"/>
      <c r="K878" s="11"/>
      <c r="L878" s="11"/>
      <c r="M878" s="15"/>
      <c r="N878" s="15"/>
      <c r="O878" s="15"/>
      <c r="P878" s="15"/>
      <c r="Q878" s="16"/>
      <c r="R878" s="16"/>
      <c r="S878" s="16"/>
      <c r="T878" s="17"/>
      <c r="U878" s="11"/>
      <c r="V878" s="16"/>
      <c r="W878" s="11"/>
      <c r="X878" s="11"/>
      <c r="Y878" s="15"/>
      <c r="Z878" s="11"/>
    </row>
    <row r="879" spans="1:26" x14ac:dyDescent="0.25">
      <c r="A879" s="11"/>
      <c r="B879" s="11"/>
      <c r="C879" s="11"/>
      <c r="D879" s="11"/>
      <c r="E879" s="12"/>
      <c r="F879" s="13"/>
      <c r="G879" s="13"/>
      <c r="H879" s="13"/>
      <c r="I879" s="11"/>
      <c r="J879" s="11"/>
      <c r="K879" s="11"/>
      <c r="L879" s="11"/>
      <c r="M879" s="15"/>
      <c r="N879" s="15"/>
      <c r="O879" s="15"/>
      <c r="P879" s="15"/>
      <c r="Q879" s="16"/>
      <c r="R879" s="16"/>
      <c r="S879" s="16"/>
      <c r="T879" s="17"/>
      <c r="U879" s="11"/>
      <c r="V879" s="16"/>
      <c r="W879" s="11"/>
      <c r="X879" s="11"/>
      <c r="Y879" s="15"/>
      <c r="Z879" s="11"/>
    </row>
    <row r="880" spans="1:26" x14ac:dyDescent="0.25">
      <c r="A880" s="11"/>
      <c r="B880" s="11"/>
      <c r="C880" s="11"/>
      <c r="D880" s="11"/>
      <c r="E880" s="12"/>
      <c r="F880" s="13"/>
      <c r="G880" s="13"/>
      <c r="H880" s="13"/>
      <c r="I880" s="11"/>
      <c r="J880" s="11"/>
      <c r="K880" s="11"/>
      <c r="L880" s="11"/>
      <c r="M880" s="15"/>
      <c r="N880" s="15"/>
      <c r="O880" s="15"/>
      <c r="P880" s="15"/>
      <c r="Q880" s="16"/>
      <c r="R880" s="16"/>
      <c r="S880" s="16"/>
      <c r="T880" s="17"/>
      <c r="U880" s="11"/>
      <c r="V880" s="16"/>
      <c r="W880" s="11"/>
      <c r="X880" s="11"/>
      <c r="Y880" s="15"/>
      <c r="Z880" s="11"/>
    </row>
    <row r="881" spans="1:26" x14ac:dyDescent="0.25">
      <c r="A881" s="11"/>
      <c r="B881" s="11"/>
      <c r="C881" s="11"/>
      <c r="D881" s="11"/>
      <c r="E881" s="12"/>
      <c r="F881" s="13"/>
      <c r="G881" s="13"/>
      <c r="H881" s="13"/>
      <c r="I881" s="11"/>
      <c r="J881" s="11"/>
      <c r="K881" s="11"/>
      <c r="L881" s="11"/>
      <c r="M881" s="15"/>
      <c r="N881" s="15"/>
      <c r="O881" s="15"/>
      <c r="P881" s="15"/>
      <c r="Q881" s="16"/>
      <c r="R881" s="16"/>
      <c r="S881" s="16"/>
      <c r="T881" s="17"/>
      <c r="U881" s="11"/>
      <c r="V881" s="16"/>
      <c r="W881" s="11"/>
      <c r="X881" s="11"/>
      <c r="Y881" s="15"/>
      <c r="Z881" s="11"/>
    </row>
    <row r="882" spans="1:26" x14ac:dyDescent="0.25">
      <c r="A882" s="11"/>
      <c r="B882" s="11"/>
      <c r="C882" s="11"/>
      <c r="D882" s="11"/>
      <c r="E882" s="12"/>
      <c r="F882" s="13"/>
      <c r="G882" s="13"/>
      <c r="H882" s="13"/>
      <c r="I882" s="11"/>
      <c r="J882" s="11"/>
      <c r="K882" s="11"/>
      <c r="L882" s="11"/>
      <c r="M882" s="15"/>
      <c r="N882" s="15"/>
      <c r="O882" s="15"/>
      <c r="P882" s="15"/>
      <c r="Q882" s="16"/>
      <c r="R882" s="16"/>
      <c r="S882" s="16"/>
      <c r="T882" s="17"/>
      <c r="U882" s="11"/>
      <c r="V882" s="16"/>
      <c r="W882" s="11"/>
      <c r="X882" s="11"/>
      <c r="Y882" s="15"/>
      <c r="Z882" s="11"/>
    </row>
    <row r="883" spans="1:26" x14ac:dyDescent="0.25">
      <c r="A883" s="11"/>
      <c r="B883" s="11"/>
      <c r="C883" s="11"/>
      <c r="D883" s="11"/>
      <c r="E883" s="12"/>
      <c r="F883" s="13"/>
      <c r="G883" s="13"/>
      <c r="H883" s="13"/>
      <c r="I883" s="11"/>
      <c r="J883" s="11"/>
      <c r="K883" s="11"/>
      <c r="L883" s="11"/>
      <c r="M883" s="15"/>
      <c r="N883" s="15"/>
      <c r="O883" s="15"/>
      <c r="P883" s="15"/>
      <c r="Q883" s="16"/>
      <c r="R883" s="16"/>
      <c r="S883" s="16"/>
      <c r="T883" s="17"/>
      <c r="U883" s="11"/>
      <c r="V883" s="16"/>
      <c r="W883" s="11"/>
      <c r="X883" s="11"/>
      <c r="Y883" s="15"/>
      <c r="Z883" s="11"/>
    </row>
    <row r="884" spans="1:26" x14ac:dyDescent="0.25">
      <c r="A884" s="11"/>
      <c r="B884" s="11"/>
      <c r="C884" s="11"/>
      <c r="D884" s="11"/>
      <c r="E884" s="12"/>
      <c r="F884" s="13"/>
      <c r="G884" s="13"/>
      <c r="H884" s="13"/>
      <c r="I884" s="11"/>
      <c r="J884" s="11"/>
      <c r="K884" s="11"/>
      <c r="L884" s="11"/>
      <c r="M884" s="15"/>
      <c r="N884" s="15"/>
      <c r="O884" s="15"/>
      <c r="P884" s="15"/>
      <c r="Q884" s="16"/>
      <c r="R884" s="16"/>
      <c r="S884" s="16"/>
      <c r="T884" s="17"/>
      <c r="U884" s="11"/>
      <c r="V884" s="16"/>
      <c r="W884" s="11"/>
      <c r="X884" s="11"/>
      <c r="Y884" s="15"/>
      <c r="Z884" s="11"/>
    </row>
    <row r="885" spans="1:26" x14ac:dyDescent="0.25">
      <c r="A885" s="11"/>
      <c r="B885" s="11"/>
      <c r="C885" s="11"/>
      <c r="D885" s="11"/>
      <c r="E885" s="12"/>
      <c r="F885" s="13"/>
      <c r="G885" s="13"/>
      <c r="H885" s="13"/>
      <c r="I885" s="11"/>
      <c r="J885" s="11"/>
      <c r="K885" s="11"/>
      <c r="L885" s="11"/>
      <c r="M885" s="15"/>
      <c r="N885" s="15"/>
      <c r="O885" s="15"/>
      <c r="P885" s="15"/>
      <c r="Q885" s="16"/>
      <c r="R885" s="16"/>
      <c r="S885" s="16"/>
      <c r="T885" s="17"/>
      <c r="U885" s="11"/>
      <c r="V885" s="16"/>
      <c r="W885" s="11"/>
      <c r="X885" s="11"/>
      <c r="Y885" s="15"/>
      <c r="Z885" s="11"/>
    </row>
    <row r="886" spans="1:26" x14ac:dyDescent="0.25">
      <c r="A886" s="11"/>
      <c r="B886" s="11"/>
      <c r="C886" s="11"/>
      <c r="D886" s="11"/>
      <c r="E886" s="12"/>
      <c r="F886" s="13"/>
      <c r="G886" s="13"/>
      <c r="H886" s="13"/>
      <c r="I886" s="11"/>
      <c r="J886" s="11"/>
      <c r="K886" s="11"/>
      <c r="L886" s="11"/>
      <c r="M886" s="15"/>
      <c r="N886" s="15"/>
      <c r="O886" s="15"/>
      <c r="P886" s="15"/>
      <c r="Q886" s="16"/>
      <c r="R886" s="16"/>
      <c r="S886" s="16"/>
      <c r="T886" s="17"/>
      <c r="U886" s="11"/>
      <c r="V886" s="16"/>
      <c r="W886" s="11"/>
      <c r="X886" s="11"/>
      <c r="Y886" s="15"/>
      <c r="Z886" s="11"/>
    </row>
    <row r="887" spans="1:26" x14ac:dyDescent="0.25">
      <c r="A887" s="11"/>
      <c r="B887" s="11"/>
      <c r="C887" s="11"/>
      <c r="D887" s="11"/>
      <c r="E887" s="12"/>
      <c r="F887" s="13"/>
      <c r="G887" s="13"/>
      <c r="H887" s="13"/>
      <c r="I887" s="11"/>
      <c r="J887" s="11"/>
      <c r="K887" s="11"/>
      <c r="L887" s="11"/>
      <c r="M887" s="15"/>
      <c r="N887" s="15"/>
      <c r="O887" s="15"/>
      <c r="P887" s="15"/>
      <c r="Q887" s="16"/>
      <c r="R887" s="16"/>
      <c r="S887" s="16"/>
      <c r="T887" s="17"/>
      <c r="U887" s="11"/>
      <c r="V887" s="16"/>
      <c r="W887" s="11"/>
      <c r="X887" s="11"/>
      <c r="Y887" s="15"/>
      <c r="Z887" s="11"/>
    </row>
    <row r="888" spans="1:26" x14ac:dyDescent="0.25">
      <c r="A888" s="11"/>
      <c r="B888" s="11"/>
      <c r="C888" s="11"/>
      <c r="D888" s="11"/>
      <c r="E888" s="12"/>
      <c r="F888" s="13"/>
      <c r="G888" s="13"/>
      <c r="H888" s="13"/>
      <c r="I888" s="11"/>
      <c r="J888" s="11"/>
      <c r="K888" s="11"/>
      <c r="L888" s="11"/>
      <c r="M888" s="15"/>
      <c r="N888" s="15"/>
      <c r="O888" s="15"/>
      <c r="P888" s="15"/>
      <c r="Q888" s="16"/>
      <c r="R888" s="16"/>
      <c r="S888" s="16"/>
      <c r="T888" s="17"/>
      <c r="U888" s="11"/>
      <c r="V888" s="16"/>
      <c r="W888" s="11"/>
      <c r="X888" s="11"/>
      <c r="Y888" s="15"/>
      <c r="Z888" s="11"/>
    </row>
    <row r="889" spans="1:26" x14ac:dyDescent="0.25">
      <c r="A889" s="11"/>
      <c r="B889" s="11"/>
      <c r="C889" s="11"/>
      <c r="D889" s="11"/>
      <c r="E889" s="12"/>
      <c r="F889" s="13"/>
      <c r="G889" s="13"/>
      <c r="H889" s="13"/>
      <c r="I889" s="11"/>
      <c r="J889" s="11"/>
      <c r="K889" s="11"/>
      <c r="L889" s="11"/>
      <c r="M889" s="15"/>
      <c r="N889" s="15"/>
      <c r="O889" s="15"/>
      <c r="P889" s="15"/>
      <c r="Q889" s="16"/>
      <c r="R889" s="16"/>
      <c r="S889" s="16"/>
      <c r="T889" s="17"/>
      <c r="U889" s="11"/>
      <c r="V889" s="16"/>
      <c r="W889" s="11"/>
      <c r="X889" s="11"/>
      <c r="Y889" s="15"/>
      <c r="Z889" s="11"/>
    </row>
    <row r="890" spans="1:26" x14ac:dyDescent="0.25">
      <c r="A890" s="11"/>
      <c r="B890" s="11"/>
      <c r="C890" s="11"/>
      <c r="D890" s="11"/>
      <c r="E890" s="12"/>
      <c r="F890" s="13"/>
      <c r="G890" s="13"/>
      <c r="H890" s="13"/>
      <c r="I890" s="11"/>
      <c r="J890" s="11"/>
      <c r="K890" s="11"/>
      <c r="L890" s="11"/>
      <c r="M890" s="15"/>
      <c r="N890" s="15"/>
      <c r="O890" s="15"/>
      <c r="P890" s="15"/>
      <c r="Q890" s="16"/>
      <c r="R890" s="16"/>
      <c r="S890" s="16"/>
      <c r="T890" s="17"/>
      <c r="U890" s="11"/>
      <c r="V890" s="16"/>
      <c r="W890" s="11"/>
      <c r="X890" s="11"/>
      <c r="Y890" s="15"/>
      <c r="Z890" s="11"/>
    </row>
    <row r="891" spans="1:26" x14ac:dyDescent="0.25">
      <c r="A891" s="18"/>
      <c r="B891" s="18"/>
      <c r="C891" s="18"/>
      <c r="D891" s="18"/>
      <c r="E891" s="19"/>
      <c r="F891" s="20"/>
      <c r="G891" s="13"/>
      <c r="H891" s="20"/>
      <c r="I891" s="18"/>
      <c r="J891" s="18"/>
      <c r="K891" s="18"/>
      <c r="L891" s="18"/>
      <c r="M891" s="21"/>
      <c r="N891" s="21"/>
      <c r="O891" s="21"/>
      <c r="P891" s="21"/>
      <c r="Q891" s="22"/>
      <c r="R891" s="19"/>
      <c r="S891" s="22"/>
      <c r="T891" s="23"/>
      <c r="U891" s="18"/>
      <c r="V891" s="22"/>
      <c r="W891" s="18"/>
      <c r="X891" s="18"/>
      <c r="Y891" s="21"/>
      <c r="Z891" s="18"/>
    </row>
    <row r="892" spans="1:26" x14ac:dyDescent="0.25">
      <c r="A892" s="11"/>
      <c r="B892" s="11"/>
      <c r="C892" s="11"/>
      <c r="D892" s="11"/>
      <c r="E892" s="12"/>
      <c r="F892" s="13"/>
      <c r="G892" s="13"/>
      <c r="H892" s="13"/>
      <c r="I892" s="11"/>
      <c r="J892" s="11"/>
      <c r="K892" s="11"/>
      <c r="L892" s="11"/>
      <c r="M892" s="15"/>
      <c r="N892" s="15"/>
      <c r="O892" s="15"/>
      <c r="P892" s="15"/>
      <c r="Q892" s="16"/>
      <c r="R892" s="16"/>
      <c r="S892" s="16"/>
      <c r="T892" s="17"/>
      <c r="U892" s="11"/>
      <c r="V892" s="16"/>
      <c r="W892" s="11"/>
      <c r="X892" s="11"/>
      <c r="Y892" s="15"/>
      <c r="Z892" s="11"/>
    </row>
    <row r="893" spans="1:26" x14ac:dyDescent="0.25">
      <c r="A893" s="11"/>
      <c r="B893" s="11"/>
      <c r="C893" s="11"/>
      <c r="D893" s="11"/>
      <c r="E893" s="12"/>
      <c r="F893" s="13"/>
      <c r="G893" s="13"/>
      <c r="H893" s="13"/>
      <c r="I893" s="11"/>
      <c r="J893" s="11"/>
      <c r="K893" s="11"/>
      <c r="L893" s="11"/>
      <c r="M893" s="15"/>
      <c r="N893" s="15"/>
      <c r="O893" s="15"/>
      <c r="P893" s="15"/>
      <c r="Q893" s="16"/>
      <c r="R893" s="16"/>
      <c r="S893" s="16"/>
      <c r="T893" s="17"/>
      <c r="U893" s="11"/>
      <c r="V893" s="16"/>
      <c r="W893" s="11"/>
      <c r="X893" s="11"/>
      <c r="Y893" s="15"/>
      <c r="Z893" s="11"/>
    </row>
    <row r="894" spans="1:26" x14ac:dyDescent="0.25">
      <c r="A894" s="11"/>
      <c r="B894" s="11"/>
      <c r="C894" s="11"/>
      <c r="D894" s="11"/>
      <c r="E894" s="12"/>
      <c r="F894" s="13"/>
      <c r="G894" s="13"/>
      <c r="H894" s="13"/>
      <c r="I894" s="11"/>
      <c r="J894" s="11"/>
      <c r="K894" s="11"/>
      <c r="L894" s="11"/>
      <c r="M894" s="15"/>
      <c r="N894" s="15"/>
      <c r="O894" s="15"/>
      <c r="P894" s="15"/>
      <c r="Q894" s="16"/>
      <c r="R894" s="16"/>
      <c r="S894" s="16"/>
      <c r="T894" s="17"/>
      <c r="U894" s="11"/>
      <c r="V894" s="16"/>
      <c r="W894" s="11"/>
      <c r="X894" s="11"/>
      <c r="Y894" s="15"/>
      <c r="Z894" s="11"/>
    </row>
    <row r="895" spans="1:26" x14ac:dyDescent="0.25">
      <c r="A895" s="18"/>
      <c r="B895" s="18"/>
      <c r="C895" s="18"/>
      <c r="D895" s="18"/>
      <c r="E895" s="19"/>
      <c r="F895" s="20"/>
      <c r="G895" s="13"/>
      <c r="H895" s="20"/>
      <c r="I895" s="18"/>
      <c r="J895" s="18"/>
      <c r="K895" s="18"/>
      <c r="L895" s="18"/>
      <c r="M895" s="21"/>
      <c r="N895" s="21"/>
      <c r="O895" s="21"/>
      <c r="P895" s="21"/>
      <c r="Q895" s="22"/>
      <c r="R895" s="19"/>
      <c r="S895" s="22"/>
      <c r="T895" s="23"/>
      <c r="U895" s="18"/>
      <c r="V895" s="22"/>
      <c r="W895" s="18"/>
      <c r="X895" s="18"/>
      <c r="Y895" s="21"/>
      <c r="Z895" s="18"/>
    </row>
    <row r="896" spans="1:26" x14ac:dyDescent="0.25">
      <c r="A896" s="11"/>
      <c r="B896" s="11"/>
      <c r="C896" s="11"/>
      <c r="D896" s="11"/>
      <c r="E896" s="12"/>
      <c r="F896" s="13"/>
      <c r="G896" s="13"/>
      <c r="H896" s="13"/>
      <c r="I896" s="11"/>
      <c r="J896" s="11"/>
      <c r="K896" s="11"/>
      <c r="L896" s="11"/>
      <c r="M896" s="15"/>
      <c r="N896" s="15"/>
      <c r="O896" s="15"/>
      <c r="P896" s="15"/>
      <c r="Q896" s="16"/>
      <c r="R896" s="16"/>
      <c r="S896" s="16"/>
      <c r="T896" s="17"/>
      <c r="U896" s="11"/>
      <c r="V896" s="16"/>
      <c r="W896" s="11"/>
      <c r="X896" s="11"/>
      <c r="Y896" s="15"/>
      <c r="Z896" s="11"/>
    </row>
    <row r="897" spans="1:26" x14ac:dyDescent="0.25">
      <c r="A897" s="11"/>
      <c r="B897" s="11"/>
      <c r="C897" s="11"/>
      <c r="D897" s="11"/>
      <c r="E897" s="12"/>
      <c r="F897" s="13"/>
      <c r="G897" s="13"/>
      <c r="H897" s="13"/>
      <c r="I897" s="11"/>
      <c r="J897" s="11"/>
      <c r="K897" s="11"/>
      <c r="L897" s="11"/>
      <c r="M897" s="15"/>
      <c r="N897" s="15"/>
      <c r="O897" s="15"/>
      <c r="P897" s="15"/>
      <c r="Q897" s="16"/>
      <c r="R897" s="16"/>
      <c r="S897" s="16"/>
      <c r="T897" s="17"/>
      <c r="U897" s="11"/>
      <c r="V897" s="16"/>
      <c r="W897" s="11"/>
      <c r="X897" s="11"/>
      <c r="Y897" s="15"/>
      <c r="Z897" s="11"/>
    </row>
    <row r="898" spans="1:26" x14ac:dyDescent="0.25">
      <c r="A898" s="11"/>
      <c r="B898" s="11"/>
      <c r="C898" s="11"/>
      <c r="D898" s="11"/>
      <c r="E898" s="12"/>
      <c r="F898" s="13"/>
      <c r="G898" s="13"/>
      <c r="H898" s="13"/>
      <c r="I898" s="11"/>
      <c r="J898" s="11"/>
      <c r="K898" s="11"/>
      <c r="L898" s="11"/>
      <c r="M898" s="15"/>
      <c r="N898" s="15"/>
      <c r="O898" s="15"/>
      <c r="P898" s="15"/>
      <c r="Q898" s="16"/>
      <c r="R898" s="16"/>
      <c r="S898" s="16"/>
      <c r="T898" s="17"/>
      <c r="U898" s="11"/>
      <c r="V898" s="16"/>
      <c r="W898" s="11"/>
      <c r="X898" s="11"/>
      <c r="Y898" s="15"/>
      <c r="Z898" s="11"/>
    </row>
    <row r="899" spans="1:26" x14ac:dyDescent="0.25">
      <c r="A899" s="11"/>
      <c r="B899" s="11"/>
      <c r="C899" s="11"/>
      <c r="D899" s="11"/>
      <c r="E899" s="12"/>
      <c r="F899" s="13"/>
      <c r="G899" s="13"/>
      <c r="H899" s="13"/>
      <c r="I899" s="11"/>
      <c r="J899" s="11"/>
      <c r="K899" s="11"/>
      <c r="L899" s="11"/>
      <c r="M899" s="15"/>
      <c r="N899" s="15"/>
      <c r="O899" s="15"/>
      <c r="P899" s="15"/>
      <c r="Q899" s="16"/>
      <c r="R899" s="16"/>
      <c r="S899" s="16"/>
      <c r="T899" s="17"/>
      <c r="U899" s="11"/>
      <c r="V899" s="16"/>
      <c r="W899" s="11"/>
      <c r="X899" s="11"/>
      <c r="Y899" s="15"/>
      <c r="Z899" s="11"/>
    </row>
    <row r="900" spans="1:26" x14ac:dyDescent="0.25">
      <c r="A900" s="11"/>
      <c r="B900" s="11"/>
      <c r="C900" s="11"/>
      <c r="D900" s="11"/>
      <c r="E900" s="12"/>
      <c r="F900" s="13"/>
      <c r="G900" s="13"/>
      <c r="H900" s="13"/>
      <c r="I900" s="11"/>
      <c r="J900" s="11"/>
      <c r="K900" s="11"/>
      <c r="L900" s="11"/>
      <c r="M900" s="15"/>
      <c r="N900" s="15"/>
      <c r="O900" s="15"/>
      <c r="P900" s="15"/>
      <c r="Q900" s="16"/>
      <c r="R900" s="16"/>
      <c r="S900" s="16"/>
      <c r="T900" s="17"/>
      <c r="U900" s="11"/>
      <c r="V900" s="16"/>
      <c r="W900" s="11"/>
      <c r="X900" s="11"/>
      <c r="Y900" s="15"/>
      <c r="Z900" s="11"/>
    </row>
    <row r="901" spans="1:26" x14ac:dyDescent="0.25">
      <c r="A901" s="18"/>
      <c r="B901" s="18"/>
      <c r="C901" s="18"/>
      <c r="D901" s="18"/>
      <c r="E901" s="19"/>
      <c r="F901" s="20"/>
      <c r="G901" s="13"/>
      <c r="H901" s="20"/>
      <c r="I901" s="18"/>
      <c r="J901" s="18"/>
      <c r="K901" s="18"/>
      <c r="L901" s="18"/>
      <c r="M901" s="21"/>
      <c r="N901" s="21"/>
      <c r="O901" s="21"/>
      <c r="P901" s="21"/>
      <c r="Q901" s="22"/>
      <c r="R901" s="19"/>
      <c r="S901" s="22"/>
      <c r="T901" s="23"/>
      <c r="U901" s="18"/>
      <c r="V901" s="22"/>
      <c r="W901" s="18"/>
      <c r="X901" s="18"/>
      <c r="Y901" s="21"/>
      <c r="Z901" s="18"/>
    </row>
    <row r="902" spans="1:26" x14ac:dyDescent="0.25">
      <c r="A902" s="11"/>
      <c r="B902" s="11"/>
      <c r="C902" s="11"/>
      <c r="D902" s="11"/>
      <c r="E902" s="12"/>
      <c r="F902" s="13"/>
      <c r="G902" s="13"/>
      <c r="H902" s="13"/>
      <c r="I902" s="11"/>
      <c r="J902" s="11"/>
      <c r="K902" s="11"/>
      <c r="L902" s="11"/>
      <c r="M902" s="15"/>
      <c r="N902" s="15"/>
      <c r="O902" s="15"/>
      <c r="P902" s="15"/>
      <c r="Q902" s="16"/>
      <c r="R902" s="16"/>
      <c r="S902" s="16"/>
      <c r="T902" s="17"/>
      <c r="U902" s="11"/>
      <c r="V902" s="16"/>
      <c r="W902" s="11"/>
      <c r="X902" s="11"/>
      <c r="Y902" s="15"/>
      <c r="Z902" s="11"/>
    </row>
    <row r="903" spans="1:26" x14ac:dyDescent="0.25">
      <c r="A903" s="11"/>
      <c r="B903" s="11"/>
      <c r="C903" s="11"/>
      <c r="D903" s="11"/>
      <c r="E903" s="12"/>
      <c r="F903" s="13"/>
      <c r="G903" s="13"/>
      <c r="H903" s="13"/>
      <c r="I903" s="11"/>
      <c r="J903" s="11"/>
      <c r="K903" s="11"/>
      <c r="L903" s="11"/>
      <c r="M903" s="15"/>
      <c r="N903" s="15"/>
      <c r="O903" s="15"/>
      <c r="P903" s="15"/>
      <c r="Q903" s="16"/>
      <c r="R903" s="16"/>
      <c r="S903" s="16"/>
      <c r="T903" s="17"/>
      <c r="U903" s="11"/>
      <c r="V903" s="16"/>
      <c r="W903" s="11"/>
      <c r="X903" s="11"/>
      <c r="Y903" s="15"/>
      <c r="Z903" s="11"/>
    </row>
    <row r="904" spans="1:26" x14ac:dyDescent="0.25">
      <c r="A904" s="18"/>
      <c r="B904" s="18"/>
      <c r="C904" s="18"/>
      <c r="D904" s="18"/>
      <c r="E904" s="19"/>
      <c r="F904" s="20"/>
      <c r="G904" s="13"/>
      <c r="H904" s="20"/>
      <c r="I904" s="18"/>
      <c r="J904" s="18"/>
      <c r="K904" s="18"/>
      <c r="L904" s="18"/>
      <c r="M904" s="21"/>
      <c r="N904" s="21"/>
      <c r="O904" s="21"/>
      <c r="P904" s="21"/>
      <c r="Q904" s="22"/>
      <c r="R904" s="19"/>
      <c r="S904" s="22"/>
      <c r="T904" s="23"/>
      <c r="U904" s="18"/>
      <c r="V904" s="22"/>
      <c r="W904" s="18"/>
      <c r="X904" s="18"/>
      <c r="Y904" s="21"/>
      <c r="Z904" s="18"/>
    </row>
    <row r="905" spans="1:26" x14ac:dyDescent="0.25">
      <c r="A905" s="18"/>
      <c r="B905" s="18"/>
      <c r="C905" s="18"/>
      <c r="D905" s="18"/>
      <c r="E905" s="19"/>
      <c r="F905" s="20"/>
      <c r="G905" s="13"/>
      <c r="H905" s="20"/>
      <c r="I905" s="18"/>
      <c r="J905" s="18"/>
      <c r="K905" s="18"/>
      <c r="L905" s="18"/>
      <c r="M905" s="21"/>
      <c r="N905" s="21"/>
      <c r="O905" s="21"/>
      <c r="P905" s="21"/>
      <c r="Q905" s="22"/>
      <c r="R905" s="19"/>
      <c r="S905" s="22"/>
      <c r="T905" s="23"/>
      <c r="U905" s="18"/>
      <c r="V905" s="22"/>
      <c r="W905" s="18"/>
      <c r="X905" s="18"/>
      <c r="Y905" s="21"/>
      <c r="Z905" s="18"/>
    </row>
    <row r="906" spans="1:26" x14ac:dyDescent="0.25">
      <c r="A906" s="11"/>
      <c r="B906" s="11"/>
      <c r="C906" s="11"/>
      <c r="D906" s="11"/>
      <c r="E906" s="12"/>
      <c r="F906" s="13"/>
      <c r="G906" s="13"/>
      <c r="H906" s="13"/>
      <c r="I906" s="11"/>
      <c r="J906" s="11"/>
      <c r="K906" s="11"/>
      <c r="L906" s="11"/>
      <c r="M906" s="15"/>
      <c r="N906" s="15"/>
      <c r="O906" s="15"/>
      <c r="P906" s="15"/>
      <c r="Q906" s="16"/>
      <c r="R906" s="16"/>
      <c r="S906" s="16"/>
      <c r="T906" s="17"/>
      <c r="U906" s="11"/>
      <c r="V906" s="16"/>
      <c r="W906" s="11"/>
      <c r="X906" s="11"/>
      <c r="Y906" s="15"/>
      <c r="Z906" s="11"/>
    </row>
    <row r="907" spans="1:26" x14ac:dyDescent="0.25">
      <c r="A907" s="11"/>
      <c r="B907" s="11"/>
      <c r="C907" s="11"/>
      <c r="D907" s="11"/>
      <c r="E907" s="12"/>
      <c r="F907" s="13"/>
      <c r="G907" s="13"/>
      <c r="H907" s="13"/>
      <c r="I907" s="11"/>
      <c r="J907" s="11"/>
      <c r="K907" s="11"/>
      <c r="L907" s="11"/>
      <c r="M907" s="15"/>
      <c r="N907" s="15"/>
      <c r="O907" s="15"/>
      <c r="P907" s="15"/>
      <c r="Q907" s="16"/>
      <c r="R907" s="16"/>
      <c r="S907" s="16"/>
      <c r="T907" s="17"/>
      <c r="U907" s="11"/>
      <c r="V907" s="16"/>
      <c r="W907" s="11"/>
      <c r="X907" s="11"/>
      <c r="Y907" s="15"/>
      <c r="Z907" s="11"/>
    </row>
    <row r="908" spans="1:26" x14ac:dyDescent="0.25">
      <c r="A908" s="11"/>
      <c r="B908" s="11"/>
      <c r="C908" s="11"/>
      <c r="D908" s="11"/>
      <c r="E908" s="12"/>
      <c r="F908" s="13"/>
      <c r="G908" s="13"/>
      <c r="H908" s="13"/>
      <c r="I908" s="11"/>
      <c r="J908" s="11"/>
      <c r="K908" s="11"/>
      <c r="L908" s="11"/>
      <c r="M908" s="15"/>
      <c r="N908" s="15"/>
      <c r="O908" s="15"/>
      <c r="P908" s="15"/>
      <c r="Q908" s="16"/>
      <c r="R908" s="16"/>
      <c r="S908" s="16"/>
      <c r="T908" s="17"/>
      <c r="U908" s="11"/>
      <c r="V908" s="16"/>
      <c r="W908" s="11"/>
      <c r="X908" s="11"/>
      <c r="Y908" s="15"/>
      <c r="Z908" s="11"/>
    </row>
    <row r="909" spans="1:26" x14ac:dyDescent="0.25">
      <c r="A909" s="11"/>
      <c r="B909" s="11"/>
      <c r="C909" s="11"/>
      <c r="D909" s="11"/>
      <c r="E909" s="12"/>
      <c r="F909" s="13"/>
      <c r="G909" s="13"/>
      <c r="H909" s="13"/>
      <c r="I909" s="11"/>
      <c r="J909" s="11"/>
      <c r="K909" s="11"/>
      <c r="L909" s="11"/>
      <c r="M909" s="15"/>
      <c r="N909" s="15"/>
      <c r="O909" s="15"/>
      <c r="P909" s="15"/>
      <c r="Q909" s="16"/>
      <c r="R909" s="16"/>
      <c r="S909" s="16"/>
      <c r="T909" s="17"/>
      <c r="U909" s="11"/>
      <c r="V909" s="16"/>
      <c r="W909" s="11"/>
      <c r="X909" s="11"/>
      <c r="Y909" s="15"/>
      <c r="Z909" s="11"/>
    </row>
    <row r="910" spans="1:26" x14ac:dyDescent="0.25">
      <c r="A910" s="11"/>
      <c r="B910" s="11"/>
      <c r="C910" s="11"/>
      <c r="D910" s="11"/>
      <c r="E910" s="12"/>
      <c r="F910" s="13"/>
      <c r="G910" s="13"/>
      <c r="H910" s="13"/>
      <c r="I910" s="11"/>
      <c r="J910" s="11"/>
      <c r="K910" s="11"/>
      <c r="L910" s="11"/>
      <c r="M910" s="15"/>
      <c r="N910" s="15"/>
      <c r="O910" s="15"/>
      <c r="P910" s="15"/>
      <c r="Q910" s="16"/>
      <c r="R910" s="16"/>
      <c r="S910" s="16"/>
      <c r="T910" s="17"/>
      <c r="U910" s="11"/>
      <c r="V910" s="16"/>
      <c r="W910" s="11"/>
      <c r="X910" s="11"/>
      <c r="Y910" s="15"/>
      <c r="Z910" s="11"/>
    </row>
    <row r="911" spans="1:26" x14ac:dyDescent="0.25">
      <c r="A911" s="11"/>
      <c r="B911" s="11"/>
      <c r="C911" s="11"/>
      <c r="D911" s="11"/>
      <c r="E911" s="12"/>
      <c r="F911" s="13"/>
      <c r="G911" s="13"/>
      <c r="H911" s="13"/>
      <c r="I911" s="11"/>
      <c r="J911" s="11"/>
      <c r="K911" s="11"/>
      <c r="L911" s="11"/>
      <c r="M911" s="15"/>
      <c r="N911" s="15"/>
      <c r="O911" s="15"/>
      <c r="P911" s="15"/>
      <c r="Q911" s="16"/>
      <c r="R911" s="16"/>
      <c r="S911" s="16"/>
      <c r="T911" s="17"/>
      <c r="U911" s="11"/>
      <c r="V911" s="16"/>
      <c r="W911" s="11"/>
      <c r="X911" s="11"/>
      <c r="Y911" s="15"/>
      <c r="Z911" s="11"/>
    </row>
    <row r="912" spans="1:26" x14ac:dyDescent="0.25">
      <c r="A912" s="18"/>
      <c r="B912" s="18"/>
      <c r="C912" s="18"/>
      <c r="D912" s="18"/>
      <c r="E912" s="19"/>
      <c r="F912" s="20"/>
      <c r="G912" s="13"/>
      <c r="H912" s="20"/>
      <c r="I912" s="18"/>
      <c r="J912" s="18"/>
      <c r="K912" s="18"/>
      <c r="L912" s="18"/>
      <c r="M912" s="21"/>
      <c r="N912" s="21"/>
      <c r="O912" s="21"/>
      <c r="P912" s="21"/>
      <c r="Q912" s="22"/>
      <c r="R912" s="19"/>
      <c r="S912" s="22"/>
      <c r="T912" s="23"/>
      <c r="U912" s="18"/>
      <c r="V912" s="22"/>
      <c r="W912" s="18"/>
      <c r="X912" s="18"/>
      <c r="Y912" s="21"/>
      <c r="Z912" s="18"/>
    </row>
    <row r="913" spans="1:26" x14ac:dyDescent="0.25">
      <c r="A913" s="11"/>
      <c r="B913" s="11"/>
      <c r="C913" s="11"/>
      <c r="D913" s="11"/>
      <c r="E913" s="12"/>
      <c r="F913" s="13"/>
      <c r="G913" s="13"/>
      <c r="H913" s="13"/>
      <c r="I913" s="11"/>
      <c r="J913" s="11"/>
      <c r="K913" s="11"/>
      <c r="L913" s="11"/>
      <c r="M913" s="15"/>
      <c r="N913" s="15"/>
      <c r="O913" s="15"/>
      <c r="P913" s="15"/>
      <c r="Q913" s="16"/>
      <c r="R913" s="16"/>
      <c r="S913" s="16"/>
      <c r="T913" s="17"/>
      <c r="U913" s="11"/>
      <c r="V913" s="16"/>
      <c r="W913" s="11"/>
      <c r="X913" s="11"/>
      <c r="Y913" s="15"/>
      <c r="Z913" s="11"/>
    </row>
    <row r="914" spans="1:26" x14ac:dyDescent="0.25">
      <c r="A914" s="18"/>
      <c r="B914" s="18"/>
      <c r="C914" s="18"/>
      <c r="D914" s="18"/>
      <c r="E914" s="19"/>
      <c r="F914" s="20"/>
      <c r="G914" s="13"/>
      <c r="H914" s="20"/>
      <c r="I914" s="18"/>
      <c r="J914" s="18"/>
      <c r="K914" s="18"/>
      <c r="L914" s="18"/>
      <c r="M914" s="21"/>
      <c r="N914" s="21"/>
      <c r="O914" s="21"/>
      <c r="P914" s="21"/>
      <c r="Q914" s="22"/>
      <c r="R914" s="19"/>
      <c r="S914" s="22"/>
      <c r="T914" s="23"/>
      <c r="U914" s="18"/>
      <c r="V914" s="22"/>
      <c r="W914" s="18"/>
      <c r="X914" s="18"/>
      <c r="Y914" s="21"/>
      <c r="Z914" s="18"/>
    </row>
    <row r="915" spans="1:26" x14ac:dyDescent="0.25">
      <c r="A915" s="11"/>
      <c r="B915" s="11"/>
      <c r="C915" s="11"/>
      <c r="D915" s="11"/>
      <c r="E915" s="12"/>
      <c r="F915" s="13"/>
      <c r="G915" s="13"/>
      <c r="H915" s="13"/>
      <c r="I915" s="11"/>
      <c r="J915" s="11"/>
      <c r="K915" s="11"/>
      <c r="L915" s="11"/>
      <c r="M915" s="15"/>
      <c r="N915" s="15"/>
      <c r="O915" s="15"/>
      <c r="P915" s="15"/>
      <c r="Q915" s="16"/>
      <c r="R915" s="16"/>
      <c r="S915" s="16"/>
      <c r="T915" s="17"/>
      <c r="U915" s="11"/>
      <c r="V915" s="16"/>
      <c r="W915" s="11"/>
      <c r="X915" s="11"/>
      <c r="Y915" s="15"/>
      <c r="Z915" s="11"/>
    </row>
    <row r="916" spans="1:26" x14ac:dyDescent="0.25">
      <c r="A916" s="11"/>
      <c r="B916" s="11"/>
      <c r="C916" s="11"/>
      <c r="D916" s="11"/>
      <c r="E916" s="12"/>
      <c r="F916" s="13"/>
      <c r="G916" s="13"/>
      <c r="H916" s="13"/>
      <c r="I916" s="11"/>
      <c r="J916" s="11"/>
      <c r="K916" s="11"/>
      <c r="L916" s="11"/>
      <c r="M916" s="15"/>
      <c r="N916" s="15"/>
      <c r="O916" s="15"/>
      <c r="P916" s="15"/>
      <c r="Q916" s="16"/>
      <c r="R916" s="16"/>
      <c r="S916" s="16"/>
      <c r="T916" s="17"/>
      <c r="U916" s="11"/>
      <c r="V916" s="16"/>
      <c r="W916" s="11"/>
      <c r="X916" s="11"/>
      <c r="Y916" s="15"/>
      <c r="Z916" s="11"/>
    </row>
    <row r="917" spans="1:26" x14ac:dyDescent="0.25">
      <c r="A917" s="11"/>
      <c r="B917" s="11"/>
      <c r="C917" s="11"/>
      <c r="D917" s="11"/>
      <c r="E917" s="12"/>
      <c r="F917" s="13"/>
      <c r="G917" s="13"/>
      <c r="H917" s="13"/>
      <c r="I917" s="11"/>
      <c r="J917" s="11"/>
      <c r="K917" s="11"/>
      <c r="L917" s="11"/>
      <c r="M917" s="15"/>
      <c r="N917" s="15"/>
      <c r="O917" s="15"/>
      <c r="P917" s="15"/>
      <c r="Q917" s="16"/>
      <c r="R917" s="16"/>
      <c r="S917" s="16"/>
      <c r="T917" s="17"/>
      <c r="U917" s="11"/>
      <c r="V917" s="16"/>
      <c r="W917" s="11"/>
      <c r="X917" s="11"/>
      <c r="Y917" s="15"/>
      <c r="Z917" s="11"/>
    </row>
    <row r="918" spans="1:26" x14ac:dyDescent="0.25">
      <c r="A918" s="11"/>
      <c r="B918" s="11"/>
      <c r="C918" s="11"/>
      <c r="D918" s="11"/>
      <c r="E918" s="12"/>
      <c r="F918" s="13"/>
      <c r="G918" s="13"/>
      <c r="H918" s="13"/>
      <c r="I918" s="11"/>
      <c r="J918" s="11"/>
      <c r="K918" s="11"/>
      <c r="L918" s="11"/>
      <c r="M918" s="15"/>
      <c r="N918" s="15"/>
      <c r="O918" s="15"/>
      <c r="P918" s="15"/>
      <c r="Q918" s="16"/>
      <c r="R918" s="16"/>
      <c r="S918" s="16"/>
      <c r="T918" s="17"/>
      <c r="U918" s="11"/>
      <c r="V918" s="16"/>
      <c r="W918" s="11"/>
      <c r="X918" s="11"/>
      <c r="Y918" s="15"/>
      <c r="Z918" s="11"/>
    </row>
    <row r="919" spans="1:26" x14ac:dyDescent="0.25">
      <c r="A919" s="11"/>
      <c r="B919" s="11"/>
      <c r="C919" s="11"/>
      <c r="D919" s="11"/>
      <c r="E919" s="12"/>
      <c r="F919" s="13"/>
      <c r="G919" s="13"/>
      <c r="H919" s="13"/>
      <c r="I919" s="11"/>
      <c r="J919" s="11"/>
      <c r="K919" s="11"/>
      <c r="L919" s="11"/>
      <c r="M919" s="15"/>
      <c r="N919" s="15"/>
      <c r="O919" s="15"/>
      <c r="P919" s="15"/>
      <c r="Q919" s="16"/>
      <c r="R919" s="16"/>
      <c r="S919" s="16"/>
      <c r="T919" s="17"/>
      <c r="U919" s="11"/>
      <c r="V919" s="16"/>
      <c r="W919" s="11"/>
      <c r="X919" s="11"/>
      <c r="Y919" s="15"/>
      <c r="Z919" s="11"/>
    </row>
    <row r="920" spans="1:26" x14ac:dyDescent="0.25">
      <c r="A920" s="11"/>
      <c r="B920" s="11"/>
      <c r="C920" s="11"/>
      <c r="D920" s="11"/>
      <c r="E920" s="12"/>
      <c r="F920" s="13"/>
      <c r="G920" s="13"/>
      <c r="H920" s="13"/>
      <c r="I920" s="11"/>
      <c r="J920" s="11"/>
      <c r="K920" s="11"/>
      <c r="L920" s="11"/>
      <c r="M920" s="15"/>
      <c r="N920" s="15"/>
      <c r="O920" s="15"/>
      <c r="P920" s="15"/>
      <c r="Q920" s="16"/>
      <c r="R920" s="16"/>
      <c r="S920" s="16"/>
      <c r="T920" s="17"/>
      <c r="U920" s="11"/>
      <c r="V920" s="16"/>
      <c r="W920" s="11"/>
      <c r="X920" s="11"/>
      <c r="Y920" s="15"/>
      <c r="Z920" s="11"/>
    </row>
    <row r="921" spans="1:26" x14ac:dyDescent="0.25">
      <c r="A921" s="11"/>
      <c r="B921" s="11"/>
      <c r="C921" s="11"/>
      <c r="D921" s="11"/>
      <c r="E921" s="12"/>
      <c r="F921" s="13"/>
      <c r="G921" s="13"/>
      <c r="H921" s="13"/>
      <c r="I921" s="11"/>
      <c r="J921" s="11"/>
      <c r="K921" s="11"/>
      <c r="L921" s="11"/>
      <c r="M921" s="15"/>
      <c r="N921" s="15"/>
      <c r="O921" s="15"/>
      <c r="P921" s="15"/>
      <c r="Q921" s="16"/>
      <c r="R921" s="16"/>
      <c r="S921" s="16"/>
      <c r="T921" s="17"/>
      <c r="U921" s="11"/>
      <c r="V921" s="16"/>
      <c r="W921" s="11"/>
      <c r="X921" s="11"/>
      <c r="Y921" s="15"/>
      <c r="Z921" s="11"/>
    </row>
    <row r="922" spans="1:26" x14ac:dyDescent="0.25">
      <c r="A922" s="11"/>
      <c r="B922" s="11"/>
      <c r="C922" s="11"/>
      <c r="D922" s="11"/>
      <c r="E922" s="12"/>
      <c r="F922" s="13"/>
      <c r="G922" s="13"/>
      <c r="H922" s="13"/>
      <c r="I922" s="11"/>
      <c r="J922" s="11"/>
      <c r="K922" s="11"/>
      <c r="L922" s="11"/>
      <c r="M922" s="15"/>
      <c r="N922" s="15"/>
      <c r="O922" s="15"/>
      <c r="P922" s="15"/>
      <c r="Q922" s="16"/>
      <c r="R922" s="16"/>
      <c r="S922" s="16"/>
      <c r="T922" s="17"/>
      <c r="U922" s="11"/>
      <c r="V922" s="16"/>
      <c r="W922" s="11"/>
      <c r="X922" s="11"/>
      <c r="Y922" s="15"/>
      <c r="Z922" s="11"/>
    </row>
    <row r="923" spans="1:26" x14ac:dyDescent="0.25">
      <c r="A923" s="11"/>
      <c r="B923" s="11"/>
      <c r="C923" s="11"/>
      <c r="D923" s="11"/>
      <c r="E923" s="12"/>
      <c r="F923" s="13"/>
      <c r="G923" s="13"/>
      <c r="H923" s="13"/>
      <c r="I923" s="11"/>
      <c r="J923" s="11"/>
      <c r="K923" s="11"/>
      <c r="L923" s="11"/>
      <c r="M923" s="15"/>
      <c r="N923" s="15"/>
      <c r="O923" s="15"/>
      <c r="P923" s="15"/>
      <c r="Q923" s="16"/>
      <c r="R923" s="16"/>
      <c r="S923" s="16"/>
      <c r="T923" s="17"/>
      <c r="U923" s="11"/>
      <c r="V923" s="16"/>
      <c r="W923" s="11"/>
      <c r="X923" s="11"/>
      <c r="Y923" s="15"/>
      <c r="Z923" s="11"/>
    </row>
    <row r="924" spans="1:26" x14ac:dyDescent="0.25">
      <c r="A924" s="11"/>
      <c r="B924" s="11"/>
      <c r="C924" s="11"/>
      <c r="D924" s="11"/>
      <c r="E924" s="12"/>
      <c r="F924" s="13"/>
      <c r="G924" s="13"/>
      <c r="H924" s="13"/>
      <c r="I924" s="11"/>
      <c r="J924" s="11"/>
      <c r="K924" s="11"/>
      <c r="L924" s="11"/>
      <c r="M924" s="15"/>
      <c r="N924" s="15"/>
      <c r="O924" s="15"/>
      <c r="P924" s="15"/>
      <c r="Q924" s="16"/>
      <c r="R924" s="16"/>
      <c r="S924" s="16"/>
      <c r="T924" s="17"/>
      <c r="U924" s="11"/>
      <c r="V924" s="16"/>
      <c r="W924" s="11"/>
      <c r="X924" s="11"/>
      <c r="Y924" s="15"/>
      <c r="Z924" s="11"/>
    </row>
    <row r="925" spans="1:26" x14ac:dyDescent="0.25">
      <c r="A925" s="11"/>
      <c r="B925" s="11"/>
      <c r="C925" s="11"/>
      <c r="D925" s="11"/>
      <c r="E925" s="12"/>
      <c r="F925" s="13"/>
      <c r="G925" s="13"/>
      <c r="H925" s="13"/>
      <c r="I925" s="11"/>
      <c r="J925" s="11"/>
      <c r="K925" s="11"/>
      <c r="L925" s="11"/>
      <c r="M925" s="15"/>
      <c r="N925" s="15"/>
      <c r="O925" s="15"/>
      <c r="P925" s="15"/>
      <c r="Q925" s="16"/>
      <c r="R925" s="16"/>
      <c r="S925" s="16"/>
      <c r="T925" s="17"/>
      <c r="U925" s="11"/>
      <c r="V925" s="16"/>
      <c r="W925" s="11"/>
      <c r="X925" s="11"/>
      <c r="Y925" s="15"/>
      <c r="Z925" s="11"/>
    </row>
    <row r="926" spans="1:26" x14ac:dyDescent="0.25">
      <c r="A926" s="11"/>
      <c r="B926" s="11"/>
      <c r="C926" s="11"/>
      <c r="D926" s="11"/>
      <c r="E926" s="12"/>
      <c r="F926" s="13"/>
      <c r="G926" s="13"/>
      <c r="H926" s="13"/>
      <c r="I926" s="11"/>
      <c r="J926" s="11"/>
      <c r="K926" s="11"/>
      <c r="L926" s="11"/>
      <c r="M926" s="15"/>
      <c r="N926" s="15"/>
      <c r="O926" s="15"/>
      <c r="P926" s="15"/>
      <c r="Q926" s="16"/>
      <c r="R926" s="16"/>
      <c r="S926" s="16"/>
      <c r="T926" s="17"/>
      <c r="U926" s="11"/>
      <c r="V926" s="16"/>
      <c r="W926" s="11"/>
      <c r="X926" s="11"/>
      <c r="Y926" s="15"/>
      <c r="Z926" s="11"/>
    </row>
    <row r="927" spans="1:26" x14ac:dyDescent="0.25">
      <c r="A927" s="11"/>
      <c r="B927" s="11"/>
      <c r="C927" s="11"/>
      <c r="D927" s="11"/>
      <c r="E927" s="12"/>
      <c r="F927" s="13"/>
      <c r="G927" s="13"/>
      <c r="H927" s="13"/>
      <c r="I927" s="11"/>
      <c r="J927" s="11"/>
      <c r="K927" s="11"/>
      <c r="L927" s="11"/>
      <c r="M927" s="15"/>
      <c r="N927" s="15"/>
      <c r="O927" s="15"/>
      <c r="P927" s="15"/>
      <c r="Q927" s="16"/>
      <c r="R927" s="16"/>
      <c r="S927" s="16"/>
      <c r="T927" s="17"/>
      <c r="U927" s="11"/>
      <c r="V927" s="16"/>
      <c r="W927" s="11"/>
      <c r="X927" s="11"/>
      <c r="Y927" s="15"/>
      <c r="Z927" s="11"/>
    </row>
    <row r="928" spans="1:26" x14ac:dyDescent="0.25">
      <c r="A928" s="11"/>
      <c r="B928" s="11"/>
      <c r="C928" s="11"/>
      <c r="D928" s="11"/>
      <c r="E928" s="12"/>
      <c r="F928" s="13"/>
      <c r="G928" s="13"/>
      <c r="H928" s="13"/>
      <c r="I928" s="11"/>
      <c r="J928" s="11"/>
      <c r="K928" s="11"/>
      <c r="L928" s="11"/>
      <c r="M928" s="15"/>
      <c r="N928" s="15"/>
      <c r="O928" s="15"/>
      <c r="P928" s="15"/>
      <c r="Q928" s="16"/>
      <c r="R928" s="16"/>
      <c r="S928" s="16"/>
      <c r="T928" s="17"/>
      <c r="U928" s="11"/>
      <c r="V928" s="16"/>
      <c r="W928" s="11"/>
      <c r="X928" s="11"/>
      <c r="Y928" s="15"/>
      <c r="Z928" s="11"/>
    </row>
    <row r="929" spans="1:26" x14ac:dyDescent="0.25">
      <c r="A929" s="11"/>
      <c r="B929" s="11"/>
      <c r="C929" s="11"/>
      <c r="D929" s="11"/>
      <c r="E929" s="12"/>
      <c r="F929" s="13"/>
      <c r="G929" s="13"/>
      <c r="H929" s="13"/>
      <c r="I929" s="11"/>
      <c r="J929" s="11"/>
      <c r="K929" s="11"/>
      <c r="L929" s="11"/>
      <c r="M929" s="15"/>
      <c r="N929" s="15"/>
      <c r="O929" s="15"/>
      <c r="P929" s="15"/>
      <c r="Q929" s="16"/>
      <c r="R929" s="16"/>
      <c r="S929" s="16"/>
      <c r="T929" s="17"/>
      <c r="U929" s="11"/>
      <c r="V929" s="16"/>
      <c r="W929" s="11"/>
      <c r="X929" s="11"/>
      <c r="Y929" s="15"/>
      <c r="Z929" s="11"/>
    </row>
    <row r="930" spans="1:26" x14ac:dyDescent="0.25">
      <c r="A930" s="11"/>
      <c r="B930" s="11"/>
      <c r="C930" s="11"/>
      <c r="D930" s="11"/>
      <c r="E930" s="12"/>
      <c r="F930" s="13"/>
      <c r="G930" s="13"/>
      <c r="H930" s="13"/>
      <c r="I930" s="11"/>
      <c r="J930" s="11"/>
      <c r="K930" s="11"/>
      <c r="L930" s="11"/>
      <c r="M930" s="15"/>
      <c r="N930" s="15"/>
      <c r="O930" s="15"/>
      <c r="P930" s="15"/>
      <c r="Q930" s="16"/>
      <c r="R930" s="16"/>
      <c r="S930" s="16"/>
      <c r="T930" s="17"/>
      <c r="U930" s="11"/>
      <c r="V930" s="16"/>
      <c r="W930" s="11"/>
      <c r="X930" s="11"/>
      <c r="Y930" s="15"/>
      <c r="Z930" s="11"/>
    </row>
    <row r="931" spans="1:26" x14ac:dyDescent="0.25">
      <c r="A931" s="11"/>
      <c r="B931" s="11"/>
      <c r="C931" s="11"/>
      <c r="D931" s="11"/>
      <c r="E931" s="12"/>
      <c r="F931" s="13"/>
      <c r="G931" s="13"/>
      <c r="H931" s="13"/>
      <c r="I931" s="11"/>
      <c r="J931" s="11"/>
      <c r="K931" s="11"/>
      <c r="L931" s="11"/>
      <c r="M931" s="15"/>
      <c r="N931" s="15"/>
      <c r="O931" s="15"/>
      <c r="P931" s="15"/>
      <c r="Q931" s="16"/>
      <c r="R931" s="16"/>
      <c r="S931" s="16"/>
      <c r="T931" s="17"/>
      <c r="U931" s="11"/>
      <c r="V931" s="16"/>
      <c r="W931" s="11"/>
      <c r="X931" s="11"/>
      <c r="Y931" s="15"/>
      <c r="Z931" s="11"/>
    </row>
    <row r="932" spans="1:26" x14ac:dyDescent="0.25">
      <c r="A932" s="11"/>
      <c r="B932" s="11"/>
      <c r="C932" s="11"/>
      <c r="D932" s="11"/>
      <c r="E932" s="12"/>
      <c r="F932" s="13"/>
      <c r="G932" s="13"/>
      <c r="H932" s="13"/>
      <c r="I932" s="11"/>
      <c r="J932" s="11"/>
      <c r="K932" s="11"/>
      <c r="L932" s="11"/>
      <c r="M932" s="15"/>
      <c r="N932" s="15"/>
      <c r="O932" s="15"/>
      <c r="P932" s="15"/>
      <c r="Q932" s="16"/>
      <c r="R932" s="16"/>
      <c r="S932" s="16"/>
      <c r="T932" s="17"/>
      <c r="U932" s="11"/>
      <c r="V932" s="16"/>
      <c r="W932" s="11"/>
      <c r="X932" s="11"/>
      <c r="Y932" s="15"/>
      <c r="Z932" s="11"/>
    </row>
    <row r="933" spans="1:26" x14ac:dyDescent="0.25">
      <c r="A933" s="11"/>
      <c r="B933" s="11"/>
      <c r="C933" s="11"/>
      <c r="D933" s="11"/>
      <c r="E933" s="12"/>
      <c r="F933" s="13"/>
      <c r="G933" s="13"/>
      <c r="H933" s="13"/>
      <c r="I933" s="11"/>
      <c r="J933" s="11"/>
      <c r="K933" s="11"/>
      <c r="L933" s="11"/>
      <c r="M933" s="15"/>
      <c r="N933" s="15"/>
      <c r="O933" s="15"/>
      <c r="P933" s="15"/>
      <c r="Q933" s="16"/>
      <c r="R933" s="16"/>
      <c r="S933" s="16"/>
      <c r="T933" s="17"/>
      <c r="U933" s="11"/>
      <c r="V933" s="16"/>
      <c r="W933" s="11"/>
      <c r="X933" s="11"/>
      <c r="Y933" s="15"/>
      <c r="Z933" s="11"/>
    </row>
    <row r="934" spans="1:26" x14ac:dyDescent="0.25">
      <c r="A934" s="11"/>
      <c r="B934" s="11"/>
      <c r="C934" s="11"/>
      <c r="D934" s="11"/>
      <c r="E934" s="12"/>
      <c r="F934" s="13"/>
      <c r="G934" s="13"/>
      <c r="H934" s="13"/>
      <c r="I934" s="11"/>
      <c r="J934" s="11"/>
      <c r="K934" s="11"/>
      <c r="L934" s="11"/>
      <c r="M934" s="15"/>
      <c r="N934" s="15"/>
      <c r="O934" s="15"/>
      <c r="P934" s="15"/>
      <c r="Q934" s="16"/>
      <c r="R934" s="16"/>
      <c r="S934" s="16"/>
      <c r="T934" s="17"/>
      <c r="U934" s="11"/>
      <c r="V934" s="16"/>
      <c r="W934" s="11"/>
      <c r="X934" s="11"/>
      <c r="Y934" s="15"/>
      <c r="Z934" s="11"/>
    </row>
    <row r="935" spans="1:26" x14ac:dyDescent="0.25">
      <c r="A935" s="11"/>
      <c r="B935" s="11"/>
      <c r="C935" s="11"/>
      <c r="D935" s="11"/>
      <c r="E935" s="12"/>
      <c r="F935" s="13"/>
      <c r="G935" s="13"/>
      <c r="H935" s="13"/>
      <c r="I935" s="11"/>
      <c r="J935" s="11"/>
      <c r="K935" s="11"/>
      <c r="L935" s="11"/>
      <c r="M935" s="15"/>
      <c r="N935" s="15"/>
      <c r="O935" s="15"/>
      <c r="P935" s="15"/>
      <c r="Q935" s="16"/>
      <c r="R935" s="16"/>
      <c r="S935" s="16"/>
      <c r="T935" s="17"/>
      <c r="U935" s="11"/>
      <c r="V935" s="16"/>
      <c r="W935" s="11"/>
      <c r="X935" s="11"/>
      <c r="Y935" s="15"/>
      <c r="Z935" s="11"/>
    </row>
    <row r="936" spans="1:26" x14ac:dyDescent="0.25">
      <c r="A936" s="11"/>
      <c r="B936" s="11"/>
      <c r="C936" s="11"/>
      <c r="D936" s="11"/>
      <c r="E936" s="12"/>
      <c r="F936" s="13"/>
      <c r="G936" s="13"/>
      <c r="H936" s="13"/>
      <c r="I936" s="11"/>
      <c r="J936" s="11"/>
      <c r="K936" s="11"/>
      <c r="L936" s="11"/>
      <c r="M936" s="15"/>
      <c r="N936" s="15"/>
      <c r="O936" s="15"/>
      <c r="P936" s="15"/>
      <c r="Q936" s="16"/>
      <c r="R936" s="16"/>
      <c r="S936" s="16"/>
      <c r="T936" s="17"/>
      <c r="U936" s="11"/>
      <c r="V936" s="16"/>
      <c r="W936" s="11"/>
      <c r="X936" s="11"/>
      <c r="Y936" s="15"/>
      <c r="Z936" s="11"/>
    </row>
    <row r="937" spans="1:26" x14ac:dyDescent="0.25">
      <c r="A937" s="11"/>
      <c r="B937" s="11"/>
      <c r="C937" s="11"/>
      <c r="D937" s="11"/>
      <c r="E937" s="12"/>
      <c r="F937" s="13"/>
      <c r="G937" s="13"/>
      <c r="H937" s="13"/>
      <c r="I937" s="11"/>
      <c r="J937" s="11"/>
      <c r="K937" s="11"/>
      <c r="L937" s="11"/>
      <c r="M937" s="15"/>
      <c r="N937" s="15"/>
      <c r="O937" s="15"/>
      <c r="P937" s="15"/>
      <c r="Q937" s="16"/>
      <c r="R937" s="16"/>
      <c r="S937" s="16"/>
      <c r="T937" s="17"/>
      <c r="U937" s="11"/>
      <c r="V937" s="16"/>
      <c r="W937" s="11"/>
      <c r="X937" s="11"/>
      <c r="Y937" s="15"/>
      <c r="Z937" s="11"/>
    </row>
    <row r="938" spans="1:26" x14ac:dyDescent="0.25">
      <c r="A938" s="11"/>
      <c r="B938" s="11"/>
      <c r="C938" s="11"/>
      <c r="D938" s="11"/>
      <c r="E938" s="12"/>
      <c r="F938" s="13"/>
      <c r="G938" s="13"/>
      <c r="H938" s="13"/>
      <c r="I938" s="11"/>
      <c r="J938" s="11"/>
      <c r="K938" s="11"/>
      <c r="L938" s="11"/>
      <c r="M938" s="15"/>
      <c r="N938" s="15"/>
      <c r="O938" s="15"/>
      <c r="P938" s="15"/>
      <c r="Q938" s="16"/>
      <c r="R938" s="16"/>
      <c r="S938" s="16"/>
      <c r="T938" s="17"/>
      <c r="U938" s="11"/>
      <c r="V938" s="16"/>
      <c r="W938" s="11"/>
      <c r="X938" s="11"/>
      <c r="Y938" s="15"/>
      <c r="Z938" s="11"/>
    </row>
    <row r="939" spans="1:26" x14ac:dyDescent="0.25">
      <c r="A939" s="11"/>
      <c r="B939" s="11"/>
      <c r="C939" s="11"/>
      <c r="D939" s="11"/>
      <c r="E939" s="12"/>
      <c r="F939" s="13"/>
      <c r="G939" s="13"/>
      <c r="H939" s="13"/>
      <c r="I939" s="11"/>
      <c r="J939" s="11"/>
      <c r="K939" s="11"/>
      <c r="L939" s="11"/>
      <c r="M939" s="15"/>
      <c r="N939" s="15"/>
      <c r="O939" s="15"/>
      <c r="P939" s="15"/>
      <c r="Q939" s="16"/>
      <c r="R939" s="16"/>
      <c r="S939" s="16"/>
      <c r="T939" s="17"/>
      <c r="U939" s="11"/>
      <c r="V939" s="16"/>
      <c r="W939" s="11"/>
      <c r="X939" s="11"/>
      <c r="Y939" s="15"/>
      <c r="Z939" s="11"/>
    </row>
    <row r="940" spans="1:26" x14ac:dyDescent="0.25">
      <c r="A940" s="11"/>
      <c r="B940" s="11"/>
      <c r="C940" s="11"/>
      <c r="D940" s="11"/>
      <c r="E940" s="12"/>
      <c r="F940" s="13"/>
      <c r="G940" s="13"/>
      <c r="H940" s="13"/>
      <c r="I940" s="11"/>
      <c r="J940" s="11"/>
      <c r="K940" s="11"/>
      <c r="L940" s="11"/>
      <c r="M940" s="15"/>
      <c r="N940" s="15"/>
      <c r="O940" s="15"/>
      <c r="P940" s="15"/>
      <c r="Q940" s="16"/>
      <c r="R940" s="16"/>
      <c r="S940" s="16"/>
      <c r="T940" s="17"/>
      <c r="U940" s="11"/>
      <c r="V940" s="16"/>
      <c r="W940" s="11"/>
      <c r="X940" s="11"/>
      <c r="Y940" s="15"/>
      <c r="Z940" s="11"/>
    </row>
    <row r="941" spans="1:26" x14ac:dyDescent="0.25">
      <c r="A941" s="11"/>
      <c r="B941" s="11"/>
      <c r="C941" s="11"/>
      <c r="D941" s="11"/>
      <c r="E941" s="12"/>
      <c r="F941" s="13"/>
      <c r="G941" s="13"/>
      <c r="H941" s="13"/>
      <c r="I941" s="11"/>
      <c r="J941" s="11"/>
      <c r="K941" s="11"/>
      <c r="L941" s="11"/>
      <c r="M941" s="15"/>
      <c r="N941" s="15"/>
      <c r="O941" s="15"/>
      <c r="P941" s="15"/>
      <c r="Q941" s="16"/>
      <c r="R941" s="16"/>
      <c r="S941" s="16"/>
      <c r="T941" s="17"/>
      <c r="U941" s="11"/>
      <c r="V941" s="16"/>
      <c r="W941" s="11"/>
      <c r="X941" s="11"/>
      <c r="Y941" s="15"/>
      <c r="Z941" s="11"/>
    </row>
    <row r="942" spans="1:26" x14ac:dyDescent="0.25">
      <c r="A942" s="11"/>
      <c r="B942" s="11"/>
      <c r="C942" s="11"/>
      <c r="D942" s="11"/>
      <c r="E942" s="12"/>
      <c r="F942" s="13"/>
      <c r="G942" s="13"/>
      <c r="H942" s="13"/>
      <c r="I942" s="11"/>
      <c r="J942" s="11"/>
      <c r="K942" s="11"/>
      <c r="L942" s="11"/>
      <c r="M942" s="15"/>
      <c r="N942" s="15"/>
      <c r="O942" s="15"/>
      <c r="P942" s="15"/>
      <c r="Q942" s="16"/>
      <c r="R942" s="16"/>
      <c r="S942" s="16"/>
      <c r="T942" s="17"/>
      <c r="U942" s="11"/>
      <c r="V942" s="16"/>
      <c r="W942" s="11"/>
      <c r="X942" s="11"/>
      <c r="Y942" s="15"/>
      <c r="Z942" s="11"/>
    </row>
    <row r="943" spans="1:26" x14ac:dyDescent="0.25">
      <c r="A943" s="11"/>
      <c r="B943" s="11"/>
      <c r="C943" s="11"/>
      <c r="D943" s="11"/>
      <c r="E943" s="12"/>
      <c r="F943" s="13"/>
      <c r="G943" s="13"/>
      <c r="H943" s="13"/>
      <c r="I943" s="11"/>
      <c r="J943" s="11"/>
      <c r="K943" s="11"/>
      <c r="L943" s="11"/>
      <c r="M943" s="15"/>
      <c r="N943" s="15"/>
      <c r="O943" s="15"/>
      <c r="P943" s="15"/>
      <c r="Q943" s="16"/>
      <c r="R943" s="16"/>
      <c r="S943" s="16"/>
      <c r="T943" s="17"/>
      <c r="U943" s="11"/>
      <c r="V943" s="16"/>
      <c r="W943" s="11"/>
      <c r="X943" s="11"/>
      <c r="Y943" s="15"/>
      <c r="Z943" s="11"/>
    </row>
    <row r="944" spans="1:26" x14ac:dyDescent="0.25">
      <c r="A944" s="11"/>
      <c r="B944" s="11"/>
      <c r="C944" s="11"/>
      <c r="D944" s="11"/>
      <c r="E944" s="12"/>
      <c r="F944" s="13"/>
      <c r="G944" s="13"/>
      <c r="H944" s="13"/>
      <c r="I944" s="11"/>
      <c r="J944" s="11"/>
      <c r="K944" s="11"/>
      <c r="L944" s="11"/>
      <c r="M944" s="15"/>
      <c r="N944" s="15"/>
      <c r="O944" s="15"/>
      <c r="P944" s="15"/>
      <c r="Q944" s="16"/>
      <c r="R944" s="16"/>
      <c r="S944" s="16"/>
      <c r="T944" s="17"/>
      <c r="U944" s="11"/>
      <c r="V944" s="16"/>
      <c r="W944" s="11"/>
      <c r="X944" s="11"/>
      <c r="Y944" s="15"/>
      <c r="Z944" s="11"/>
    </row>
    <row r="945" spans="1:26" x14ac:dyDescent="0.25">
      <c r="A945" s="11"/>
      <c r="B945" s="11"/>
      <c r="C945" s="11"/>
      <c r="D945" s="11"/>
      <c r="E945" s="12"/>
      <c r="F945" s="13"/>
      <c r="G945" s="13"/>
      <c r="H945" s="13"/>
      <c r="I945" s="11"/>
      <c r="J945" s="11"/>
      <c r="K945" s="11"/>
      <c r="L945" s="11"/>
      <c r="M945" s="15"/>
      <c r="N945" s="15"/>
      <c r="O945" s="15"/>
      <c r="P945" s="15"/>
      <c r="Q945" s="16"/>
      <c r="R945" s="16"/>
      <c r="S945" s="16"/>
      <c r="T945" s="17"/>
      <c r="U945" s="11"/>
      <c r="V945" s="16"/>
      <c r="W945" s="11"/>
      <c r="X945" s="11"/>
      <c r="Y945" s="15"/>
      <c r="Z945" s="11"/>
    </row>
    <row r="946" spans="1:26" x14ac:dyDescent="0.25">
      <c r="A946" s="11"/>
      <c r="B946" s="11"/>
      <c r="C946" s="11"/>
      <c r="D946" s="11"/>
      <c r="E946" s="12"/>
      <c r="F946" s="13"/>
      <c r="G946" s="13"/>
      <c r="H946" s="13"/>
      <c r="I946" s="11"/>
      <c r="J946" s="11"/>
      <c r="K946" s="11"/>
      <c r="L946" s="11"/>
      <c r="M946" s="15"/>
      <c r="N946" s="15"/>
      <c r="O946" s="15"/>
      <c r="P946" s="15"/>
      <c r="Q946" s="16"/>
      <c r="R946" s="16"/>
      <c r="S946" s="16"/>
      <c r="T946" s="17"/>
      <c r="U946" s="11"/>
      <c r="V946" s="16"/>
      <c r="W946" s="11"/>
      <c r="X946" s="11"/>
      <c r="Y946" s="15"/>
      <c r="Z946" s="11"/>
    </row>
    <row r="947" spans="1:26" x14ac:dyDescent="0.25">
      <c r="A947" s="11"/>
      <c r="B947" s="11"/>
      <c r="C947" s="11"/>
      <c r="D947" s="11"/>
      <c r="E947" s="12"/>
      <c r="F947" s="13"/>
      <c r="G947" s="13"/>
      <c r="H947" s="13"/>
      <c r="I947" s="11"/>
      <c r="J947" s="11"/>
      <c r="K947" s="11"/>
      <c r="L947" s="11"/>
      <c r="M947" s="15"/>
      <c r="N947" s="15"/>
      <c r="O947" s="15"/>
      <c r="P947" s="15"/>
      <c r="Q947" s="16"/>
      <c r="R947" s="16"/>
      <c r="S947" s="16"/>
      <c r="T947" s="17"/>
      <c r="U947" s="11"/>
      <c r="V947" s="16"/>
      <c r="W947" s="11"/>
      <c r="X947" s="11"/>
      <c r="Y947" s="15"/>
      <c r="Z947" s="11"/>
    </row>
    <row r="948" spans="1:26" x14ac:dyDescent="0.25">
      <c r="A948" s="11"/>
      <c r="B948" s="11"/>
      <c r="C948" s="11"/>
      <c r="D948" s="11"/>
      <c r="E948" s="12"/>
      <c r="F948" s="13"/>
      <c r="G948" s="13"/>
      <c r="H948" s="13"/>
      <c r="I948" s="11"/>
      <c r="J948" s="11"/>
      <c r="K948" s="11"/>
      <c r="L948" s="11"/>
      <c r="M948" s="15"/>
      <c r="N948" s="15"/>
      <c r="O948" s="15"/>
      <c r="P948" s="15"/>
      <c r="Q948" s="16"/>
      <c r="R948" s="16"/>
      <c r="S948" s="16"/>
      <c r="T948" s="17"/>
      <c r="U948" s="11"/>
      <c r="V948" s="16"/>
      <c r="W948" s="11"/>
      <c r="X948" s="11"/>
      <c r="Y948" s="15"/>
      <c r="Z948" s="11"/>
    </row>
    <row r="949" spans="1:26" x14ac:dyDescent="0.25">
      <c r="A949" s="18"/>
      <c r="B949" s="18"/>
      <c r="C949" s="18"/>
      <c r="D949" s="18"/>
      <c r="E949" s="19"/>
      <c r="F949" s="20"/>
      <c r="G949" s="13"/>
      <c r="H949" s="20"/>
      <c r="I949" s="18"/>
      <c r="J949" s="18"/>
      <c r="K949" s="18"/>
      <c r="L949" s="18"/>
      <c r="M949" s="21"/>
      <c r="N949" s="21"/>
      <c r="O949" s="21"/>
      <c r="P949" s="21"/>
      <c r="Q949" s="22"/>
      <c r="R949" s="19"/>
      <c r="S949" s="22"/>
      <c r="T949" s="23"/>
      <c r="U949" s="18"/>
      <c r="V949" s="22"/>
      <c r="W949" s="18"/>
      <c r="X949" s="18"/>
      <c r="Y949" s="21"/>
      <c r="Z949" s="18"/>
    </row>
    <row r="950" spans="1:26" x14ac:dyDescent="0.25">
      <c r="A950" s="11"/>
      <c r="B950" s="11"/>
      <c r="C950" s="11"/>
      <c r="D950" s="11"/>
      <c r="E950" s="12"/>
      <c r="F950" s="13"/>
      <c r="G950" s="13"/>
      <c r="H950" s="13"/>
      <c r="I950" s="11"/>
      <c r="J950" s="11"/>
      <c r="K950" s="11"/>
      <c r="L950" s="11"/>
      <c r="M950" s="15"/>
      <c r="N950" s="15"/>
      <c r="O950" s="15"/>
      <c r="P950" s="15"/>
      <c r="Q950" s="16"/>
      <c r="R950" s="16"/>
      <c r="S950" s="16"/>
      <c r="T950" s="17"/>
      <c r="U950" s="11"/>
      <c r="V950" s="16"/>
      <c r="W950" s="11"/>
      <c r="X950" s="11"/>
      <c r="Y950" s="15"/>
      <c r="Z950" s="11"/>
    </row>
    <row r="951" spans="1:26" x14ac:dyDescent="0.25">
      <c r="A951" s="11"/>
      <c r="B951" s="11"/>
      <c r="C951" s="11"/>
      <c r="D951" s="11"/>
      <c r="E951" s="12"/>
      <c r="F951" s="13"/>
      <c r="G951" s="13"/>
      <c r="H951" s="13"/>
      <c r="I951" s="11"/>
      <c r="J951" s="11"/>
      <c r="K951" s="11"/>
      <c r="L951" s="11"/>
      <c r="M951" s="15"/>
      <c r="N951" s="15"/>
      <c r="O951" s="15"/>
      <c r="P951" s="15"/>
      <c r="Q951" s="16"/>
      <c r="R951" s="16"/>
      <c r="S951" s="16"/>
      <c r="T951" s="17"/>
      <c r="U951" s="11"/>
      <c r="V951" s="16"/>
      <c r="W951" s="11"/>
      <c r="X951" s="11"/>
      <c r="Y951" s="15"/>
      <c r="Z951" s="11"/>
    </row>
    <row r="952" spans="1:26" x14ac:dyDescent="0.25">
      <c r="A952" s="11"/>
      <c r="B952" s="11"/>
      <c r="C952" s="11"/>
      <c r="D952" s="11"/>
      <c r="E952" s="12"/>
      <c r="F952" s="13"/>
      <c r="G952" s="13"/>
      <c r="H952" s="13"/>
      <c r="I952" s="11"/>
      <c r="J952" s="11"/>
      <c r="K952" s="11"/>
      <c r="L952" s="11"/>
      <c r="M952" s="15"/>
      <c r="N952" s="15"/>
      <c r="O952" s="15"/>
      <c r="P952" s="15"/>
      <c r="Q952" s="16"/>
      <c r="R952" s="16"/>
      <c r="S952" s="16"/>
      <c r="T952" s="17"/>
      <c r="U952" s="11"/>
      <c r="V952" s="16"/>
      <c r="W952" s="11"/>
      <c r="X952" s="11"/>
      <c r="Y952" s="15"/>
      <c r="Z952" s="11"/>
    </row>
    <row r="953" spans="1:26" x14ac:dyDescent="0.25">
      <c r="A953" s="11"/>
      <c r="B953" s="11"/>
      <c r="C953" s="11"/>
      <c r="D953" s="11"/>
      <c r="E953" s="12"/>
      <c r="F953" s="13"/>
      <c r="G953" s="13"/>
      <c r="H953" s="13"/>
      <c r="I953" s="11"/>
      <c r="J953" s="11"/>
      <c r="K953" s="11"/>
      <c r="L953" s="11"/>
      <c r="M953" s="15"/>
      <c r="N953" s="15"/>
      <c r="O953" s="15"/>
      <c r="P953" s="15"/>
      <c r="Q953" s="16"/>
      <c r="R953" s="16"/>
      <c r="S953" s="16"/>
      <c r="T953" s="17"/>
      <c r="U953" s="11"/>
      <c r="V953" s="16"/>
      <c r="W953" s="11"/>
      <c r="X953" s="11"/>
      <c r="Y953" s="15"/>
      <c r="Z953" s="11"/>
    </row>
    <row r="954" spans="1:26" x14ac:dyDescent="0.25">
      <c r="A954" s="18"/>
      <c r="B954" s="18"/>
      <c r="C954" s="18"/>
      <c r="D954" s="18"/>
      <c r="E954" s="19"/>
      <c r="F954" s="20"/>
      <c r="G954" s="13"/>
      <c r="H954" s="20"/>
      <c r="I954" s="18"/>
      <c r="J954" s="18"/>
      <c r="K954" s="18"/>
      <c r="L954" s="18"/>
      <c r="M954" s="21"/>
      <c r="N954" s="21"/>
      <c r="O954" s="21"/>
      <c r="P954" s="21"/>
      <c r="Q954" s="22"/>
      <c r="R954" s="19"/>
      <c r="S954" s="22"/>
      <c r="T954" s="23"/>
      <c r="U954" s="18"/>
      <c r="V954" s="22"/>
      <c r="W954" s="18"/>
      <c r="X954" s="18"/>
      <c r="Y954" s="21"/>
      <c r="Z954" s="18"/>
    </row>
    <row r="955" spans="1:26" x14ac:dyDescent="0.25">
      <c r="A955" s="11"/>
      <c r="B955" s="11"/>
      <c r="C955" s="11"/>
      <c r="D955" s="11"/>
      <c r="E955" s="12"/>
      <c r="F955" s="13"/>
      <c r="G955" s="13"/>
      <c r="H955" s="13"/>
      <c r="I955" s="11"/>
      <c r="J955" s="11"/>
      <c r="K955" s="11"/>
      <c r="L955" s="11"/>
      <c r="M955" s="15"/>
      <c r="N955" s="15"/>
      <c r="O955" s="15"/>
      <c r="P955" s="15"/>
      <c r="Q955" s="16"/>
      <c r="R955" s="16"/>
      <c r="S955" s="16"/>
      <c r="T955" s="17"/>
      <c r="U955" s="11"/>
      <c r="V955" s="16"/>
      <c r="W955" s="11"/>
      <c r="X955" s="11"/>
      <c r="Y955" s="15"/>
      <c r="Z955" s="11"/>
    </row>
    <row r="956" spans="1:26" x14ac:dyDescent="0.25">
      <c r="A956" s="11"/>
      <c r="B956" s="11"/>
      <c r="C956" s="11"/>
      <c r="D956" s="11"/>
      <c r="E956" s="12"/>
      <c r="F956" s="13"/>
      <c r="G956" s="13"/>
      <c r="H956" s="13"/>
      <c r="I956" s="11"/>
      <c r="J956" s="11"/>
      <c r="K956" s="11"/>
      <c r="L956" s="11"/>
      <c r="M956" s="15"/>
      <c r="N956" s="15"/>
      <c r="O956" s="15"/>
      <c r="P956" s="15"/>
      <c r="Q956" s="16"/>
      <c r="R956" s="16"/>
      <c r="S956" s="16"/>
      <c r="T956" s="17"/>
      <c r="U956" s="11"/>
      <c r="V956" s="16"/>
      <c r="W956" s="11"/>
      <c r="X956" s="11"/>
      <c r="Y956" s="15"/>
      <c r="Z956" s="11"/>
    </row>
    <row r="957" spans="1:26" x14ac:dyDescent="0.25">
      <c r="A957" s="11"/>
      <c r="B957" s="11"/>
      <c r="C957" s="11"/>
      <c r="D957" s="11"/>
      <c r="E957" s="12"/>
      <c r="F957" s="13"/>
      <c r="G957" s="13"/>
      <c r="H957" s="13"/>
      <c r="I957" s="11"/>
      <c r="J957" s="11"/>
      <c r="K957" s="11"/>
      <c r="L957" s="11"/>
      <c r="M957" s="15"/>
      <c r="N957" s="15"/>
      <c r="O957" s="15"/>
      <c r="P957" s="15"/>
      <c r="Q957" s="16"/>
      <c r="R957" s="16"/>
      <c r="S957" s="16"/>
      <c r="T957" s="17"/>
      <c r="U957" s="11"/>
      <c r="V957" s="16"/>
      <c r="W957" s="11"/>
      <c r="X957" s="11"/>
      <c r="Y957" s="15"/>
      <c r="Z957" s="11"/>
    </row>
    <row r="958" spans="1:26" x14ac:dyDescent="0.25">
      <c r="A958" s="11"/>
      <c r="B958" s="11"/>
      <c r="C958" s="11"/>
      <c r="D958" s="11"/>
      <c r="E958" s="12"/>
      <c r="F958" s="13"/>
      <c r="G958" s="13"/>
      <c r="H958" s="13"/>
      <c r="I958" s="11"/>
      <c r="J958" s="11"/>
      <c r="K958" s="11"/>
      <c r="L958" s="11"/>
      <c r="M958" s="15"/>
      <c r="N958" s="15"/>
      <c r="O958" s="15"/>
      <c r="P958" s="15"/>
      <c r="Q958" s="16"/>
      <c r="R958" s="16"/>
      <c r="S958" s="16"/>
      <c r="T958" s="17"/>
      <c r="U958" s="11"/>
      <c r="V958" s="16"/>
      <c r="W958" s="11"/>
      <c r="X958" s="11"/>
      <c r="Y958" s="15"/>
      <c r="Z958" s="11"/>
    </row>
    <row r="959" spans="1:26" x14ac:dyDescent="0.25">
      <c r="A959" s="11"/>
      <c r="B959" s="11"/>
      <c r="C959" s="11"/>
      <c r="D959" s="11"/>
      <c r="E959" s="12"/>
      <c r="F959" s="13"/>
      <c r="G959" s="13"/>
      <c r="H959" s="13"/>
      <c r="I959" s="11"/>
      <c r="J959" s="11"/>
      <c r="K959" s="11"/>
      <c r="L959" s="11"/>
      <c r="M959" s="15"/>
      <c r="N959" s="15"/>
      <c r="O959" s="15"/>
      <c r="P959" s="15"/>
      <c r="Q959" s="16"/>
      <c r="R959" s="16"/>
      <c r="S959" s="16"/>
      <c r="T959" s="17"/>
      <c r="U959" s="11"/>
      <c r="V959" s="16"/>
      <c r="W959" s="11"/>
      <c r="X959" s="11"/>
      <c r="Y959" s="15"/>
      <c r="Z959" s="11"/>
    </row>
    <row r="960" spans="1:26" x14ac:dyDescent="0.25">
      <c r="A960" s="11"/>
      <c r="B960" s="11"/>
      <c r="C960" s="11"/>
      <c r="D960" s="11"/>
      <c r="E960" s="12"/>
      <c r="F960" s="13"/>
      <c r="G960" s="13"/>
      <c r="H960" s="13"/>
      <c r="I960" s="11"/>
      <c r="J960" s="11"/>
      <c r="K960" s="11"/>
      <c r="L960" s="11"/>
      <c r="M960" s="15"/>
      <c r="N960" s="15"/>
      <c r="O960" s="15"/>
      <c r="P960" s="15"/>
      <c r="Q960" s="16"/>
      <c r="R960" s="16"/>
      <c r="S960" s="16"/>
      <c r="T960" s="17"/>
      <c r="U960" s="11"/>
      <c r="V960" s="16"/>
      <c r="W960" s="11"/>
      <c r="X960" s="11"/>
      <c r="Y960" s="15"/>
      <c r="Z960" s="11"/>
    </row>
    <row r="961" spans="1:26" x14ac:dyDescent="0.25">
      <c r="A961" s="11"/>
      <c r="B961" s="11"/>
      <c r="C961" s="11"/>
      <c r="D961" s="11"/>
      <c r="E961" s="12"/>
      <c r="F961" s="13"/>
      <c r="G961" s="13"/>
      <c r="H961" s="13"/>
      <c r="I961" s="11"/>
      <c r="J961" s="11"/>
      <c r="K961" s="11"/>
      <c r="L961" s="11"/>
      <c r="M961" s="15"/>
      <c r="N961" s="15"/>
      <c r="O961" s="15"/>
      <c r="P961" s="15"/>
      <c r="Q961" s="16"/>
      <c r="R961" s="16"/>
      <c r="S961" s="16"/>
      <c r="T961" s="17"/>
      <c r="U961" s="11"/>
      <c r="V961" s="16"/>
      <c r="W961" s="11"/>
      <c r="X961" s="11"/>
      <c r="Y961" s="15"/>
      <c r="Z961" s="11"/>
    </row>
    <row r="962" spans="1:26" x14ac:dyDescent="0.25">
      <c r="A962" s="11"/>
      <c r="B962" s="11"/>
      <c r="C962" s="11"/>
      <c r="D962" s="11"/>
      <c r="E962" s="12"/>
      <c r="F962" s="13"/>
      <c r="G962" s="13"/>
      <c r="H962" s="13"/>
      <c r="I962" s="11"/>
      <c r="J962" s="11"/>
      <c r="K962" s="11"/>
      <c r="L962" s="11"/>
      <c r="M962" s="15"/>
      <c r="N962" s="15"/>
      <c r="O962" s="15"/>
      <c r="P962" s="15"/>
      <c r="Q962" s="16"/>
      <c r="R962" s="16"/>
      <c r="S962" s="16"/>
      <c r="T962" s="17"/>
      <c r="U962" s="11"/>
      <c r="V962" s="16"/>
      <c r="W962" s="11"/>
      <c r="X962" s="11"/>
      <c r="Y962" s="15"/>
      <c r="Z962" s="11"/>
    </row>
    <row r="963" spans="1:26" x14ac:dyDescent="0.25">
      <c r="A963" s="18"/>
      <c r="B963" s="18"/>
      <c r="C963" s="18"/>
      <c r="D963" s="18"/>
      <c r="E963" s="19"/>
      <c r="F963" s="20"/>
      <c r="G963" s="13"/>
      <c r="H963" s="20"/>
      <c r="I963" s="18"/>
      <c r="J963" s="18"/>
      <c r="K963" s="18"/>
      <c r="L963" s="18"/>
      <c r="M963" s="21"/>
      <c r="N963" s="21"/>
      <c r="O963" s="21"/>
      <c r="P963" s="21"/>
      <c r="Q963" s="22"/>
      <c r="R963" s="19"/>
      <c r="S963" s="22"/>
      <c r="T963" s="23"/>
      <c r="U963" s="18"/>
      <c r="V963" s="22"/>
      <c r="W963" s="18"/>
      <c r="X963" s="18"/>
      <c r="Y963" s="21"/>
      <c r="Z963" s="18"/>
    </row>
    <row r="964" spans="1:26" x14ac:dyDescent="0.25">
      <c r="A964" s="11"/>
      <c r="B964" s="11"/>
      <c r="C964" s="11"/>
      <c r="D964" s="11"/>
      <c r="E964" s="12"/>
      <c r="F964" s="13"/>
      <c r="G964" s="13"/>
      <c r="H964" s="13"/>
      <c r="I964" s="11"/>
      <c r="J964" s="11"/>
      <c r="K964" s="11"/>
      <c r="L964" s="11"/>
      <c r="M964" s="15"/>
      <c r="N964" s="15"/>
      <c r="O964" s="15"/>
      <c r="P964" s="15"/>
      <c r="Q964" s="16"/>
      <c r="R964" s="16"/>
      <c r="S964" s="16"/>
      <c r="T964" s="17"/>
      <c r="U964" s="11"/>
      <c r="V964" s="16"/>
      <c r="W964" s="11"/>
      <c r="X964" s="11"/>
      <c r="Y964" s="15"/>
      <c r="Z964" s="11"/>
    </row>
    <row r="965" spans="1:26" x14ac:dyDescent="0.25">
      <c r="A965" s="11"/>
      <c r="B965" s="11"/>
      <c r="C965" s="11"/>
      <c r="D965" s="11"/>
      <c r="E965" s="12"/>
      <c r="F965" s="13"/>
      <c r="G965" s="13"/>
      <c r="H965" s="13"/>
      <c r="I965" s="11"/>
      <c r="J965" s="11"/>
      <c r="K965" s="11"/>
      <c r="L965" s="11"/>
      <c r="M965" s="15"/>
      <c r="N965" s="15"/>
      <c r="O965" s="15"/>
      <c r="P965" s="15"/>
      <c r="Q965" s="16"/>
      <c r="R965" s="16"/>
      <c r="S965" s="16"/>
      <c r="T965" s="17"/>
      <c r="U965" s="11"/>
      <c r="V965" s="16"/>
      <c r="W965" s="11"/>
      <c r="X965" s="11"/>
      <c r="Y965" s="15"/>
      <c r="Z965" s="11"/>
    </row>
    <row r="966" spans="1:26" x14ac:dyDescent="0.25">
      <c r="A966" s="11"/>
      <c r="B966" s="11"/>
      <c r="C966" s="11"/>
      <c r="D966" s="11"/>
      <c r="E966" s="12"/>
      <c r="F966" s="13"/>
      <c r="G966" s="13"/>
      <c r="H966" s="13"/>
      <c r="I966" s="11"/>
      <c r="J966" s="11"/>
      <c r="K966" s="11"/>
      <c r="L966" s="11"/>
      <c r="M966" s="15"/>
      <c r="N966" s="15"/>
      <c r="O966" s="15"/>
      <c r="P966" s="15"/>
      <c r="Q966" s="16"/>
      <c r="R966" s="16"/>
      <c r="S966" s="16"/>
      <c r="T966" s="17"/>
      <c r="U966" s="11"/>
      <c r="V966" s="16"/>
      <c r="W966" s="11"/>
      <c r="X966" s="11"/>
      <c r="Y966" s="15"/>
      <c r="Z966" s="11"/>
    </row>
    <row r="967" spans="1:26" x14ac:dyDescent="0.25">
      <c r="A967" s="11"/>
      <c r="B967" s="11"/>
      <c r="C967" s="11"/>
      <c r="D967" s="11"/>
      <c r="E967" s="12"/>
      <c r="F967" s="13"/>
      <c r="G967" s="13"/>
      <c r="H967" s="13"/>
      <c r="I967" s="11"/>
      <c r="J967" s="11"/>
      <c r="K967" s="11"/>
      <c r="L967" s="11"/>
      <c r="M967" s="15"/>
      <c r="N967" s="15"/>
      <c r="O967" s="15"/>
      <c r="P967" s="15"/>
      <c r="Q967" s="16"/>
      <c r="R967" s="16"/>
      <c r="S967" s="16"/>
      <c r="T967" s="17"/>
      <c r="U967" s="11"/>
      <c r="V967" s="16"/>
      <c r="W967" s="11"/>
      <c r="X967" s="11"/>
      <c r="Y967" s="15"/>
      <c r="Z967" s="11"/>
    </row>
    <row r="968" spans="1:26" x14ac:dyDescent="0.25">
      <c r="A968" s="18"/>
      <c r="B968" s="18"/>
      <c r="C968" s="18"/>
      <c r="D968" s="18"/>
      <c r="E968" s="19"/>
      <c r="F968" s="20"/>
      <c r="G968" s="13"/>
      <c r="H968" s="20"/>
      <c r="I968" s="18"/>
      <c r="J968" s="18"/>
      <c r="K968" s="18"/>
      <c r="L968" s="18"/>
      <c r="M968" s="21"/>
      <c r="N968" s="21"/>
      <c r="O968" s="21"/>
      <c r="P968" s="21"/>
      <c r="Q968" s="22"/>
      <c r="R968" s="19"/>
      <c r="S968" s="22"/>
      <c r="T968" s="23"/>
      <c r="U968" s="18"/>
      <c r="V968" s="22"/>
      <c r="W968" s="18"/>
      <c r="X968" s="18"/>
      <c r="Y968" s="21"/>
      <c r="Z968" s="18"/>
    </row>
    <row r="969" spans="1:26" x14ac:dyDescent="0.25">
      <c r="A969" s="18"/>
      <c r="B969" s="18"/>
      <c r="C969" s="18"/>
      <c r="D969" s="18"/>
      <c r="E969" s="19"/>
      <c r="F969" s="20"/>
      <c r="G969" s="13"/>
      <c r="H969" s="20"/>
      <c r="I969" s="18"/>
      <c r="J969" s="18"/>
      <c r="K969" s="18"/>
      <c r="L969" s="18"/>
      <c r="M969" s="21"/>
      <c r="N969" s="21"/>
      <c r="O969" s="21"/>
      <c r="P969" s="21"/>
      <c r="Q969" s="22"/>
      <c r="R969" s="19"/>
      <c r="S969" s="22"/>
      <c r="T969" s="23"/>
      <c r="U969" s="18"/>
      <c r="V969" s="22"/>
      <c r="W969" s="18"/>
      <c r="X969" s="18"/>
      <c r="Y969" s="21"/>
      <c r="Z969" s="18"/>
    </row>
    <row r="970" spans="1:26" x14ac:dyDescent="0.25">
      <c r="A970" s="18"/>
      <c r="B970" s="18"/>
      <c r="C970" s="18"/>
      <c r="D970" s="18"/>
      <c r="E970" s="19"/>
      <c r="F970" s="20"/>
      <c r="G970" s="13"/>
      <c r="H970" s="20"/>
      <c r="I970" s="18"/>
      <c r="J970" s="18"/>
      <c r="K970" s="18"/>
      <c r="L970" s="18"/>
      <c r="M970" s="21"/>
      <c r="N970" s="21"/>
      <c r="O970" s="21"/>
      <c r="P970" s="21"/>
      <c r="Q970" s="22"/>
      <c r="R970" s="19"/>
      <c r="S970" s="22"/>
      <c r="T970" s="23"/>
      <c r="U970" s="18"/>
      <c r="V970" s="22"/>
      <c r="W970" s="18"/>
      <c r="X970" s="18"/>
      <c r="Y970" s="21"/>
      <c r="Z970" s="18"/>
    </row>
    <row r="971" spans="1:26" x14ac:dyDescent="0.25">
      <c r="A971" s="11"/>
      <c r="B971" s="11"/>
      <c r="C971" s="11"/>
      <c r="D971" s="11"/>
      <c r="E971" s="12"/>
      <c r="F971" s="13"/>
      <c r="G971" s="13"/>
      <c r="H971" s="13"/>
      <c r="I971" s="11"/>
      <c r="J971" s="11"/>
      <c r="K971" s="11"/>
      <c r="L971" s="11"/>
      <c r="M971" s="15"/>
      <c r="N971" s="15"/>
      <c r="O971" s="15"/>
      <c r="P971" s="15"/>
      <c r="Q971" s="16"/>
      <c r="R971" s="16"/>
      <c r="S971" s="16"/>
      <c r="T971" s="17"/>
      <c r="U971" s="11"/>
      <c r="V971" s="16"/>
      <c r="W971" s="11"/>
      <c r="X971" s="11"/>
      <c r="Y971" s="15"/>
      <c r="Z971" s="11"/>
    </row>
    <row r="972" spans="1:26" x14ac:dyDescent="0.25">
      <c r="A972" s="18"/>
      <c r="B972" s="18"/>
      <c r="C972" s="18"/>
      <c r="D972" s="18"/>
      <c r="E972" s="19"/>
      <c r="F972" s="20"/>
      <c r="G972" s="13"/>
      <c r="H972" s="20"/>
      <c r="I972" s="18"/>
      <c r="J972" s="18"/>
      <c r="K972" s="18"/>
      <c r="L972" s="18"/>
      <c r="M972" s="21"/>
      <c r="N972" s="21"/>
      <c r="O972" s="21"/>
      <c r="P972" s="21"/>
      <c r="Q972" s="22"/>
      <c r="R972" s="19"/>
      <c r="S972" s="22"/>
      <c r="T972" s="23"/>
      <c r="U972" s="18"/>
      <c r="V972" s="22"/>
      <c r="W972" s="18"/>
      <c r="X972" s="18"/>
      <c r="Y972" s="21"/>
      <c r="Z972" s="18"/>
    </row>
    <row r="973" spans="1:26" x14ac:dyDescent="0.25">
      <c r="A973" s="11"/>
      <c r="B973" s="11"/>
      <c r="C973" s="11"/>
      <c r="D973" s="11"/>
      <c r="E973" s="12"/>
      <c r="F973" s="13"/>
      <c r="G973" s="13"/>
      <c r="H973" s="13"/>
      <c r="I973" s="11"/>
      <c r="J973" s="11"/>
      <c r="K973" s="11"/>
      <c r="L973" s="11"/>
      <c r="M973" s="15"/>
      <c r="N973" s="15"/>
      <c r="O973" s="15"/>
      <c r="P973" s="15"/>
      <c r="Q973" s="16"/>
      <c r="R973" s="16"/>
      <c r="S973" s="16"/>
      <c r="T973" s="17"/>
      <c r="U973" s="11"/>
      <c r="V973" s="16"/>
      <c r="W973" s="11"/>
      <c r="X973" s="11"/>
      <c r="Y973" s="15"/>
      <c r="Z973" s="11"/>
    </row>
    <row r="974" spans="1:26" x14ac:dyDescent="0.25">
      <c r="A974" s="11"/>
      <c r="B974" s="11"/>
      <c r="C974" s="11"/>
      <c r="D974" s="11"/>
      <c r="E974" s="12"/>
      <c r="F974" s="13"/>
      <c r="G974" s="13"/>
      <c r="H974" s="13"/>
      <c r="I974" s="11"/>
      <c r="J974" s="11"/>
      <c r="K974" s="11"/>
      <c r="L974" s="11"/>
      <c r="M974" s="15"/>
      <c r="N974" s="15"/>
      <c r="O974" s="15"/>
      <c r="P974" s="15"/>
      <c r="Q974" s="16"/>
      <c r="R974" s="16"/>
      <c r="S974" s="16"/>
      <c r="T974" s="17"/>
      <c r="U974" s="11"/>
      <c r="V974" s="16"/>
      <c r="W974" s="11"/>
      <c r="X974" s="11"/>
      <c r="Y974" s="15"/>
      <c r="Z974" s="11"/>
    </row>
    <row r="975" spans="1:26" x14ac:dyDescent="0.25">
      <c r="A975" s="11"/>
      <c r="B975" s="11"/>
      <c r="C975" s="11"/>
      <c r="D975" s="11"/>
      <c r="E975" s="12"/>
      <c r="F975" s="13"/>
      <c r="G975" s="13"/>
      <c r="H975" s="13"/>
      <c r="I975" s="11"/>
      <c r="J975" s="11"/>
      <c r="K975" s="11"/>
      <c r="L975" s="11"/>
      <c r="M975" s="15"/>
      <c r="N975" s="15"/>
      <c r="O975" s="15"/>
      <c r="P975" s="15"/>
      <c r="Q975" s="16"/>
      <c r="R975" s="16"/>
      <c r="S975" s="16"/>
      <c r="T975" s="17"/>
      <c r="U975" s="11"/>
      <c r="V975" s="16"/>
      <c r="W975" s="11"/>
      <c r="X975" s="11"/>
      <c r="Y975" s="15"/>
      <c r="Z975" s="11"/>
    </row>
    <row r="976" spans="1:26" x14ac:dyDescent="0.25">
      <c r="A976" s="11"/>
      <c r="B976" s="11"/>
      <c r="C976" s="11"/>
      <c r="D976" s="11"/>
      <c r="E976" s="12"/>
      <c r="F976" s="13"/>
      <c r="G976" s="13"/>
      <c r="H976" s="13"/>
      <c r="I976" s="11"/>
      <c r="J976" s="11"/>
      <c r="K976" s="11"/>
      <c r="L976" s="11"/>
      <c r="M976" s="15"/>
      <c r="N976" s="15"/>
      <c r="O976" s="15"/>
      <c r="P976" s="15"/>
      <c r="Q976" s="16"/>
      <c r="R976" s="16"/>
      <c r="S976" s="16"/>
      <c r="T976" s="17"/>
      <c r="U976" s="11"/>
      <c r="V976" s="16"/>
      <c r="W976" s="11"/>
      <c r="X976" s="11"/>
      <c r="Y976" s="15"/>
      <c r="Z976" s="11"/>
    </row>
    <row r="977" spans="1:26" x14ac:dyDescent="0.25">
      <c r="A977" s="11"/>
      <c r="B977" s="11"/>
      <c r="C977" s="11"/>
      <c r="D977" s="11"/>
      <c r="E977" s="12"/>
      <c r="F977" s="13"/>
      <c r="G977" s="13"/>
      <c r="H977" s="13"/>
      <c r="I977" s="11"/>
      <c r="J977" s="11"/>
      <c r="K977" s="11"/>
      <c r="L977" s="11"/>
      <c r="M977" s="15"/>
      <c r="N977" s="15"/>
      <c r="O977" s="15"/>
      <c r="P977" s="15"/>
      <c r="Q977" s="16"/>
      <c r="R977" s="16"/>
      <c r="S977" s="16"/>
      <c r="T977" s="17"/>
      <c r="U977" s="11"/>
      <c r="V977" s="16"/>
      <c r="W977" s="11"/>
      <c r="X977" s="11"/>
      <c r="Y977" s="15"/>
      <c r="Z977" s="11"/>
    </row>
    <row r="978" spans="1:26" x14ac:dyDescent="0.25">
      <c r="A978" s="11"/>
      <c r="B978" s="11"/>
      <c r="C978" s="11"/>
      <c r="D978" s="11"/>
      <c r="E978" s="12"/>
      <c r="F978" s="13"/>
      <c r="G978" s="13"/>
      <c r="H978" s="13"/>
      <c r="I978" s="11"/>
      <c r="J978" s="11"/>
      <c r="K978" s="11"/>
      <c r="L978" s="11"/>
      <c r="M978" s="15"/>
      <c r="N978" s="15"/>
      <c r="O978" s="15"/>
      <c r="P978" s="15"/>
      <c r="Q978" s="16"/>
      <c r="R978" s="16"/>
      <c r="S978" s="16"/>
      <c r="T978" s="17"/>
      <c r="U978" s="11"/>
      <c r="V978" s="16"/>
      <c r="W978" s="11"/>
      <c r="X978" s="11"/>
      <c r="Y978" s="15"/>
      <c r="Z978" s="11"/>
    </row>
    <row r="979" spans="1:26" x14ac:dyDescent="0.25">
      <c r="A979" s="11"/>
      <c r="B979" s="11"/>
      <c r="C979" s="11"/>
      <c r="D979" s="11"/>
      <c r="E979" s="12"/>
      <c r="F979" s="13"/>
      <c r="G979" s="13"/>
      <c r="H979" s="13"/>
      <c r="I979" s="11"/>
      <c r="J979" s="11"/>
      <c r="K979" s="11"/>
      <c r="L979" s="11"/>
      <c r="M979" s="15"/>
      <c r="N979" s="15"/>
      <c r="O979" s="15"/>
      <c r="P979" s="15"/>
      <c r="Q979" s="16"/>
      <c r="R979" s="16"/>
      <c r="S979" s="16"/>
      <c r="T979" s="17"/>
      <c r="U979" s="11"/>
      <c r="V979" s="16"/>
      <c r="W979" s="11"/>
      <c r="X979" s="11"/>
      <c r="Y979" s="15"/>
      <c r="Z979" s="11"/>
    </row>
    <row r="980" spans="1:26" x14ac:dyDescent="0.25">
      <c r="A980" s="11"/>
      <c r="B980" s="11"/>
      <c r="C980" s="11"/>
      <c r="D980" s="11"/>
      <c r="E980" s="12"/>
      <c r="F980" s="13"/>
      <c r="G980" s="13"/>
      <c r="H980" s="13"/>
      <c r="I980" s="11"/>
      <c r="J980" s="11"/>
      <c r="K980" s="11"/>
      <c r="L980" s="11"/>
      <c r="M980" s="15"/>
      <c r="N980" s="15"/>
      <c r="O980" s="15"/>
      <c r="P980" s="15"/>
      <c r="Q980" s="16"/>
      <c r="R980" s="16"/>
      <c r="S980" s="16"/>
      <c r="T980" s="17"/>
      <c r="U980" s="11"/>
      <c r="V980" s="16"/>
      <c r="W980" s="11"/>
      <c r="X980" s="11"/>
      <c r="Y980" s="15"/>
      <c r="Z980" s="11"/>
    </row>
    <row r="981" spans="1:26" x14ac:dyDescent="0.25">
      <c r="A981" s="11"/>
      <c r="B981" s="11"/>
      <c r="C981" s="11"/>
      <c r="D981" s="11"/>
      <c r="E981" s="12"/>
      <c r="F981" s="13"/>
      <c r="G981" s="13"/>
      <c r="H981" s="13"/>
      <c r="I981" s="11"/>
      <c r="J981" s="11"/>
      <c r="K981" s="11"/>
      <c r="L981" s="11"/>
      <c r="M981" s="15"/>
      <c r="N981" s="15"/>
      <c r="O981" s="15"/>
      <c r="P981" s="15"/>
      <c r="Q981" s="16"/>
      <c r="R981" s="16"/>
      <c r="S981" s="16"/>
      <c r="T981" s="17"/>
      <c r="U981" s="11"/>
      <c r="V981" s="16"/>
      <c r="W981" s="11"/>
      <c r="X981" s="11"/>
      <c r="Y981" s="15"/>
      <c r="Z981" s="11"/>
    </row>
    <row r="982" spans="1:26" x14ac:dyDescent="0.25">
      <c r="A982" s="11"/>
      <c r="B982" s="11"/>
      <c r="C982" s="11"/>
      <c r="D982" s="11"/>
      <c r="E982" s="12"/>
      <c r="F982" s="13"/>
      <c r="G982" s="13"/>
      <c r="H982" s="13"/>
      <c r="I982" s="11"/>
      <c r="J982" s="11"/>
      <c r="K982" s="11"/>
      <c r="L982" s="11"/>
      <c r="M982" s="15"/>
      <c r="N982" s="15"/>
      <c r="O982" s="15"/>
      <c r="P982" s="15"/>
      <c r="Q982" s="16"/>
      <c r="R982" s="16"/>
      <c r="S982" s="16"/>
      <c r="T982" s="17"/>
      <c r="U982" s="11"/>
      <c r="V982" s="16"/>
      <c r="W982" s="11"/>
      <c r="X982" s="11"/>
      <c r="Y982" s="15"/>
      <c r="Z982" s="11"/>
    </row>
    <row r="983" spans="1:26" x14ac:dyDescent="0.25">
      <c r="A983" s="11"/>
      <c r="B983" s="11"/>
      <c r="C983" s="11"/>
      <c r="D983" s="11"/>
      <c r="E983" s="12"/>
      <c r="F983" s="13"/>
      <c r="G983" s="13"/>
      <c r="H983" s="13"/>
      <c r="I983" s="11"/>
      <c r="J983" s="11"/>
      <c r="K983" s="11"/>
      <c r="L983" s="11"/>
      <c r="M983" s="15"/>
      <c r="N983" s="15"/>
      <c r="O983" s="15"/>
      <c r="P983" s="15"/>
      <c r="Q983" s="16"/>
      <c r="R983" s="16"/>
      <c r="S983" s="16"/>
      <c r="T983" s="17"/>
      <c r="U983" s="11"/>
      <c r="V983" s="16"/>
      <c r="W983" s="11"/>
      <c r="X983" s="11"/>
      <c r="Y983" s="15"/>
      <c r="Z983" s="11"/>
    </row>
    <row r="984" spans="1:26" x14ac:dyDescent="0.25">
      <c r="A984" s="11"/>
      <c r="B984" s="11"/>
      <c r="C984" s="11"/>
      <c r="D984" s="11"/>
      <c r="E984" s="12"/>
      <c r="F984" s="13"/>
      <c r="G984" s="13"/>
      <c r="H984" s="13"/>
      <c r="I984" s="11"/>
      <c r="J984" s="11"/>
      <c r="K984" s="11"/>
      <c r="L984" s="11"/>
      <c r="M984" s="15"/>
      <c r="N984" s="15"/>
      <c r="O984" s="15"/>
      <c r="P984" s="15"/>
      <c r="Q984" s="16"/>
      <c r="R984" s="16"/>
      <c r="S984" s="16"/>
      <c r="T984" s="17"/>
      <c r="U984" s="11"/>
      <c r="V984" s="16"/>
      <c r="W984" s="11"/>
      <c r="X984" s="11"/>
      <c r="Y984" s="15"/>
      <c r="Z984" s="11"/>
    </row>
    <row r="985" spans="1:26" x14ac:dyDescent="0.25">
      <c r="A985" s="11"/>
      <c r="B985" s="11"/>
      <c r="C985" s="11"/>
      <c r="D985" s="11"/>
      <c r="E985" s="12"/>
      <c r="F985" s="13"/>
      <c r="G985" s="13"/>
      <c r="H985" s="13"/>
      <c r="I985" s="11"/>
      <c r="J985" s="11"/>
      <c r="K985" s="11"/>
      <c r="L985" s="11"/>
      <c r="M985" s="15"/>
      <c r="N985" s="15"/>
      <c r="O985" s="15"/>
      <c r="P985" s="15"/>
      <c r="Q985" s="16"/>
      <c r="R985" s="16"/>
      <c r="S985" s="16"/>
      <c r="T985" s="17"/>
      <c r="U985" s="11"/>
      <c r="V985" s="16"/>
      <c r="W985" s="11"/>
      <c r="X985" s="11"/>
      <c r="Y985" s="15"/>
      <c r="Z985" s="11"/>
    </row>
    <row r="986" spans="1:26" x14ac:dyDescent="0.25">
      <c r="A986" s="11"/>
      <c r="B986" s="11"/>
      <c r="C986" s="11"/>
      <c r="D986" s="11"/>
      <c r="E986" s="12"/>
      <c r="F986" s="13"/>
      <c r="G986" s="13"/>
      <c r="H986" s="13"/>
      <c r="I986" s="11"/>
      <c r="J986" s="11"/>
      <c r="K986" s="11"/>
      <c r="L986" s="11"/>
      <c r="M986" s="15"/>
      <c r="N986" s="15"/>
      <c r="O986" s="15"/>
      <c r="P986" s="15"/>
      <c r="Q986" s="16"/>
      <c r="R986" s="16"/>
      <c r="S986" s="16"/>
      <c r="T986" s="17"/>
      <c r="U986" s="11"/>
      <c r="V986" s="16"/>
      <c r="W986" s="11"/>
      <c r="X986" s="11"/>
      <c r="Y986" s="15"/>
      <c r="Z986" s="11"/>
    </row>
    <row r="987" spans="1:26" x14ac:dyDescent="0.25">
      <c r="A987" s="18"/>
      <c r="B987" s="18"/>
      <c r="C987" s="18"/>
      <c r="D987" s="18"/>
      <c r="E987" s="19"/>
      <c r="F987" s="20"/>
      <c r="G987" s="13"/>
      <c r="H987" s="20"/>
      <c r="I987" s="18"/>
      <c r="J987" s="18"/>
      <c r="K987" s="18"/>
      <c r="L987" s="18"/>
      <c r="M987" s="21"/>
      <c r="N987" s="21"/>
      <c r="O987" s="21"/>
      <c r="P987" s="21"/>
      <c r="Q987" s="22"/>
      <c r="R987" s="19"/>
      <c r="S987" s="22"/>
      <c r="T987" s="23"/>
      <c r="U987" s="18"/>
      <c r="V987" s="22"/>
      <c r="W987" s="18"/>
      <c r="X987" s="18"/>
      <c r="Y987" s="21"/>
      <c r="Z987" s="18"/>
    </row>
    <row r="988" spans="1:26" x14ac:dyDescent="0.25">
      <c r="A988" s="11"/>
      <c r="B988" s="11"/>
      <c r="C988" s="11"/>
      <c r="D988" s="11"/>
      <c r="E988" s="12"/>
      <c r="F988" s="13"/>
      <c r="G988" s="13"/>
      <c r="H988" s="13"/>
      <c r="I988" s="11"/>
      <c r="J988" s="11"/>
      <c r="K988" s="11"/>
      <c r="L988" s="11"/>
      <c r="M988" s="15"/>
      <c r="N988" s="15"/>
      <c r="O988" s="15"/>
      <c r="P988" s="15"/>
      <c r="Q988" s="16"/>
      <c r="R988" s="16"/>
      <c r="S988" s="16"/>
      <c r="T988" s="17"/>
      <c r="U988" s="11"/>
      <c r="V988" s="16"/>
      <c r="W988" s="11"/>
      <c r="X988" s="11"/>
      <c r="Y988" s="15"/>
      <c r="Z988" s="11"/>
    </row>
    <row r="989" spans="1:26" x14ac:dyDescent="0.25">
      <c r="A989" s="11"/>
      <c r="B989" s="11"/>
      <c r="C989" s="11"/>
      <c r="D989" s="11"/>
      <c r="E989" s="12"/>
      <c r="F989" s="13"/>
      <c r="G989" s="13"/>
      <c r="H989" s="13"/>
      <c r="I989" s="11"/>
      <c r="J989" s="11"/>
      <c r="K989" s="11"/>
      <c r="L989" s="11"/>
      <c r="M989" s="15"/>
      <c r="N989" s="15"/>
      <c r="O989" s="15"/>
      <c r="P989" s="15"/>
      <c r="Q989" s="16"/>
      <c r="R989" s="16"/>
      <c r="S989" s="16"/>
      <c r="T989" s="17"/>
      <c r="U989" s="11"/>
      <c r="V989" s="16"/>
      <c r="W989" s="11"/>
      <c r="X989" s="11"/>
      <c r="Y989" s="15"/>
      <c r="Z989" s="11"/>
    </row>
    <row r="990" spans="1:26" x14ac:dyDescent="0.25">
      <c r="A990" s="11"/>
      <c r="B990" s="11"/>
      <c r="C990" s="11"/>
      <c r="D990" s="11"/>
      <c r="E990" s="12"/>
      <c r="F990" s="13"/>
      <c r="G990" s="13"/>
      <c r="H990" s="13"/>
      <c r="I990" s="11"/>
      <c r="J990" s="11"/>
      <c r="K990" s="11"/>
      <c r="L990" s="11"/>
      <c r="M990" s="15"/>
      <c r="N990" s="15"/>
      <c r="O990" s="15"/>
      <c r="P990" s="15"/>
      <c r="Q990" s="16"/>
      <c r="R990" s="16"/>
      <c r="S990" s="16"/>
      <c r="T990" s="17"/>
      <c r="U990" s="11"/>
      <c r="V990" s="16"/>
      <c r="W990" s="11"/>
      <c r="X990" s="11"/>
      <c r="Y990" s="15"/>
      <c r="Z990" s="11"/>
    </row>
    <row r="991" spans="1:26" x14ac:dyDescent="0.25">
      <c r="A991" s="11"/>
      <c r="B991" s="11"/>
      <c r="C991" s="11"/>
      <c r="D991" s="11"/>
      <c r="E991" s="12"/>
      <c r="F991" s="13"/>
      <c r="G991" s="13"/>
      <c r="H991" s="13"/>
      <c r="I991" s="11"/>
      <c r="J991" s="11"/>
      <c r="K991" s="11"/>
      <c r="L991" s="11"/>
      <c r="M991" s="15"/>
      <c r="N991" s="15"/>
      <c r="O991" s="15"/>
      <c r="P991" s="15"/>
      <c r="Q991" s="16"/>
      <c r="R991" s="16"/>
      <c r="S991" s="16"/>
      <c r="T991" s="17"/>
      <c r="U991" s="11"/>
      <c r="V991" s="16"/>
      <c r="W991" s="11"/>
      <c r="X991" s="11"/>
      <c r="Y991" s="15"/>
      <c r="Z991" s="11"/>
    </row>
    <row r="992" spans="1:26" x14ac:dyDescent="0.25">
      <c r="A992" s="11"/>
      <c r="B992" s="11"/>
      <c r="C992" s="11"/>
      <c r="D992" s="11"/>
      <c r="E992" s="12"/>
      <c r="F992" s="13"/>
      <c r="G992" s="13"/>
      <c r="H992" s="13"/>
      <c r="I992" s="11"/>
      <c r="J992" s="11"/>
      <c r="K992" s="11"/>
      <c r="L992" s="11"/>
      <c r="M992" s="15"/>
      <c r="N992" s="15"/>
      <c r="O992" s="15"/>
      <c r="P992" s="15"/>
      <c r="Q992" s="16"/>
      <c r="R992" s="16"/>
      <c r="S992" s="16"/>
      <c r="T992" s="17"/>
      <c r="U992" s="11"/>
      <c r="V992" s="16"/>
      <c r="W992" s="11"/>
      <c r="X992" s="11"/>
      <c r="Y992" s="15"/>
      <c r="Z992" s="11"/>
    </row>
    <row r="993" spans="1:26" x14ac:dyDescent="0.25">
      <c r="A993" s="18"/>
      <c r="B993" s="18"/>
      <c r="C993" s="18"/>
      <c r="D993" s="18"/>
      <c r="E993" s="19"/>
      <c r="F993" s="20"/>
      <c r="G993" s="13"/>
      <c r="H993" s="20"/>
      <c r="I993" s="18"/>
      <c r="J993" s="18"/>
      <c r="K993" s="18"/>
      <c r="L993" s="18"/>
      <c r="M993" s="21"/>
      <c r="N993" s="21"/>
      <c r="O993" s="21"/>
      <c r="P993" s="21"/>
      <c r="Q993" s="22"/>
      <c r="R993" s="19"/>
      <c r="S993" s="22"/>
      <c r="T993" s="23"/>
      <c r="U993" s="18"/>
      <c r="V993" s="22"/>
      <c r="W993" s="18"/>
      <c r="X993" s="18"/>
      <c r="Y993" s="21"/>
      <c r="Z993" s="18"/>
    </row>
    <row r="994" spans="1:26" x14ac:dyDescent="0.25">
      <c r="A994" s="11"/>
      <c r="B994" s="11"/>
      <c r="C994" s="11"/>
      <c r="D994" s="11"/>
      <c r="E994" s="12"/>
      <c r="F994" s="13"/>
      <c r="G994" s="13"/>
      <c r="H994" s="13"/>
      <c r="I994" s="11"/>
      <c r="J994" s="11"/>
      <c r="K994" s="11"/>
      <c r="L994" s="11"/>
      <c r="M994" s="15"/>
      <c r="N994" s="15"/>
      <c r="O994" s="15"/>
      <c r="P994" s="15"/>
      <c r="Q994" s="16"/>
      <c r="R994" s="16"/>
      <c r="S994" s="16"/>
      <c r="T994" s="17"/>
      <c r="U994" s="11"/>
      <c r="V994" s="16"/>
      <c r="W994" s="11"/>
      <c r="X994" s="11"/>
      <c r="Y994" s="15"/>
      <c r="Z994" s="11"/>
    </row>
    <row r="995" spans="1:26" x14ac:dyDescent="0.25">
      <c r="A995" s="11"/>
      <c r="B995" s="11"/>
      <c r="C995" s="11"/>
      <c r="D995" s="11"/>
      <c r="E995" s="12"/>
      <c r="F995" s="13"/>
      <c r="G995" s="13"/>
      <c r="H995" s="13"/>
      <c r="I995" s="11"/>
      <c r="J995" s="11"/>
      <c r="K995" s="11"/>
      <c r="L995" s="11"/>
      <c r="M995" s="15"/>
      <c r="N995" s="15"/>
      <c r="O995" s="15"/>
      <c r="P995" s="15"/>
      <c r="Q995" s="16"/>
      <c r="R995" s="16"/>
      <c r="S995" s="16"/>
      <c r="T995" s="17"/>
      <c r="U995" s="11"/>
      <c r="V995" s="16"/>
      <c r="W995" s="11"/>
      <c r="X995" s="11"/>
      <c r="Y995" s="15"/>
      <c r="Z995" s="11"/>
    </row>
    <row r="996" spans="1:26" x14ac:dyDescent="0.25">
      <c r="A996" s="18"/>
      <c r="B996" s="18"/>
      <c r="C996" s="18"/>
      <c r="D996" s="18"/>
      <c r="E996" s="19"/>
      <c r="F996" s="20"/>
      <c r="G996" s="13"/>
      <c r="H996" s="20"/>
      <c r="I996" s="18"/>
      <c r="J996" s="18"/>
      <c r="K996" s="18"/>
      <c r="L996" s="18"/>
      <c r="M996" s="21"/>
      <c r="N996" s="21"/>
      <c r="O996" s="21"/>
      <c r="P996" s="21"/>
      <c r="Q996" s="22"/>
      <c r="R996" s="19"/>
      <c r="S996" s="22"/>
      <c r="T996" s="23"/>
      <c r="U996" s="18"/>
      <c r="V996" s="22"/>
      <c r="W996" s="18"/>
      <c r="X996" s="18"/>
      <c r="Y996" s="21"/>
      <c r="Z996" s="18"/>
    </row>
    <row r="997" spans="1:26" x14ac:dyDescent="0.25">
      <c r="A997" s="11"/>
      <c r="B997" s="11"/>
      <c r="C997" s="11"/>
      <c r="D997" s="11"/>
      <c r="E997" s="12"/>
      <c r="F997" s="13"/>
      <c r="G997" s="13"/>
      <c r="H997" s="13"/>
      <c r="I997" s="11"/>
      <c r="J997" s="11"/>
      <c r="K997" s="11"/>
      <c r="L997" s="11"/>
      <c r="M997" s="15"/>
      <c r="N997" s="15"/>
      <c r="O997" s="15"/>
      <c r="P997" s="15"/>
      <c r="Q997" s="16"/>
      <c r="R997" s="16"/>
      <c r="S997" s="16"/>
      <c r="T997" s="17"/>
      <c r="U997" s="11"/>
      <c r="V997" s="16"/>
      <c r="W997" s="11"/>
      <c r="X997" s="11"/>
      <c r="Y997" s="15"/>
      <c r="Z997" s="11"/>
    </row>
    <row r="998" spans="1:26" x14ac:dyDescent="0.25">
      <c r="A998" s="11"/>
      <c r="B998" s="11"/>
      <c r="C998" s="11"/>
      <c r="D998" s="11"/>
      <c r="E998" s="12"/>
      <c r="F998" s="13"/>
      <c r="G998" s="13"/>
      <c r="H998" s="13"/>
      <c r="I998" s="11"/>
      <c r="J998" s="11"/>
      <c r="K998" s="11"/>
      <c r="L998" s="11"/>
      <c r="M998" s="15"/>
      <c r="N998" s="15"/>
      <c r="O998" s="15"/>
      <c r="P998" s="15"/>
      <c r="Q998" s="16"/>
      <c r="R998" s="16"/>
      <c r="S998" s="16"/>
      <c r="T998" s="17"/>
      <c r="U998" s="11"/>
      <c r="V998" s="16"/>
      <c r="W998" s="11"/>
      <c r="X998" s="11"/>
      <c r="Y998" s="15"/>
      <c r="Z998" s="11"/>
    </row>
    <row r="999" spans="1:26" x14ac:dyDescent="0.25">
      <c r="A999" s="11"/>
      <c r="B999" s="11"/>
      <c r="C999" s="11"/>
      <c r="D999" s="11"/>
      <c r="E999" s="12"/>
      <c r="F999" s="13"/>
      <c r="G999" s="13"/>
      <c r="H999" s="13"/>
      <c r="I999" s="11"/>
      <c r="J999" s="11"/>
      <c r="K999" s="11"/>
      <c r="L999" s="11"/>
      <c r="M999" s="15"/>
      <c r="N999" s="15"/>
      <c r="O999" s="15"/>
      <c r="P999" s="15"/>
      <c r="Q999" s="16"/>
      <c r="R999" s="16"/>
      <c r="S999" s="16"/>
      <c r="T999" s="17"/>
      <c r="U999" s="11"/>
      <c r="V999" s="16"/>
      <c r="W999" s="11"/>
      <c r="X999" s="11"/>
      <c r="Y999" s="15"/>
      <c r="Z999" s="11"/>
    </row>
    <row r="1000" spans="1:26" x14ac:dyDescent="0.25">
      <c r="A1000" s="11"/>
      <c r="B1000" s="11"/>
      <c r="C1000" s="11"/>
      <c r="D1000" s="11"/>
      <c r="E1000" s="12"/>
      <c r="F1000" s="13"/>
      <c r="G1000" s="13"/>
      <c r="H1000" s="13"/>
      <c r="I1000" s="11"/>
      <c r="J1000" s="11"/>
      <c r="K1000" s="11"/>
      <c r="L1000" s="11"/>
      <c r="M1000" s="15"/>
      <c r="N1000" s="15"/>
      <c r="O1000" s="15"/>
      <c r="P1000" s="15"/>
      <c r="Q1000" s="16"/>
      <c r="R1000" s="16"/>
      <c r="S1000" s="16"/>
      <c r="T1000" s="17"/>
      <c r="U1000" s="11"/>
      <c r="V1000" s="16"/>
      <c r="W1000" s="11"/>
      <c r="X1000" s="11"/>
      <c r="Y1000" s="15"/>
      <c r="Z1000" s="11"/>
    </row>
    <row r="1001" spans="1:26" x14ac:dyDescent="0.25">
      <c r="A1001" s="11"/>
      <c r="B1001" s="11"/>
      <c r="C1001" s="11"/>
      <c r="D1001" s="11"/>
      <c r="E1001" s="12"/>
      <c r="F1001" s="13"/>
      <c r="G1001" s="13"/>
      <c r="H1001" s="13"/>
      <c r="I1001" s="11"/>
      <c r="J1001" s="11"/>
      <c r="K1001" s="11"/>
      <c r="L1001" s="11"/>
      <c r="M1001" s="15"/>
      <c r="N1001" s="15"/>
      <c r="O1001" s="15"/>
      <c r="P1001" s="15"/>
      <c r="Q1001" s="16"/>
      <c r="R1001" s="16"/>
      <c r="S1001" s="16"/>
      <c r="T1001" s="17"/>
      <c r="U1001" s="11"/>
      <c r="V1001" s="16"/>
      <c r="W1001" s="11"/>
      <c r="X1001" s="11"/>
      <c r="Y1001" s="15"/>
      <c r="Z1001" s="11"/>
    </row>
    <row r="1002" spans="1:26" x14ac:dyDescent="0.25">
      <c r="A1002" s="11"/>
      <c r="B1002" s="11"/>
      <c r="C1002" s="11"/>
      <c r="D1002" s="11"/>
      <c r="E1002" s="12"/>
      <c r="F1002" s="13"/>
      <c r="G1002" s="13"/>
      <c r="H1002" s="13"/>
      <c r="I1002" s="11"/>
      <c r="J1002" s="11"/>
      <c r="K1002" s="11"/>
      <c r="L1002" s="11"/>
      <c r="M1002" s="15"/>
      <c r="N1002" s="15"/>
      <c r="O1002" s="15"/>
      <c r="P1002" s="15"/>
      <c r="Q1002" s="16"/>
      <c r="R1002" s="16"/>
      <c r="S1002" s="16"/>
      <c r="T1002" s="17"/>
      <c r="U1002" s="11"/>
      <c r="V1002" s="16"/>
      <c r="W1002" s="11"/>
      <c r="X1002" s="11"/>
      <c r="Y1002" s="15"/>
      <c r="Z1002" s="11"/>
    </row>
    <row r="1003" spans="1:26" x14ac:dyDescent="0.25">
      <c r="A1003" s="11"/>
      <c r="B1003" s="11"/>
      <c r="C1003" s="11"/>
      <c r="D1003" s="11"/>
      <c r="E1003" s="12"/>
      <c r="F1003" s="13"/>
      <c r="G1003" s="13"/>
      <c r="H1003" s="13"/>
      <c r="I1003" s="11"/>
      <c r="J1003" s="11"/>
      <c r="K1003" s="11"/>
      <c r="L1003" s="11"/>
      <c r="M1003" s="15"/>
      <c r="N1003" s="15"/>
      <c r="O1003" s="15"/>
      <c r="P1003" s="15"/>
      <c r="Q1003" s="16"/>
      <c r="R1003" s="16"/>
      <c r="S1003" s="16"/>
      <c r="T1003" s="17"/>
      <c r="U1003" s="11"/>
      <c r="V1003" s="16"/>
      <c r="W1003" s="11"/>
      <c r="X1003" s="11"/>
      <c r="Y1003" s="15"/>
      <c r="Z1003" s="11"/>
    </row>
    <row r="1004" spans="1:26" x14ac:dyDescent="0.25">
      <c r="A1004" s="11"/>
      <c r="B1004" s="11"/>
      <c r="C1004" s="11"/>
      <c r="D1004" s="11"/>
      <c r="E1004" s="12"/>
      <c r="F1004" s="13"/>
      <c r="G1004" s="13"/>
      <c r="H1004" s="13"/>
      <c r="I1004" s="11"/>
      <c r="J1004" s="11"/>
      <c r="K1004" s="11"/>
      <c r="L1004" s="11"/>
      <c r="M1004" s="15"/>
      <c r="N1004" s="15"/>
      <c r="O1004" s="15"/>
      <c r="P1004" s="15"/>
      <c r="Q1004" s="16"/>
      <c r="R1004" s="16"/>
      <c r="S1004" s="16"/>
      <c r="T1004" s="17"/>
      <c r="U1004" s="11"/>
      <c r="V1004" s="16"/>
      <c r="W1004" s="11"/>
      <c r="X1004" s="11"/>
      <c r="Y1004" s="15"/>
      <c r="Z1004" s="11"/>
    </row>
    <row r="1005" spans="1:26" x14ac:dyDescent="0.25">
      <c r="A1005" s="11"/>
      <c r="B1005" s="11"/>
      <c r="C1005" s="11"/>
      <c r="D1005" s="11"/>
      <c r="E1005" s="12"/>
      <c r="F1005" s="13"/>
      <c r="G1005" s="13"/>
      <c r="H1005" s="13"/>
      <c r="I1005" s="11"/>
      <c r="J1005" s="11"/>
      <c r="K1005" s="11"/>
      <c r="L1005" s="11"/>
      <c r="M1005" s="15"/>
      <c r="N1005" s="15"/>
      <c r="O1005" s="15"/>
      <c r="P1005" s="15"/>
      <c r="Q1005" s="16"/>
      <c r="R1005" s="16"/>
      <c r="S1005" s="16"/>
      <c r="T1005" s="17"/>
      <c r="U1005" s="11"/>
      <c r="V1005" s="16"/>
      <c r="W1005" s="11"/>
      <c r="X1005" s="11"/>
      <c r="Y1005" s="15"/>
      <c r="Z1005" s="11"/>
    </row>
    <row r="1006" spans="1:26" x14ac:dyDescent="0.25">
      <c r="A1006" s="11"/>
      <c r="B1006" s="11"/>
      <c r="C1006" s="11"/>
      <c r="D1006" s="11"/>
      <c r="E1006" s="12"/>
      <c r="F1006" s="13"/>
      <c r="G1006" s="13"/>
      <c r="H1006" s="13"/>
      <c r="I1006" s="11"/>
      <c r="J1006" s="11"/>
      <c r="K1006" s="11"/>
      <c r="L1006" s="11"/>
      <c r="M1006" s="15"/>
      <c r="N1006" s="15"/>
      <c r="O1006" s="15"/>
      <c r="P1006" s="15"/>
      <c r="Q1006" s="16"/>
      <c r="R1006" s="16"/>
      <c r="S1006" s="16"/>
      <c r="T1006" s="17"/>
      <c r="U1006" s="11"/>
      <c r="V1006" s="16"/>
      <c r="W1006" s="11"/>
      <c r="X1006" s="11"/>
      <c r="Y1006" s="15"/>
      <c r="Z1006" s="11"/>
    </row>
    <row r="1007" spans="1:26" x14ac:dyDescent="0.25">
      <c r="A1007" s="11"/>
      <c r="B1007" s="11"/>
      <c r="C1007" s="11"/>
      <c r="D1007" s="11"/>
      <c r="E1007" s="12"/>
      <c r="F1007" s="13"/>
      <c r="G1007" s="13"/>
      <c r="H1007" s="13"/>
      <c r="I1007" s="11"/>
      <c r="J1007" s="11"/>
      <c r="K1007" s="11"/>
      <c r="L1007" s="11"/>
      <c r="M1007" s="15"/>
      <c r="N1007" s="15"/>
      <c r="O1007" s="15"/>
      <c r="P1007" s="15"/>
      <c r="Q1007" s="16"/>
      <c r="R1007" s="16"/>
      <c r="S1007" s="16"/>
      <c r="T1007" s="17"/>
      <c r="U1007" s="11"/>
      <c r="V1007" s="16"/>
      <c r="W1007" s="11"/>
      <c r="X1007" s="11"/>
      <c r="Y1007" s="15"/>
      <c r="Z1007" s="11"/>
    </row>
    <row r="1008" spans="1:26" x14ac:dyDescent="0.25">
      <c r="A1008" s="11"/>
      <c r="B1008" s="11"/>
      <c r="C1008" s="11"/>
      <c r="D1008" s="11"/>
      <c r="E1008" s="12"/>
      <c r="F1008" s="13"/>
      <c r="G1008" s="13"/>
      <c r="H1008" s="13"/>
      <c r="I1008" s="11"/>
      <c r="J1008" s="11"/>
      <c r="K1008" s="11"/>
      <c r="L1008" s="11"/>
      <c r="M1008" s="15"/>
      <c r="N1008" s="15"/>
      <c r="O1008" s="15"/>
      <c r="P1008" s="15"/>
      <c r="Q1008" s="16"/>
      <c r="R1008" s="16"/>
      <c r="S1008" s="16"/>
      <c r="T1008" s="17"/>
      <c r="U1008" s="11"/>
      <c r="V1008" s="16"/>
      <c r="W1008" s="11"/>
      <c r="X1008" s="11"/>
      <c r="Y1008" s="15"/>
      <c r="Z1008" s="11"/>
    </row>
    <row r="1009" spans="1:26" x14ac:dyDescent="0.25">
      <c r="A1009" s="11"/>
      <c r="B1009" s="11"/>
      <c r="C1009" s="11"/>
      <c r="D1009" s="11"/>
      <c r="E1009" s="12"/>
      <c r="F1009" s="13"/>
      <c r="G1009" s="13"/>
      <c r="H1009" s="13"/>
      <c r="I1009" s="11"/>
      <c r="J1009" s="11"/>
      <c r="K1009" s="11"/>
      <c r="L1009" s="11"/>
      <c r="M1009" s="15"/>
      <c r="N1009" s="15"/>
      <c r="O1009" s="15"/>
      <c r="P1009" s="15"/>
      <c r="Q1009" s="16"/>
      <c r="R1009" s="16"/>
      <c r="S1009" s="16"/>
      <c r="T1009" s="17"/>
      <c r="U1009" s="11"/>
      <c r="V1009" s="16"/>
      <c r="W1009" s="11"/>
      <c r="X1009" s="11"/>
      <c r="Y1009" s="15"/>
      <c r="Z1009" s="11"/>
    </row>
    <row r="1010" spans="1:26" x14ac:dyDescent="0.25">
      <c r="A1010" s="11"/>
      <c r="B1010" s="11"/>
      <c r="C1010" s="11"/>
      <c r="D1010" s="11"/>
      <c r="E1010" s="12"/>
      <c r="F1010" s="13"/>
      <c r="G1010" s="13"/>
      <c r="H1010" s="13"/>
      <c r="I1010" s="11"/>
      <c r="J1010" s="11"/>
      <c r="K1010" s="11"/>
      <c r="L1010" s="11"/>
      <c r="M1010" s="15"/>
      <c r="N1010" s="15"/>
      <c r="O1010" s="15"/>
      <c r="P1010" s="15"/>
      <c r="Q1010" s="16"/>
      <c r="R1010" s="16"/>
      <c r="S1010" s="16"/>
      <c r="T1010" s="17"/>
      <c r="U1010" s="11"/>
      <c r="V1010" s="16"/>
      <c r="W1010" s="11"/>
      <c r="X1010" s="11"/>
      <c r="Y1010" s="15"/>
      <c r="Z1010" s="11"/>
    </row>
    <row r="1011" spans="1:26" x14ac:dyDescent="0.25">
      <c r="A1011" s="18"/>
      <c r="B1011" s="18"/>
      <c r="C1011" s="18"/>
      <c r="D1011" s="18"/>
      <c r="E1011" s="19"/>
      <c r="F1011" s="20"/>
      <c r="G1011" s="13"/>
      <c r="H1011" s="20"/>
      <c r="I1011" s="18"/>
      <c r="J1011" s="18"/>
      <c r="K1011" s="18"/>
      <c r="L1011" s="18"/>
      <c r="M1011" s="21"/>
      <c r="N1011" s="21"/>
      <c r="O1011" s="21"/>
      <c r="P1011" s="21"/>
      <c r="Q1011" s="22"/>
      <c r="R1011" s="19"/>
      <c r="S1011" s="22"/>
      <c r="T1011" s="23"/>
      <c r="U1011" s="18"/>
      <c r="V1011" s="22"/>
      <c r="W1011" s="18"/>
      <c r="X1011" s="18"/>
      <c r="Y1011" s="21"/>
      <c r="Z1011" s="18"/>
    </row>
    <row r="1012" spans="1:26" x14ac:dyDescent="0.25">
      <c r="A1012" s="18"/>
      <c r="B1012" s="18"/>
      <c r="C1012" s="18"/>
      <c r="D1012" s="18"/>
      <c r="E1012" s="19"/>
      <c r="F1012" s="20"/>
      <c r="G1012" s="13"/>
      <c r="H1012" s="20"/>
      <c r="I1012" s="18"/>
      <c r="J1012" s="18"/>
      <c r="K1012" s="18"/>
      <c r="L1012" s="18"/>
      <c r="M1012" s="21"/>
      <c r="N1012" s="21"/>
      <c r="O1012" s="21"/>
      <c r="P1012" s="21"/>
      <c r="Q1012" s="22"/>
      <c r="R1012" s="19"/>
      <c r="S1012" s="22"/>
      <c r="T1012" s="23"/>
      <c r="U1012" s="18"/>
      <c r="V1012" s="22"/>
      <c r="W1012" s="18"/>
      <c r="X1012" s="18"/>
      <c r="Y1012" s="21"/>
      <c r="Z1012" s="18"/>
    </row>
    <row r="1013" spans="1:26" x14ac:dyDescent="0.25">
      <c r="A1013" s="11"/>
      <c r="B1013" s="11"/>
      <c r="C1013" s="11"/>
      <c r="D1013" s="11"/>
      <c r="E1013" s="12"/>
      <c r="F1013" s="13"/>
      <c r="G1013" s="13"/>
      <c r="H1013" s="13"/>
      <c r="I1013" s="11"/>
      <c r="J1013" s="11"/>
      <c r="K1013" s="11"/>
      <c r="L1013" s="11"/>
      <c r="M1013" s="15"/>
      <c r="N1013" s="15"/>
      <c r="O1013" s="15"/>
      <c r="P1013" s="15"/>
      <c r="Q1013" s="16"/>
      <c r="R1013" s="16"/>
      <c r="S1013" s="16"/>
      <c r="T1013" s="17"/>
      <c r="U1013" s="11"/>
      <c r="V1013" s="16"/>
      <c r="W1013" s="11"/>
      <c r="X1013" s="11"/>
      <c r="Y1013" s="15"/>
      <c r="Z1013" s="11"/>
    </row>
    <row r="1014" spans="1:26" x14ac:dyDescent="0.25">
      <c r="A1014" s="11"/>
      <c r="B1014" s="11"/>
      <c r="C1014" s="11"/>
      <c r="D1014" s="11"/>
      <c r="E1014" s="12"/>
      <c r="F1014" s="13"/>
      <c r="G1014" s="13"/>
      <c r="H1014" s="13"/>
      <c r="I1014" s="11"/>
      <c r="J1014" s="11"/>
      <c r="K1014" s="11"/>
      <c r="L1014" s="11"/>
      <c r="M1014" s="15"/>
      <c r="N1014" s="15"/>
      <c r="O1014" s="15"/>
      <c r="P1014" s="15"/>
      <c r="Q1014" s="16"/>
      <c r="R1014" s="16"/>
      <c r="S1014" s="16"/>
      <c r="T1014" s="17"/>
      <c r="U1014" s="11"/>
      <c r="V1014" s="16"/>
      <c r="W1014" s="11"/>
      <c r="X1014" s="11"/>
      <c r="Y1014" s="15"/>
      <c r="Z1014" s="11"/>
    </row>
    <row r="1015" spans="1:26" x14ac:dyDescent="0.25">
      <c r="A1015" s="11"/>
      <c r="B1015" s="11"/>
      <c r="C1015" s="11"/>
      <c r="D1015" s="11"/>
      <c r="E1015" s="12"/>
      <c r="F1015" s="13"/>
      <c r="G1015" s="13"/>
      <c r="H1015" s="13"/>
      <c r="I1015" s="11"/>
      <c r="J1015" s="11"/>
      <c r="K1015" s="11"/>
      <c r="L1015" s="11"/>
      <c r="M1015" s="15"/>
      <c r="N1015" s="15"/>
      <c r="O1015" s="15"/>
      <c r="P1015" s="15"/>
      <c r="Q1015" s="16"/>
      <c r="R1015" s="16"/>
      <c r="S1015" s="16"/>
      <c r="T1015" s="17"/>
      <c r="U1015" s="11"/>
      <c r="V1015" s="16"/>
      <c r="W1015" s="11"/>
      <c r="X1015" s="11"/>
      <c r="Y1015" s="15"/>
      <c r="Z1015" s="11"/>
    </row>
    <row r="1016" spans="1:26" x14ac:dyDescent="0.25">
      <c r="A1016" s="11"/>
      <c r="B1016" s="11"/>
      <c r="C1016" s="11"/>
      <c r="D1016" s="11"/>
      <c r="E1016" s="12"/>
      <c r="F1016" s="13"/>
      <c r="G1016" s="13"/>
      <c r="H1016" s="13"/>
      <c r="I1016" s="11"/>
      <c r="J1016" s="11"/>
      <c r="K1016" s="11"/>
      <c r="L1016" s="11"/>
      <c r="M1016" s="15"/>
      <c r="N1016" s="15"/>
      <c r="O1016" s="15"/>
      <c r="P1016" s="15"/>
      <c r="Q1016" s="16"/>
      <c r="R1016" s="16"/>
      <c r="S1016" s="16"/>
      <c r="T1016" s="17"/>
      <c r="U1016" s="11"/>
      <c r="V1016" s="16"/>
      <c r="W1016" s="11"/>
      <c r="X1016" s="11"/>
      <c r="Y1016" s="15"/>
      <c r="Z1016" s="11"/>
    </row>
    <row r="1017" spans="1:26" x14ac:dyDescent="0.25">
      <c r="A1017" s="11"/>
      <c r="B1017" s="11"/>
      <c r="C1017" s="11"/>
      <c r="D1017" s="11"/>
      <c r="E1017" s="12"/>
      <c r="F1017" s="13"/>
      <c r="G1017" s="13"/>
      <c r="H1017" s="13"/>
      <c r="I1017" s="11"/>
      <c r="J1017" s="11"/>
      <c r="K1017" s="11"/>
      <c r="L1017" s="11"/>
      <c r="M1017" s="15"/>
      <c r="N1017" s="15"/>
      <c r="O1017" s="15"/>
      <c r="P1017" s="15"/>
      <c r="Q1017" s="16"/>
      <c r="R1017" s="16"/>
      <c r="S1017" s="16"/>
      <c r="T1017" s="17"/>
      <c r="U1017" s="11"/>
      <c r="V1017" s="16"/>
      <c r="W1017" s="11"/>
      <c r="X1017" s="11"/>
      <c r="Y1017" s="15"/>
      <c r="Z1017" s="11"/>
    </row>
    <row r="1018" spans="1:26" x14ac:dyDescent="0.25">
      <c r="A1018" s="18"/>
      <c r="B1018" s="18"/>
      <c r="C1018" s="18"/>
      <c r="D1018" s="18"/>
      <c r="E1018" s="19"/>
      <c r="F1018" s="20"/>
      <c r="G1018" s="13"/>
      <c r="H1018" s="20"/>
      <c r="I1018" s="18"/>
      <c r="J1018" s="18"/>
      <c r="K1018" s="18"/>
      <c r="L1018" s="18"/>
      <c r="M1018" s="21"/>
      <c r="N1018" s="21"/>
      <c r="O1018" s="21"/>
      <c r="P1018" s="21"/>
      <c r="Q1018" s="22"/>
      <c r="R1018" s="19"/>
      <c r="S1018" s="22"/>
      <c r="T1018" s="23"/>
      <c r="U1018" s="18"/>
      <c r="V1018" s="22"/>
      <c r="W1018" s="18"/>
      <c r="X1018" s="18"/>
      <c r="Y1018" s="21"/>
      <c r="Z1018" s="18"/>
    </row>
    <row r="1019" spans="1:26" x14ac:dyDescent="0.25">
      <c r="A1019" s="11"/>
      <c r="B1019" s="11"/>
      <c r="C1019" s="11"/>
      <c r="D1019" s="11"/>
      <c r="E1019" s="12"/>
      <c r="F1019" s="13"/>
      <c r="G1019" s="13"/>
      <c r="H1019" s="13"/>
      <c r="I1019" s="11"/>
      <c r="J1019" s="11"/>
      <c r="K1019" s="11"/>
      <c r="L1019" s="11"/>
      <c r="M1019" s="15"/>
      <c r="N1019" s="15"/>
      <c r="O1019" s="15"/>
      <c r="P1019" s="15"/>
      <c r="Q1019" s="16"/>
      <c r="R1019" s="16"/>
      <c r="S1019" s="16"/>
      <c r="T1019" s="17"/>
      <c r="U1019" s="11"/>
      <c r="V1019" s="16"/>
      <c r="W1019" s="11"/>
      <c r="X1019" s="11"/>
      <c r="Y1019" s="15"/>
      <c r="Z1019" s="11"/>
    </row>
    <row r="1020" spans="1:26" x14ac:dyDescent="0.25">
      <c r="A1020" s="18"/>
      <c r="B1020" s="18"/>
      <c r="C1020" s="18"/>
      <c r="D1020" s="18"/>
      <c r="E1020" s="19"/>
      <c r="F1020" s="20"/>
      <c r="G1020" s="13"/>
      <c r="H1020" s="20"/>
      <c r="I1020" s="18"/>
      <c r="J1020" s="18"/>
      <c r="K1020" s="18"/>
      <c r="L1020" s="18"/>
      <c r="M1020" s="21"/>
      <c r="N1020" s="21"/>
      <c r="O1020" s="21"/>
      <c r="P1020" s="21"/>
      <c r="Q1020" s="22"/>
      <c r="R1020" s="19"/>
      <c r="S1020" s="22"/>
      <c r="T1020" s="23"/>
      <c r="U1020" s="18"/>
      <c r="V1020" s="22"/>
      <c r="W1020" s="18"/>
      <c r="X1020" s="18"/>
      <c r="Y1020" s="21"/>
      <c r="Z1020" s="18"/>
    </row>
    <row r="1021" spans="1:26" x14ac:dyDescent="0.25">
      <c r="A1021" s="18"/>
      <c r="B1021" s="18"/>
      <c r="C1021" s="18"/>
      <c r="D1021" s="18"/>
      <c r="E1021" s="19"/>
      <c r="F1021" s="20"/>
      <c r="G1021" s="13"/>
      <c r="H1021" s="20"/>
      <c r="I1021" s="18"/>
      <c r="J1021" s="18"/>
      <c r="K1021" s="18"/>
      <c r="L1021" s="18"/>
      <c r="M1021" s="21"/>
      <c r="N1021" s="21"/>
      <c r="O1021" s="21"/>
      <c r="P1021" s="21"/>
      <c r="Q1021" s="22"/>
      <c r="R1021" s="19"/>
      <c r="S1021" s="22"/>
      <c r="T1021" s="23"/>
      <c r="U1021" s="18"/>
      <c r="V1021" s="22"/>
      <c r="W1021" s="18"/>
      <c r="X1021" s="18"/>
      <c r="Y1021" s="21"/>
      <c r="Z1021" s="18"/>
    </row>
    <row r="1022" spans="1:26" x14ac:dyDescent="0.25">
      <c r="A1022" s="11"/>
      <c r="B1022" s="11"/>
      <c r="C1022" s="11"/>
      <c r="D1022" s="11"/>
      <c r="E1022" s="12"/>
      <c r="F1022" s="13"/>
      <c r="G1022" s="13"/>
      <c r="H1022" s="13"/>
      <c r="I1022" s="11"/>
      <c r="J1022" s="11"/>
      <c r="K1022" s="11"/>
      <c r="L1022" s="11"/>
      <c r="M1022" s="15"/>
      <c r="N1022" s="15"/>
      <c r="O1022" s="15"/>
      <c r="P1022" s="15"/>
      <c r="Q1022" s="16"/>
      <c r="R1022" s="16"/>
      <c r="S1022" s="16"/>
      <c r="T1022" s="17"/>
      <c r="U1022" s="11"/>
      <c r="V1022" s="16"/>
      <c r="W1022" s="11"/>
      <c r="X1022" s="11"/>
      <c r="Y1022" s="15"/>
      <c r="Z1022" s="11"/>
    </row>
    <row r="1023" spans="1:26" x14ac:dyDescent="0.25">
      <c r="A1023" s="11"/>
      <c r="B1023" s="11"/>
      <c r="C1023" s="11"/>
      <c r="D1023" s="11"/>
      <c r="E1023" s="12"/>
      <c r="F1023" s="13"/>
      <c r="G1023" s="13"/>
      <c r="H1023" s="13"/>
      <c r="I1023" s="11"/>
      <c r="J1023" s="11"/>
      <c r="K1023" s="11"/>
      <c r="L1023" s="11"/>
      <c r="M1023" s="15"/>
      <c r="N1023" s="15"/>
      <c r="O1023" s="15"/>
      <c r="P1023" s="15"/>
      <c r="Q1023" s="16"/>
      <c r="R1023" s="16"/>
      <c r="S1023" s="16"/>
      <c r="T1023" s="17"/>
      <c r="U1023" s="11"/>
      <c r="V1023" s="16"/>
      <c r="W1023" s="11"/>
      <c r="X1023" s="11"/>
      <c r="Y1023" s="15"/>
      <c r="Z1023" s="11"/>
    </row>
    <row r="1024" spans="1:26" x14ac:dyDescent="0.25">
      <c r="A1024" s="11"/>
      <c r="B1024" s="11"/>
      <c r="C1024" s="11"/>
      <c r="D1024" s="11"/>
      <c r="E1024" s="12"/>
      <c r="F1024" s="13"/>
      <c r="G1024" s="13"/>
      <c r="H1024" s="13"/>
      <c r="I1024" s="11"/>
      <c r="J1024" s="11"/>
      <c r="K1024" s="11"/>
      <c r="L1024" s="11"/>
      <c r="M1024" s="15"/>
      <c r="N1024" s="15"/>
      <c r="O1024" s="15"/>
      <c r="P1024" s="15"/>
      <c r="Q1024" s="16"/>
      <c r="R1024" s="16"/>
      <c r="S1024" s="16"/>
      <c r="T1024" s="17"/>
      <c r="U1024" s="11"/>
      <c r="V1024" s="16"/>
      <c r="W1024" s="11"/>
      <c r="X1024" s="11"/>
      <c r="Y1024" s="15"/>
      <c r="Z1024" s="11"/>
    </row>
    <row r="1025" spans="1:26" x14ac:dyDescent="0.25">
      <c r="A1025" s="11"/>
      <c r="B1025" s="11"/>
      <c r="C1025" s="11"/>
      <c r="D1025" s="11"/>
      <c r="E1025" s="12"/>
      <c r="F1025" s="13"/>
      <c r="G1025" s="13"/>
      <c r="H1025" s="13"/>
      <c r="I1025" s="11"/>
      <c r="J1025" s="11"/>
      <c r="K1025" s="11"/>
      <c r="L1025" s="11"/>
      <c r="M1025" s="15"/>
      <c r="N1025" s="15"/>
      <c r="O1025" s="15"/>
      <c r="P1025" s="15"/>
      <c r="Q1025" s="16"/>
      <c r="R1025" s="16"/>
      <c r="S1025" s="16"/>
      <c r="T1025" s="17"/>
      <c r="U1025" s="11"/>
      <c r="V1025" s="16"/>
      <c r="W1025" s="11"/>
      <c r="X1025" s="11"/>
      <c r="Y1025" s="15"/>
      <c r="Z1025" s="11"/>
    </row>
    <row r="1026" spans="1:26" x14ac:dyDescent="0.25">
      <c r="A1026" s="11"/>
      <c r="B1026" s="11"/>
      <c r="C1026" s="11"/>
      <c r="D1026" s="11"/>
      <c r="E1026" s="12"/>
      <c r="F1026" s="13"/>
      <c r="G1026" s="13"/>
      <c r="H1026" s="13"/>
      <c r="I1026" s="11"/>
      <c r="J1026" s="11"/>
      <c r="K1026" s="11"/>
      <c r="L1026" s="11"/>
      <c r="M1026" s="15"/>
      <c r="N1026" s="15"/>
      <c r="O1026" s="15"/>
      <c r="P1026" s="15"/>
      <c r="Q1026" s="16"/>
      <c r="R1026" s="16"/>
      <c r="S1026" s="16"/>
      <c r="T1026" s="17"/>
      <c r="U1026" s="11"/>
      <c r="V1026" s="16"/>
      <c r="W1026" s="11"/>
      <c r="X1026" s="11"/>
      <c r="Y1026" s="15"/>
      <c r="Z1026" s="11"/>
    </row>
    <row r="1027" spans="1:26" x14ac:dyDescent="0.25">
      <c r="A1027" s="18"/>
      <c r="B1027" s="18"/>
      <c r="C1027" s="18"/>
      <c r="D1027" s="18"/>
      <c r="E1027" s="19"/>
      <c r="F1027" s="20"/>
      <c r="G1027" s="13"/>
      <c r="H1027" s="20"/>
      <c r="I1027" s="18"/>
      <c r="J1027" s="18"/>
      <c r="K1027" s="18"/>
      <c r="L1027" s="18"/>
      <c r="M1027" s="21"/>
      <c r="N1027" s="21"/>
      <c r="O1027" s="21"/>
      <c r="P1027" s="21"/>
      <c r="Q1027" s="22"/>
      <c r="R1027" s="19"/>
      <c r="S1027" s="22"/>
      <c r="T1027" s="23"/>
      <c r="U1027" s="18"/>
      <c r="V1027" s="22"/>
      <c r="W1027" s="18"/>
      <c r="X1027" s="18"/>
      <c r="Y1027" s="21"/>
      <c r="Z1027" s="18"/>
    </row>
    <row r="1028" spans="1:26" x14ac:dyDescent="0.25">
      <c r="A1028" s="11"/>
      <c r="B1028" s="11"/>
      <c r="C1028" s="11"/>
      <c r="D1028" s="11"/>
      <c r="E1028" s="12"/>
      <c r="F1028" s="13"/>
      <c r="G1028" s="13"/>
      <c r="H1028" s="13"/>
      <c r="I1028" s="11"/>
      <c r="J1028" s="11"/>
      <c r="K1028" s="11"/>
      <c r="L1028" s="11"/>
      <c r="M1028" s="15"/>
      <c r="N1028" s="15"/>
      <c r="O1028" s="15"/>
      <c r="P1028" s="15"/>
      <c r="Q1028" s="16"/>
      <c r="R1028" s="16"/>
      <c r="S1028" s="16"/>
      <c r="T1028" s="17"/>
      <c r="U1028" s="11"/>
      <c r="V1028" s="16"/>
      <c r="W1028" s="11"/>
      <c r="X1028" s="11"/>
      <c r="Y1028" s="15"/>
      <c r="Z1028" s="11"/>
    </row>
    <row r="1029" spans="1:26" x14ac:dyDescent="0.25">
      <c r="A1029" s="11"/>
      <c r="B1029" s="11"/>
      <c r="C1029" s="11"/>
      <c r="D1029" s="11"/>
      <c r="E1029" s="12"/>
      <c r="F1029" s="13"/>
      <c r="G1029" s="13"/>
      <c r="H1029" s="13"/>
      <c r="I1029" s="11"/>
      <c r="J1029" s="11"/>
      <c r="K1029" s="11"/>
      <c r="L1029" s="11"/>
      <c r="M1029" s="15"/>
      <c r="N1029" s="15"/>
      <c r="O1029" s="15"/>
      <c r="P1029" s="15"/>
      <c r="Q1029" s="16"/>
      <c r="R1029" s="16"/>
      <c r="S1029" s="16"/>
      <c r="T1029" s="17"/>
      <c r="U1029" s="11"/>
      <c r="V1029" s="16"/>
      <c r="W1029" s="11"/>
      <c r="X1029" s="11"/>
      <c r="Y1029" s="15"/>
      <c r="Z1029" s="11"/>
    </row>
    <row r="1030" spans="1:26" x14ac:dyDescent="0.25">
      <c r="A1030" s="11"/>
      <c r="B1030" s="11"/>
      <c r="C1030" s="11"/>
      <c r="D1030" s="11"/>
      <c r="E1030" s="12"/>
      <c r="F1030" s="13"/>
      <c r="G1030" s="13"/>
      <c r="H1030" s="13"/>
      <c r="I1030" s="11"/>
      <c r="J1030" s="11"/>
      <c r="K1030" s="11"/>
      <c r="L1030" s="11"/>
      <c r="M1030" s="15"/>
      <c r="N1030" s="15"/>
      <c r="O1030" s="15"/>
      <c r="P1030" s="15"/>
      <c r="Q1030" s="16"/>
      <c r="R1030" s="16"/>
      <c r="S1030" s="16"/>
      <c r="T1030" s="17"/>
      <c r="U1030" s="11"/>
      <c r="V1030" s="16"/>
      <c r="W1030" s="11"/>
      <c r="X1030" s="11"/>
      <c r="Y1030" s="15"/>
      <c r="Z1030" s="11"/>
    </row>
    <row r="1031" spans="1:26" x14ac:dyDescent="0.25">
      <c r="A1031" s="11"/>
      <c r="B1031" s="11"/>
      <c r="C1031" s="11"/>
      <c r="D1031" s="11"/>
      <c r="E1031" s="12"/>
      <c r="F1031" s="13"/>
      <c r="G1031" s="13"/>
      <c r="H1031" s="13"/>
      <c r="I1031" s="11"/>
      <c r="J1031" s="11"/>
      <c r="K1031" s="11"/>
      <c r="L1031" s="11"/>
      <c r="M1031" s="15"/>
      <c r="N1031" s="15"/>
      <c r="O1031" s="15"/>
      <c r="P1031" s="15"/>
      <c r="Q1031" s="16"/>
      <c r="R1031" s="16"/>
      <c r="S1031" s="16"/>
      <c r="T1031" s="17"/>
      <c r="U1031" s="11"/>
      <c r="V1031" s="16"/>
      <c r="W1031" s="11"/>
      <c r="X1031" s="11"/>
      <c r="Y1031" s="15"/>
      <c r="Z1031" s="11"/>
    </row>
    <row r="1032" spans="1:26" x14ac:dyDescent="0.25">
      <c r="A1032" s="11"/>
      <c r="B1032" s="11"/>
      <c r="C1032" s="11"/>
      <c r="D1032" s="11"/>
      <c r="E1032" s="12"/>
      <c r="F1032" s="13"/>
      <c r="G1032" s="13"/>
      <c r="H1032" s="13"/>
      <c r="I1032" s="11"/>
      <c r="J1032" s="11"/>
      <c r="K1032" s="11"/>
      <c r="L1032" s="11"/>
      <c r="M1032" s="15"/>
      <c r="N1032" s="15"/>
      <c r="O1032" s="15"/>
      <c r="P1032" s="15"/>
      <c r="Q1032" s="16"/>
      <c r="R1032" s="16"/>
      <c r="S1032" s="16"/>
      <c r="T1032" s="17"/>
      <c r="U1032" s="11"/>
      <c r="V1032" s="16"/>
      <c r="W1032" s="11"/>
      <c r="X1032" s="11"/>
      <c r="Y1032" s="15"/>
      <c r="Z1032" s="11"/>
    </row>
    <row r="1033" spans="1:26" x14ac:dyDescent="0.25">
      <c r="A1033" s="11"/>
      <c r="B1033" s="11"/>
      <c r="C1033" s="11"/>
      <c r="D1033" s="11"/>
      <c r="E1033" s="12"/>
      <c r="F1033" s="13"/>
      <c r="G1033" s="13"/>
      <c r="H1033" s="13"/>
      <c r="I1033" s="11"/>
      <c r="J1033" s="11"/>
      <c r="K1033" s="11"/>
      <c r="L1033" s="11"/>
      <c r="M1033" s="15"/>
      <c r="N1033" s="15"/>
      <c r="O1033" s="15"/>
      <c r="P1033" s="15"/>
      <c r="Q1033" s="16"/>
      <c r="R1033" s="16"/>
      <c r="S1033" s="16"/>
      <c r="T1033" s="17"/>
      <c r="U1033" s="11"/>
      <c r="V1033" s="16"/>
      <c r="W1033" s="11"/>
      <c r="X1033" s="11"/>
      <c r="Y1033" s="15"/>
      <c r="Z1033" s="11"/>
    </row>
    <row r="1034" spans="1:26" x14ac:dyDescent="0.25">
      <c r="A1034" s="11"/>
      <c r="B1034" s="11"/>
      <c r="C1034" s="11"/>
      <c r="D1034" s="11"/>
      <c r="E1034" s="12"/>
      <c r="F1034" s="13"/>
      <c r="G1034" s="13"/>
      <c r="H1034" s="13"/>
      <c r="I1034" s="11"/>
      <c r="J1034" s="11"/>
      <c r="K1034" s="11"/>
      <c r="L1034" s="11"/>
      <c r="M1034" s="15"/>
      <c r="N1034" s="15"/>
      <c r="O1034" s="15"/>
      <c r="P1034" s="15"/>
      <c r="Q1034" s="16"/>
      <c r="R1034" s="16"/>
      <c r="S1034" s="16"/>
      <c r="T1034" s="17"/>
      <c r="U1034" s="11"/>
      <c r="V1034" s="16"/>
      <c r="W1034" s="11"/>
      <c r="X1034" s="11"/>
      <c r="Y1034" s="15"/>
      <c r="Z1034" s="11"/>
    </row>
    <row r="1035" spans="1:26" x14ac:dyDescent="0.25">
      <c r="A1035" s="11"/>
      <c r="B1035" s="11"/>
      <c r="C1035" s="11"/>
      <c r="D1035" s="11"/>
      <c r="E1035" s="12"/>
      <c r="F1035" s="13"/>
      <c r="G1035" s="13"/>
      <c r="H1035" s="13"/>
      <c r="I1035" s="11"/>
      <c r="J1035" s="11"/>
      <c r="K1035" s="11"/>
      <c r="L1035" s="11"/>
      <c r="M1035" s="15"/>
      <c r="N1035" s="15"/>
      <c r="O1035" s="15"/>
      <c r="P1035" s="15"/>
      <c r="Q1035" s="16"/>
      <c r="R1035" s="16"/>
      <c r="S1035" s="16"/>
      <c r="T1035" s="17"/>
      <c r="U1035" s="11"/>
      <c r="V1035" s="16"/>
      <c r="W1035" s="11"/>
      <c r="X1035" s="11"/>
      <c r="Y1035" s="15"/>
      <c r="Z1035" s="11"/>
    </row>
    <row r="1036" spans="1:26" x14ac:dyDescent="0.25">
      <c r="A1036" s="11"/>
      <c r="B1036" s="11"/>
      <c r="C1036" s="11"/>
      <c r="D1036" s="11"/>
      <c r="E1036" s="12"/>
      <c r="F1036" s="13"/>
      <c r="G1036" s="13"/>
      <c r="H1036" s="13"/>
      <c r="I1036" s="11"/>
      <c r="J1036" s="11"/>
      <c r="K1036" s="11"/>
      <c r="L1036" s="11"/>
      <c r="M1036" s="15"/>
      <c r="N1036" s="15"/>
      <c r="O1036" s="15"/>
      <c r="P1036" s="15"/>
      <c r="Q1036" s="16"/>
      <c r="R1036" s="16"/>
      <c r="S1036" s="16"/>
      <c r="T1036" s="17"/>
      <c r="U1036" s="11"/>
      <c r="V1036" s="16"/>
      <c r="W1036" s="11"/>
      <c r="X1036" s="11"/>
      <c r="Y1036" s="15"/>
      <c r="Z1036" s="11"/>
    </row>
    <row r="1037" spans="1:26" x14ac:dyDescent="0.25">
      <c r="A1037" s="11"/>
      <c r="B1037" s="11"/>
      <c r="C1037" s="11"/>
      <c r="D1037" s="11"/>
      <c r="E1037" s="12"/>
      <c r="F1037" s="13"/>
      <c r="G1037" s="13"/>
      <c r="H1037" s="13"/>
      <c r="I1037" s="11"/>
      <c r="J1037" s="11"/>
      <c r="K1037" s="11"/>
      <c r="L1037" s="11"/>
      <c r="M1037" s="15"/>
      <c r="N1037" s="15"/>
      <c r="O1037" s="15"/>
      <c r="P1037" s="15"/>
      <c r="Q1037" s="16"/>
      <c r="R1037" s="16"/>
      <c r="S1037" s="16"/>
      <c r="T1037" s="17"/>
      <c r="U1037" s="11"/>
      <c r="V1037" s="16"/>
      <c r="W1037" s="11"/>
      <c r="X1037" s="11"/>
      <c r="Y1037" s="15"/>
      <c r="Z1037" s="11"/>
    </row>
    <row r="1038" spans="1:26" x14ac:dyDescent="0.25">
      <c r="A1038" s="11"/>
      <c r="B1038" s="11"/>
      <c r="C1038" s="11"/>
      <c r="D1038" s="11"/>
      <c r="E1038" s="12"/>
      <c r="F1038" s="13"/>
      <c r="G1038" s="13"/>
      <c r="H1038" s="13"/>
      <c r="I1038" s="11"/>
      <c r="J1038" s="11"/>
      <c r="K1038" s="11"/>
      <c r="L1038" s="11"/>
      <c r="M1038" s="15"/>
      <c r="N1038" s="15"/>
      <c r="O1038" s="15"/>
      <c r="P1038" s="15"/>
      <c r="Q1038" s="16"/>
      <c r="R1038" s="16"/>
      <c r="S1038" s="16"/>
      <c r="T1038" s="17"/>
      <c r="U1038" s="11"/>
      <c r="V1038" s="16"/>
      <c r="W1038" s="11"/>
      <c r="X1038" s="11"/>
      <c r="Y1038" s="15"/>
      <c r="Z1038" s="11"/>
    </row>
    <row r="1039" spans="1:26" x14ac:dyDescent="0.25">
      <c r="A1039" s="11"/>
      <c r="B1039" s="11"/>
      <c r="C1039" s="11"/>
      <c r="D1039" s="11"/>
      <c r="E1039" s="12"/>
      <c r="F1039" s="13"/>
      <c r="G1039" s="13"/>
      <c r="H1039" s="13"/>
      <c r="I1039" s="11"/>
      <c r="J1039" s="11"/>
      <c r="K1039" s="11"/>
      <c r="L1039" s="11"/>
      <c r="M1039" s="15"/>
      <c r="N1039" s="15"/>
      <c r="O1039" s="15"/>
      <c r="P1039" s="15"/>
      <c r="Q1039" s="16"/>
      <c r="R1039" s="16"/>
      <c r="S1039" s="16"/>
      <c r="T1039" s="17"/>
      <c r="U1039" s="11"/>
      <c r="V1039" s="16"/>
      <c r="W1039" s="11"/>
      <c r="X1039" s="11"/>
      <c r="Y1039" s="15"/>
      <c r="Z1039" s="11"/>
    </row>
    <row r="1040" spans="1:26" x14ac:dyDescent="0.25">
      <c r="A1040" s="11"/>
      <c r="B1040" s="11"/>
      <c r="C1040" s="11"/>
      <c r="D1040" s="11"/>
      <c r="E1040" s="12"/>
      <c r="F1040" s="13"/>
      <c r="G1040" s="13"/>
      <c r="H1040" s="13"/>
      <c r="I1040" s="11"/>
      <c r="J1040" s="11"/>
      <c r="K1040" s="11"/>
      <c r="L1040" s="11"/>
      <c r="M1040" s="15"/>
      <c r="N1040" s="15"/>
      <c r="O1040" s="15"/>
      <c r="P1040" s="15"/>
      <c r="Q1040" s="16"/>
      <c r="R1040" s="16"/>
      <c r="S1040" s="16"/>
      <c r="T1040" s="17"/>
      <c r="U1040" s="11"/>
      <c r="V1040" s="16"/>
      <c r="W1040" s="11"/>
      <c r="X1040" s="11"/>
      <c r="Y1040" s="15"/>
      <c r="Z1040" s="11"/>
    </row>
    <row r="1041" spans="1:26" x14ac:dyDescent="0.25">
      <c r="A1041" s="11"/>
      <c r="B1041" s="11"/>
      <c r="C1041" s="11"/>
      <c r="D1041" s="11"/>
      <c r="E1041" s="12"/>
      <c r="F1041" s="13"/>
      <c r="G1041" s="13"/>
      <c r="H1041" s="13"/>
      <c r="I1041" s="11"/>
      <c r="J1041" s="11"/>
      <c r="K1041" s="11"/>
      <c r="L1041" s="11"/>
      <c r="M1041" s="15"/>
      <c r="N1041" s="15"/>
      <c r="O1041" s="15"/>
      <c r="P1041" s="15"/>
      <c r="Q1041" s="16"/>
      <c r="R1041" s="16"/>
      <c r="S1041" s="16"/>
      <c r="T1041" s="17"/>
      <c r="U1041" s="11"/>
      <c r="V1041" s="16"/>
      <c r="W1041" s="11"/>
      <c r="X1041" s="11"/>
      <c r="Y1041" s="15"/>
      <c r="Z1041" s="11"/>
    </row>
    <row r="1042" spans="1:26" x14ac:dyDescent="0.25">
      <c r="A1042" s="11"/>
      <c r="B1042" s="11"/>
      <c r="C1042" s="11"/>
      <c r="D1042" s="11"/>
      <c r="E1042" s="12"/>
      <c r="F1042" s="13"/>
      <c r="G1042" s="13"/>
      <c r="H1042" s="13"/>
      <c r="I1042" s="11"/>
      <c r="J1042" s="11"/>
      <c r="K1042" s="11"/>
      <c r="L1042" s="11"/>
      <c r="M1042" s="15"/>
      <c r="N1042" s="15"/>
      <c r="O1042" s="15"/>
      <c r="P1042" s="15"/>
      <c r="Q1042" s="16"/>
      <c r="R1042" s="16"/>
      <c r="S1042" s="16"/>
      <c r="T1042" s="17"/>
      <c r="U1042" s="11"/>
      <c r="V1042" s="16"/>
      <c r="W1042" s="11"/>
      <c r="X1042" s="11"/>
      <c r="Y1042" s="15"/>
      <c r="Z1042" s="11"/>
    </row>
    <row r="1043" spans="1:26" x14ac:dyDescent="0.25">
      <c r="A1043" s="18"/>
      <c r="B1043" s="18"/>
      <c r="C1043" s="18"/>
      <c r="D1043" s="18"/>
      <c r="E1043" s="19"/>
      <c r="F1043" s="20"/>
      <c r="G1043" s="13"/>
      <c r="H1043" s="20"/>
      <c r="I1043" s="18"/>
      <c r="J1043" s="18"/>
      <c r="K1043" s="18"/>
      <c r="L1043" s="18"/>
      <c r="M1043" s="21"/>
      <c r="N1043" s="21"/>
      <c r="O1043" s="21"/>
      <c r="P1043" s="21"/>
      <c r="Q1043" s="22"/>
      <c r="R1043" s="19"/>
      <c r="S1043" s="22"/>
      <c r="T1043" s="23"/>
      <c r="U1043" s="18"/>
      <c r="V1043" s="22"/>
      <c r="W1043" s="18"/>
      <c r="X1043" s="18"/>
      <c r="Y1043" s="21"/>
      <c r="Z1043" s="18"/>
    </row>
    <row r="1044" spans="1:26" x14ac:dyDescent="0.25">
      <c r="A1044" s="11"/>
      <c r="B1044" s="11"/>
      <c r="C1044" s="11"/>
      <c r="D1044" s="11"/>
      <c r="E1044" s="12"/>
      <c r="F1044" s="13"/>
      <c r="G1044" s="13"/>
      <c r="H1044" s="13"/>
      <c r="I1044" s="11"/>
      <c r="J1044" s="11"/>
      <c r="K1044" s="11"/>
      <c r="L1044" s="11"/>
      <c r="M1044" s="15"/>
      <c r="N1044" s="15"/>
      <c r="O1044" s="15"/>
      <c r="P1044" s="15"/>
      <c r="Q1044" s="16"/>
      <c r="R1044" s="16"/>
      <c r="S1044" s="16"/>
      <c r="T1044" s="17"/>
      <c r="U1044" s="11"/>
      <c r="V1044" s="16"/>
      <c r="W1044" s="11"/>
      <c r="X1044" s="11"/>
      <c r="Y1044" s="15"/>
      <c r="Z1044" s="11"/>
    </row>
    <row r="1045" spans="1:26" x14ac:dyDescent="0.25">
      <c r="A1045" s="11"/>
      <c r="B1045" s="11"/>
      <c r="C1045" s="11"/>
      <c r="D1045" s="11"/>
      <c r="E1045" s="12"/>
      <c r="F1045" s="13"/>
      <c r="G1045" s="13"/>
      <c r="H1045" s="13"/>
      <c r="I1045" s="11"/>
      <c r="J1045" s="11"/>
      <c r="K1045" s="11"/>
      <c r="L1045" s="11"/>
      <c r="M1045" s="15"/>
      <c r="N1045" s="15"/>
      <c r="O1045" s="15"/>
      <c r="P1045" s="15"/>
      <c r="Q1045" s="16"/>
      <c r="R1045" s="16"/>
      <c r="S1045" s="16"/>
      <c r="T1045" s="17"/>
      <c r="U1045" s="11"/>
      <c r="V1045" s="16"/>
      <c r="W1045" s="11"/>
      <c r="X1045" s="11"/>
      <c r="Y1045" s="15"/>
      <c r="Z1045" s="11"/>
    </row>
    <row r="1046" spans="1:26" x14ac:dyDescent="0.25">
      <c r="A1046" s="11"/>
      <c r="B1046" s="11"/>
      <c r="C1046" s="11"/>
      <c r="D1046" s="11"/>
      <c r="E1046" s="12"/>
      <c r="F1046" s="13"/>
      <c r="G1046" s="13"/>
      <c r="H1046" s="13"/>
      <c r="I1046" s="11"/>
      <c r="J1046" s="11"/>
      <c r="K1046" s="11"/>
      <c r="L1046" s="11"/>
      <c r="M1046" s="15"/>
      <c r="N1046" s="15"/>
      <c r="O1046" s="15"/>
      <c r="P1046" s="15"/>
      <c r="Q1046" s="16"/>
      <c r="R1046" s="16"/>
      <c r="S1046" s="16"/>
      <c r="T1046" s="17"/>
      <c r="U1046" s="11"/>
      <c r="V1046" s="16"/>
      <c r="W1046" s="11"/>
      <c r="X1046" s="11"/>
      <c r="Y1046" s="15"/>
      <c r="Z1046" s="11"/>
    </row>
    <row r="1047" spans="1:26" x14ac:dyDescent="0.25">
      <c r="A1047" s="11"/>
      <c r="B1047" s="11"/>
      <c r="C1047" s="11"/>
      <c r="D1047" s="11"/>
      <c r="E1047" s="12"/>
      <c r="F1047" s="13"/>
      <c r="G1047" s="13"/>
      <c r="H1047" s="13"/>
      <c r="I1047" s="11"/>
      <c r="J1047" s="11"/>
      <c r="K1047" s="11"/>
      <c r="L1047" s="11"/>
      <c r="M1047" s="15"/>
      <c r="N1047" s="15"/>
      <c r="O1047" s="15"/>
      <c r="P1047" s="15"/>
      <c r="Q1047" s="16"/>
      <c r="R1047" s="16"/>
      <c r="S1047" s="16"/>
      <c r="T1047" s="17"/>
      <c r="U1047" s="11"/>
      <c r="V1047" s="16"/>
      <c r="W1047" s="11"/>
      <c r="X1047" s="11"/>
      <c r="Y1047" s="15"/>
      <c r="Z1047" s="11"/>
    </row>
    <row r="1048" spans="1:26" x14ac:dyDescent="0.25">
      <c r="A1048" s="11"/>
      <c r="B1048" s="11"/>
      <c r="C1048" s="11"/>
      <c r="D1048" s="11"/>
      <c r="E1048" s="12"/>
      <c r="F1048" s="13"/>
      <c r="G1048" s="13"/>
      <c r="H1048" s="13"/>
      <c r="I1048" s="11"/>
      <c r="J1048" s="11"/>
      <c r="K1048" s="11"/>
      <c r="L1048" s="11"/>
      <c r="M1048" s="15"/>
      <c r="N1048" s="15"/>
      <c r="O1048" s="15"/>
      <c r="P1048" s="15"/>
      <c r="Q1048" s="16"/>
      <c r="R1048" s="16"/>
      <c r="S1048" s="16"/>
      <c r="T1048" s="17"/>
      <c r="U1048" s="11"/>
      <c r="V1048" s="16"/>
      <c r="W1048" s="11"/>
      <c r="X1048" s="11"/>
      <c r="Y1048" s="15"/>
      <c r="Z1048" s="11"/>
    </row>
    <row r="1049" spans="1:26" x14ac:dyDescent="0.25">
      <c r="A1049" s="18"/>
      <c r="B1049" s="18"/>
      <c r="C1049" s="18"/>
      <c r="D1049" s="18"/>
      <c r="E1049" s="19"/>
      <c r="F1049" s="20"/>
      <c r="G1049" s="13"/>
      <c r="H1049" s="20"/>
      <c r="I1049" s="18"/>
      <c r="J1049" s="18"/>
      <c r="K1049" s="18"/>
      <c r="L1049" s="18"/>
      <c r="M1049" s="21"/>
      <c r="N1049" s="21"/>
      <c r="O1049" s="21"/>
      <c r="P1049" s="21"/>
      <c r="Q1049" s="22"/>
      <c r="R1049" s="19"/>
      <c r="S1049" s="22"/>
      <c r="T1049" s="23"/>
      <c r="U1049" s="18"/>
      <c r="V1049" s="22"/>
      <c r="W1049" s="18"/>
      <c r="X1049" s="18"/>
      <c r="Y1049" s="21"/>
      <c r="Z1049" s="18"/>
    </row>
    <row r="1050" spans="1:26" x14ac:dyDescent="0.25">
      <c r="A1050" s="11"/>
      <c r="B1050" s="11"/>
      <c r="C1050" s="11"/>
      <c r="D1050" s="11"/>
      <c r="E1050" s="12"/>
      <c r="F1050" s="13"/>
      <c r="G1050" s="13"/>
      <c r="H1050" s="13"/>
      <c r="I1050" s="11"/>
      <c r="J1050" s="11"/>
      <c r="K1050" s="11"/>
      <c r="L1050" s="11"/>
      <c r="M1050" s="15"/>
      <c r="N1050" s="15"/>
      <c r="O1050" s="15"/>
      <c r="P1050" s="15"/>
      <c r="Q1050" s="16"/>
      <c r="R1050" s="16"/>
      <c r="S1050" s="16"/>
      <c r="T1050" s="17"/>
      <c r="U1050" s="11"/>
      <c r="V1050" s="16"/>
      <c r="W1050" s="11"/>
      <c r="X1050" s="11"/>
      <c r="Y1050" s="15"/>
      <c r="Z1050" s="11"/>
    </row>
    <row r="1051" spans="1:26" x14ac:dyDescent="0.25">
      <c r="A1051" s="11"/>
      <c r="B1051" s="11"/>
      <c r="C1051" s="11"/>
      <c r="D1051" s="11"/>
      <c r="E1051" s="12"/>
      <c r="F1051" s="13"/>
      <c r="G1051" s="13"/>
      <c r="H1051" s="13"/>
      <c r="I1051" s="11"/>
      <c r="J1051" s="11"/>
      <c r="K1051" s="11"/>
      <c r="L1051" s="11"/>
      <c r="M1051" s="15"/>
      <c r="N1051" s="15"/>
      <c r="O1051" s="15"/>
      <c r="P1051" s="15"/>
      <c r="Q1051" s="16"/>
      <c r="R1051" s="16"/>
      <c r="S1051" s="16"/>
      <c r="T1051" s="17"/>
      <c r="U1051" s="11"/>
      <c r="V1051" s="16"/>
      <c r="W1051" s="11"/>
      <c r="X1051" s="11"/>
      <c r="Y1051" s="15"/>
      <c r="Z1051" s="11"/>
    </row>
    <row r="1052" spans="1:26" x14ac:dyDescent="0.25">
      <c r="A1052" s="11"/>
      <c r="B1052" s="11"/>
      <c r="C1052" s="11"/>
      <c r="D1052" s="11"/>
      <c r="E1052" s="12"/>
      <c r="F1052" s="13"/>
      <c r="G1052" s="13"/>
      <c r="H1052" s="13"/>
      <c r="I1052" s="11"/>
      <c r="J1052" s="11"/>
      <c r="K1052" s="11"/>
      <c r="L1052" s="11"/>
      <c r="M1052" s="15"/>
      <c r="N1052" s="15"/>
      <c r="O1052" s="15"/>
      <c r="P1052" s="15"/>
      <c r="Q1052" s="16"/>
      <c r="R1052" s="16"/>
      <c r="S1052" s="16"/>
      <c r="T1052" s="17"/>
      <c r="U1052" s="11"/>
      <c r="V1052" s="16"/>
      <c r="W1052" s="11"/>
      <c r="X1052" s="11"/>
      <c r="Y1052" s="15"/>
      <c r="Z1052" s="11"/>
    </row>
    <row r="1053" spans="1:26" x14ac:dyDescent="0.25">
      <c r="A1053" s="11"/>
      <c r="B1053" s="11"/>
      <c r="C1053" s="11"/>
      <c r="D1053" s="11"/>
      <c r="E1053" s="12"/>
      <c r="F1053" s="13"/>
      <c r="G1053" s="13"/>
      <c r="H1053" s="13"/>
      <c r="I1053" s="11"/>
      <c r="J1053" s="11"/>
      <c r="K1053" s="11"/>
      <c r="L1053" s="11"/>
      <c r="M1053" s="15"/>
      <c r="N1053" s="15"/>
      <c r="O1053" s="15"/>
      <c r="P1053" s="15"/>
      <c r="Q1053" s="16"/>
      <c r="R1053" s="16"/>
      <c r="S1053" s="16"/>
      <c r="T1053" s="17"/>
      <c r="U1053" s="11"/>
      <c r="V1053" s="16"/>
      <c r="W1053" s="11"/>
      <c r="X1053" s="11"/>
      <c r="Y1053" s="15"/>
      <c r="Z1053" s="11"/>
    </row>
    <row r="1054" spans="1:26" x14ac:dyDescent="0.25">
      <c r="A1054" s="18"/>
      <c r="B1054" s="18"/>
      <c r="C1054" s="18"/>
      <c r="D1054" s="18"/>
      <c r="E1054" s="19"/>
      <c r="F1054" s="20"/>
      <c r="G1054" s="13"/>
      <c r="H1054" s="20"/>
      <c r="I1054" s="18"/>
      <c r="J1054" s="18"/>
      <c r="K1054" s="18"/>
      <c r="L1054" s="18"/>
      <c r="M1054" s="21"/>
      <c r="N1054" s="21"/>
      <c r="O1054" s="21"/>
      <c r="P1054" s="21"/>
      <c r="Q1054" s="22"/>
      <c r="R1054" s="19"/>
      <c r="S1054" s="22"/>
      <c r="T1054" s="23"/>
      <c r="U1054" s="18"/>
      <c r="V1054" s="22"/>
      <c r="W1054" s="18"/>
      <c r="X1054" s="18"/>
      <c r="Y1054" s="21"/>
      <c r="Z1054" s="18"/>
    </row>
    <row r="1055" spans="1:26" x14ac:dyDescent="0.25">
      <c r="A1055" s="11"/>
      <c r="B1055" s="11"/>
      <c r="C1055" s="11"/>
      <c r="D1055" s="11"/>
      <c r="E1055" s="12"/>
      <c r="F1055" s="13"/>
      <c r="G1055" s="13"/>
      <c r="H1055" s="13"/>
      <c r="I1055" s="11"/>
      <c r="J1055" s="11"/>
      <c r="K1055" s="11"/>
      <c r="L1055" s="11"/>
      <c r="M1055" s="15"/>
      <c r="N1055" s="15"/>
      <c r="O1055" s="15"/>
      <c r="P1055" s="15"/>
      <c r="Q1055" s="16"/>
      <c r="R1055" s="16"/>
      <c r="S1055" s="16"/>
      <c r="T1055" s="17"/>
      <c r="U1055" s="11"/>
      <c r="V1055" s="16"/>
      <c r="W1055" s="11"/>
      <c r="X1055" s="11"/>
      <c r="Y1055" s="15"/>
      <c r="Z1055" s="11"/>
    </row>
    <row r="1056" spans="1:26" x14ac:dyDescent="0.25">
      <c r="A1056" s="11"/>
      <c r="B1056" s="11"/>
      <c r="C1056" s="11"/>
      <c r="D1056" s="11"/>
      <c r="E1056" s="12"/>
      <c r="F1056" s="13"/>
      <c r="G1056" s="13"/>
      <c r="H1056" s="13"/>
      <c r="I1056" s="11"/>
      <c r="J1056" s="11"/>
      <c r="K1056" s="11"/>
      <c r="L1056" s="11"/>
      <c r="M1056" s="15"/>
      <c r="N1056" s="15"/>
      <c r="O1056" s="15"/>
      <c r="P1056" s="15"/>
      <c r="Q1056" s="16"/>
      <c r="R1056" s="16"/>
      <c r="S1056" s="16"/>
      <c r="T1056" s="17"/>
      <c r="U1056" s="11"/>
      <c r="V1056" s="16"/>
      <c r="W1056" s="11"/>
      <c r="X1056" s="11"/>
      <c r="Y1056" s="15"/>
      <c r="Z1056" s="11"/>
    </row>
    <row r="1057" spans="1:26" x14ac:dyDescent="0.25">
      <c r="A1057" s="11"/>
      <c r="B1057" s="11"/>
      <c r="C1057" s="11"/>
      <c r="D1057" s="11"/>
      <c r="E1057" s="12"/>
      <c r="F1057" s="13"/>
      <c r="G1057" s="13"/>
      <c r="H1057" s="13"/>
      <c r="I1057" s="11"/>
      <c r="J1057" s="11"/>
      <c r="K1057" s="11"/>
      <c r="L1057" s="11"/>
      <c r="M1057" s="15"/>
      <c r="N1057" s="15"/>
      <c r="O1057" s="15"/>
      <c r="P1057" s="15"/>
      <c r="Q1057" s="16"/>
      <c r="R1057" s="16"/>
      <c r="S1057" s="16"/>
      <c r="T1057" s="17"/>
      <c r="U1057" s="11"/>
      <c r="V1057" s="16"/>
      <c r="W1057" s="11"/>
      <c r="X1057" s="11"/>
      <c r="Y1057" s="15"/>
      <c r="Z1057" s="11"/>
    </row>
    <row r="1058" spans="1:26" x14ac:dyDescent="0.25">
      <c r="A1058" s="11"/>
      <c r="B1058" s="11"/>
      <c r="C1058" s="11"/>
      <c r="D1058" s="11"/>
      <c r="E1058" s="12"/>
      <c r="F1058" s="13"/>
      <c r="G1058" s="13"/>
      <c r="H1058" s="13"/>
      <c r="I1058" s="11"/>
      <c r="J1058" s="11"/>
      <c r="K1058" s="11"/>
      <c r="L1058" s="11"/>
      <c r="M1058" s="15"/>
      <c r="N1058" s="15"/>
      <c r="O1058" s="15"/>
      <c r="P1058" s="15"/>
      <c r="Q1058" s="16"/>
      <c r="R1058" s="16"/>
      <c r="S1058" s="16"/>
      <c r="T1058" s="17"/>
      <c r="U1058" s="11"/>
      <c r="V1058" s="16"/>
      <c r="W1058" s="11"/>
      <c r="X1058" s="11"/>
      <c r="Y1058" s="15"/>
      <c r="Z1058" s="11"/>
    </row>
    <row r="1059" spans="1:26" x14ac:dyDescent="0.25">
      <c r="A1059" s="19"/>
      <c r="B1059" s="19"/>
      <c r="C1059" s="19"/>
      <c r="D1059" s="19"/>
      <c r="E1059" s="19"/>
      <c r="F1059" s="20"/>
      <c r="G1059" s="13"/>
      <c r="H1059" s="20"/>
      <c r="I1059" s="19"/>
      <c r="J1059" s="19"/>
      <c r="K1059" s="19"/>
      <c r="L1059" s="19"/>
      <c r="M1059" s="21"/>
      <c r="N1059" s="21"/>
      <c r="O1059" s="21"/>
      <c r="P1059" s="21"/>
      <c r="Q1059" s="22"/>
      <c r="R1059" s="19"/>
      <c r="S1059" s="22"/>
      <c r="T1059" s="23"/>
      <c r="U1059" s="19"/>
      <c r="V1059" s="22"/>
      <c r="W1059" s="19"/>
      <c r="X1059" s="19"/>
      <c r="Y1059" s="21"/>
      <c r="Z1059" s="19"/>
    </row>
    <row r="1060" spans="1:26" x14ac:dyDescent="0.25">
      <c r="A1060" s="11"/>
      <c r="B1060" s="11"/>
      <c r="C1060" s="11"/>
      <c r="D1060" s="11"/>
      <c r="E1060" s="12"/>
      <c r="F1060" s="13"/>
      <c r="G1060" s="13"/>
      <c r="H1060" s="13"/>
      <c r="I1060" s="11"/>
      <c r="J1060" s="11"/>
      <c r="K1060" s="11"/>
      <c r="L1060" s="11"/>
      <c r="M1060" s="15"/>
      <c r="N1060" s="15"/>
      <c r="O1060" s="15"/>
      <c r="P1060" s="15"/>
      <c r="Q1060" s="16"/>
      <c r="R1060" s="16"/>
      <c r="S1060" s="16"/>
      <c r="T1060" s="17"/>
      <c r="U1060" s="11"/>
      <c r="V1060" s="16"/>
      <c r="W1060" s="11"/>
      <c r="X1060" s="11"/>
      <c r="Y1060" s="15"/>
      <c r="Z1060" s="11"/>
    </row>
    <row r="1061" spans="1:26" x14ac:dyDescent="0.25">
      <c r="A1061" s="11"/>
      <c r="B1061" s="11"/>
      <c r="C1061" s="11"/>
      <c r="D1061" s="11"/>
      <c r="E1061" s="12"/>
      <c r="F1061" s="13"/>
      <c r="G1061" s="13"/>
      <c r="H1061" s="13"/>
      <c r="I1061" s="11"/>
      <c r="J1061" s="11"/>
      <c r="K1061" s="11"/>
      <c r="L1061" s="11"/>
      <c r="M1061" s="15"/>
      <c r="N1061" s="15"/>
      <c r="O1061" s="15"/>
      <c r="P1061" s="15"/>
      <c r="Q1061" s="16"/>
      <c r="R1061" s="16"/>
      <c r="S1061" s="16"/>
      <c r="T1061" s="17"/>
      <c r="U1061" s="11"/>
      <c r="V1061" s="16"/>
      <c r="W1061" s="11"/>
      <c r="X1061" s="11"/>
      <c r="Y1061" s="15"/>
      <c r="Z1061" s="11"/>
    </row>
    <row r="1062" spans="1:26" x14ac:dyDescent="0.25">
      <c r="A1062" s="11"/>
      <c r="B1062" s="11"/>
      <c r="C1062" s="11"/>
      <c r="D1062" s="11"/>
      <c r="E1062" s="12"/>
      <c r="F1062" s="13"/>
      <c r="G1062" s="13"/>
      <c r="H1062" s="13"/>
      <c r="I1062" s="11"/>
      <c r="J1062" s="11"/>
      <c r="K1062" s="11"/>
      <c r="L1062" s="11"/>
      <c r="M1062" s="15"/>
      <c r="N1062" s="15"/>
      <c r="O1062" s="15"/>
      <c r="P1062" s="15"/>
      <c r="Q1062" s="16"/>
      <c r="R1062" s="16"/>
      <c r="S1062" s="16"/>
      <c r="T1062" s="17"/>
      <c r="U1062" s="11"/>
      <c r="V1062" s="16"/>
      <c r="W1062" s="11"/>
      <c r="X1062" s="11"/>
      <c r="Y1062" s="15"/>
      <c r="Z1062" s="11"/>
    </row>
    <row r="1063" spans="1:26" x14ac:dyDescent="0.25">
      <c r="A1063" s="11"/>
      <c r="B1063" s="11"/>
      <c r="C1063" s="11"/>
      <c r="D1063" s="11"/>
      <c r="E1063" s="12"/>
      <c r="F1063" s="13"/>
      <c r="G1063" s="13"/>
      <c r="H1063" s="13"/>
      <c r="I1063" s="11"/>
      <c r="J1063" s="11"/>
      <c r="K1063" s="11"/>
      <c r="L1063" s="11"/>
      <c r="M1063" s="15"/>
      <c r="N1063" s="15"/>
      <c r="O1063" s="15"/>
      <c r="P1063" s="15"/>
      <c r="Q1063" s="16"/>
      <c r="R1063" s="16"/>
      <c r="S1063" s="16"/>
      <c r="T1063" s="17"/>
      <c r="U1063" s="11"/>
      <c r="V1063" s="16"/>
      <c r="W1063" s="11"/>
      <c r="X1063" s="11"/>
      <c r="Y1063" s="15"/>
      <c r="Z1063" s="11"/>
    </row>
    <row r="1064" spans="1:26" x14ac:dyDescent="0.25">
      <c r="A1064" s="18"/>
      <c r="B1064" s="18"/>
      <c r="C1064" s="18"/>
      <c r="D1064" s="18"/>
      <c r="E1064" s="19"/>
      <c r="F1064" s="20"/>
      <c r="G1064" s="13"/>
      <c r="H1064" s="20"/>
      <c r="I1064" s="18"/>
      <c r="J1064" s="18"/>
      <c r="K1064" s="18"/>
      <c r="L1064" s="18"/>
      <c r="M1064" s="21"/>
      <c r="N1064" s="21"/>
      <c r="O1064" s="21"/>
      <c r="P1064" s="21"/>
      <c r="Q1064" s="22"/>
      <c r="R1064" s="19"/>
      <c r="S1064" s="22"/>
      <c r="T1064" s="23"/>
      <c r="U1064" s="18"/>
      <c r="V1064" s="22"/>
      <c r="W1064" s="18"/>
      <c r="X1064" s="18"/>
      <c r="Y1064" s="21"/>
      <c r="Z1064" s="18"/>
    </row>
    <row r="1065" spans="1:26" x14ac:dyDescent="0.25">
      <c r="A1065" s="18"/>
      <c r="B1065" s="18"/>
      <c r="C1065" s="18"/>
      <c r="D1065" s="18"/>
      <c r="E1065" s="19"/>
      <c r="F1065" s="20"/>
      <c r="G1065" s="13"/>
      <c r="H1065" s="20"/>
      <c r="I1065" s="18"/>
      <c r="J1065" s="18"/>
      <c r="K1065" s="18"/>
      <c r="L1065" s="18"/>
      <c r="M1065" s="21"/>
      <c r="N1065" s="21"/>
      <c r="O1065" s="21"/>
      <c r="P1065" s="21"/>
      <c r="Q1065" s="22"/>
      <c r="R1065" s="19"/>
      <c r="S1065" s="22"/>
      <c r="T1065" s="23"/>
      <c r="U1065" s="18"/>
      <c r="V1065" s="22"/>
      <c r="W1065" s="18"/>
      <c r="X1065" s="18"/>
      <c r="Y1065" s="21"/>
      <c r="Z1065" s="18"/>
    </row>
    <row r="1066" spans="1:26" x14ac:dyDescent="0.25">
      <c r="A1066" s="11"/>
      <c r="B1066" s="11"/>
      <c r="C1066" s="11"/>
      <c r="D1066" s="11"/>
      <c r="E1066" s="12"/>
      <c r="F1066" s="13"/>
      <c r="G1066" s="13"/>
      <c r="H1066" s="13"/>
      <c r="I1066" s="11"/>
      <c r="J1066" s="11"/>
      <c r="K1066" s="11"/>
      <c r="L1066" s="11"/>
      <c r="M1066" s="15"/>
      <c r="N1066" s="15"/>
      <c r="O1066" s="15"/>
      <c r="P1066" s="15"/>
      <c r="Q1066" s="16"/>
      <c r="R1066" s="16"/>
      <c r="S1066" s="16"/>
      <c r="T1066" s="17"/>
      <c r="U1066" s="11"/>
      <c r="V1066" s="16"/>
      <c r="W1066" s="11"/>
      <c r="X1066" s="11"/>
      <c r="Y1066" s="15"/>
      <c r="Z1066" s="11"/>
    </row>
    <row r="1067" spans="1:26" x14ac:dyDescent="0.25">
      <c r="A1067" s="11"/>
      <c r="B1067" s="11"/>
      <c r="C1067" s="11"/>
      <c r="D1067" s="11"/>
      <c r="E1067" s="12"/>
      <c r="F1067" s="13"/>
      <c r="G1067" s="13"/>
      <c r="H1067" s="13"/>
      <c r="I1067" s="11"/>
      <c r="J1067" s="11"/>
      <c r="K1067" s="11"/>
      <c r="L1067" s="11"/>
      <c r="M1067" s="15"/>
      <c r="N1067" s="15"/>
      <c r="O1067" s="15"/>
      <c r="P1067" s="15"/>
      <c r="Q1067" s="16"/>
      <c r="R1067" s="16"/>
      <c r="S1067" s="16"/>
      <c r="T1067" s="17"/>
      <c r="U1067" s="11"/>
      <c r="V1067" s="16"/>
      <c r="W1067" s="11"/>
      <c r="X1067" s="11"/>
      <c r="Y1067" s="15"/>
      <c r="Z1067" s="11"/>
    </row>
    <row r="1068" spans="1:26" x14ac:dyDescent="0.25">
      <c r="A1068" s="11"/>
      <c r="B1068" s="11"/>
      <c r="C1068" s="11"/>
      <c r="D1068" s="11"/>
      <c r="E1068" s="12"/>
      <c r="F1068" s="13"/>
      <c r="G1068" s="13"/>
      <c r="H1068" s="13"/>
      <c r="I1068" s="11"/>
      <c r="J1068" s="11"/>
      <c r="K1068" s="11"/>
      <c r="L1068" s="11"/>
      <c r="M1068" s="15"/>
      <c r="N1068" s="15"/>
      <c r="O1068" s="15"/>
      <c r="P1068" s="15"/>
      <c r="Q1068" s="16"/>
      <c r="R1068" s="16"/>
      <c r="S1068" s="16"/>
      <c r="T1068" s="17"/>
      <c r="U1068" s="11"/>
      <c r="V1068" s="16"/>
      <c r="W1068" s="11"/>
      <c r="X1068" s="11"/>
      <c r="Y1068" s="15"/>
      <c r="Z1068" s="11"/>
    </row>
    <row r="1069" spans="1:26" x14ac:dyDescent="0.25">
      <c r="A1069" s="18"/>
      <c r="B1069" s="18"/>
      <c r="C1069" s="18"/>
      <c r="D1069" s="18"/>
      <c r="E1069" s="19"/>
      <c r="F1069" s="20"/>
      <c r="G1069" s="13"/>
      <c r="H1069" s="20"/>
      <c r="I1069" s="18"/>
      <c r="J1069" s="18"/>
      <c r="K1069" s="18"/>
      <c r="L1069" s="18"/>
      <c r="M1069" s="21"/>
      <c r="N1069" s="21"/>
      <c r="O1069" s="21"/>
      <c r="P1069" s="21"/>
      <c r="Q1069" s="22"/>
      <c r="R1069" s="19"/>
      <c r="S1069" s="22"/>
      <c r="T1069" s="23"/>
      <c r="U1069" s="18"/>
      <c r="V1069" s="22"/>
      <c r="W1069" s="18"/>
      <c r="X1069" s="18"/>
      <c r="Y1069" s="21"/>
      <c r="Z1069" s="18"/>
    </row>
    <row r="1070" spans="1:26" x14ac:dyDescent="0.25">
      <c r="A1070" s="19"/>
      <c r="B1070" s="19"/>
      <c r="C1070" s="19"/>
      <c r="D1070" s="19"/>
      <c r="E1070" s="19"/>
      <c r="F1070" s="20"/>
      <c r="G1070" s="13"/>
      <c r="H1070" s="20"/>
      <c r="I1070" s="19"/>
      <c r="J1070" s="19"/>
      <c r="K1070" s="19"/>
      <c r="L1070" s="19"/>
      <c r="M1070" s="21"/>
      <c r="N1070" s="21"/>
      <c r="O1070" s="21"/>
      <c r="P1070" s="21"/>
      <c r="Q1070" s="22"/>
      <c r="R1070" s="19"/>
      <c r="S1070" s="22"/>
      <c r="T1070" s="23"/>
      <c r="U1070" s="19"/>
      <c r="V1070" s="22"/>
      <c r="W1070" s="19"/>
      <c r="X1070" s="19"/>
      <c r="Y1070" s="21"/>
      <c r="Z1070" s="19"/>
    </row>
    <row r="1071" spans="1:26" x14ac:dyDescent="0.25">
      <c r="A1071" s="11"/>
      <c r="B1071" s="11"/>
      <c r="C1071" s="11"/>
      <c r="D1071" s="11"/>
      <c r="E1071" s="12"/>
      <c r="F1071" s="13"/>
      <c r="G1071" s="13"/>
      <c r="H1071" s="13"/>
      <c r="I1071" s="11"/>
      <c r="J1071" s="11"/>
      <c r="K1071" s="11"/>
      <c r="L1071" s="11"/>
      <c r="M1071" s="15"/>
      <c r="N1071" s="15"/>
      <c r="O1071" s="15"/>
      <c r="P1071" s="15"/>
      <c r="Q1071" s="16"/>
      <c r="R1071" s="16"/>
      <c r="S1071" s="16"/>
      <c r="T1071" s="17"/>
      <c r="U1071" s="11"/>
      <c r="V1071" s="16"/>
      <c r="W1071" s="11"/>
      <c r="X1071" s="11"/>
      <c r="Y1071" s="15"/>
      <c r="Z1071" s="11"/>
    </row>
    <row r="1072" spans="1:26" x14ac:dyDescent="0.25">
      <c r="A1072" s="11"/>
      <c r="B1072" s="11"/>
      <c r="C1072" s="11"/>
      <c r="D1072" s="11"/>
      <c r="E1072" s="12"/>
      <c r="F1072" s="13"/>
      <c r="G1072" s="13"/>
      <c r="H1072" s="13"/>
      <c r="I1072" s="11"/>
      <c r="J1072" s="11"/>
      <c r="K1072" s="11"/>
      <c r="L1072" s="11"/>
      <c r="M1072" s="15"/>
      <c r="N1072" s="15"/>
      <c r="O1072" s="15"/>
      <c r="P1072" s="15"/>
      <c r="Q1072" s="16"/>
      <c r="R1072" s="16"/>
      <c r="S1072" s="16"/>
      <c r="T1072" s="17"/>
      <c r="U1072" s="11"/>
      <c r="V1072" s="16"/>
      <c r="W1072" s="11"/>
      <c r="X1072" s="11"/>
      <c r="Y1072" s="15"/>
      <c r="Z1072" s="11"/>
    </row>
    <row r="1073" spans="1:26" x14ac:dyDescent="0.25">
      <c r="A1073" s="11"/>
      <c r="B1073" s="11"/>
      <c r="C1073" s="11"/>
      <c r="D1073" s="11"/>
      <c r="E1073" s="12"/>
      <c r="F1073" s="13"/>
      <c r="G1073" s="13"/>
      <c r="H1073" s="13"/>
      <c r="I1073" s="11"/>
      <c r="J1073" s="11"/>
      <c r="K1073" s="11"/>
      <c r="L1073" s="11"/>
      <c r="M1073" s="15"/>
      <c r="N1073" s="15"/>
      <c r="O1073" s="15"/>
      <c r="P1073" s="15"/>
      <c r="Q1073" s="16"/>
      <c r="R1073" s="16"/>
      <c r="S1073" s="16"/>
      <c r="T1073" s="17"/>
      <c r="U1073" s="11"/>
      <c r="V1073" s="16"/>
      <c r="W1073" s="11"/>
      <c r="X1073" s="11"/>
      <c r="Y1073" s="15"/>
      <c r="Z1073" s="11"/>
    </row>
    <row r="1074" spans="1:26" x14ac:dyDescent="0.25">
      <c r="A1074" s="11"/>
      <c r="B1074" s="11"/>
      <c r="C1074" s="11"/>
      <c r="D1074" s="11"/>
      <c r="E1074" s="12"/>
      <c r="F1074" s="13"/>
      <c r="G1074" s="13"/>
      <c r="H1074" s="13"/>
      <c r="I1074" s="11"/>
      <c r="J1074" s="11"/>
      <c r="K1074" s="11"/>
      <c r="L1074" s="11"/>
      <c r="M1074" s="15"/>
      <c r="N1074" s="15"/>
      <c r="O1074" s="15"/>
      <c r="P1074" s="15"/>
      <c r="Q1074" s="16"/>
      <c r="R1074" s="16"/>
      <c r="S1074" s="16"/>
      <c r="T1074" s="17"/>
      <c r="U1074" s="11"/>
      <c r="V1074" s="16"/>
      <c r="W1074" s="11"/>
      <c r="X1074" s="11"/>
      <c r="Y1074" s="15"/>
      <c r="Z1074" s="11"/>
    </row>
    <row r="1075" spans="1:26" x14ac:dyDescent="0.25">
      <c r="A1075" s="11"/>
      <c r="B1075" s="11"/>
      <c r="C1075" s="11"/>
      <c r="D1075" s="11"/>
      <c r="E1075" s="12"/>
      <c r="F1075" s="13"/>
      <c r="G1075" s="13"/>
      <c r="H1075" s="13"/>
      <c r="I1075" s="11"/>
      <c r="J1075" s="11"/>
      <c r="K1075" s="11"/>
      <c r="L1075" s="11"/>
      <c r="M1075" s="15"/>
      <c r="N1075" s="15"/>
      <c r="O1075" s="15"/>
      <c r="P1075" s="15"/>
      <c r="Q1075" s="16"/>
      <c r="R1075" s="16"/>
      <c r="S1075" s="16"/>
      <c r="T1075" s="17"/>
      <c r="U1075" s="11"/>
      <c r="V1075" s="16"/>
      <c r="W1075" s="11"/>
      <c r="X1075" s="11"/>
      <c r="Y1075" s="15"/>
      <c r="Z1075" s="11"/>
    </row>
    <row r="1076" spans="1:26" x14ac:dyDescent="0.25">
      <c r="A1076" s="11"/>
      <c r="B1076" s="11"/>
      <c r="C1076" s="11"/>
      <c r="D1076" s="11"/>
      <c r="E1076" s="12"/>
      <c r="F1076" s="13"/>
      <c r="G1076" s="13"/>
      <c r="H1076" s="13"/>
      <c r="I1076" s="11"/>
      <c r="J1076" s="11"/>
      <c r="K1076" s="11"/>
      <c r="L1076" s="11"/>
      <c r="M1076" s="15"/>
      <c r="N1076" s="15"/>
      <c r="O1076" s="15"/>
      <c r="P1076" s="15"/>
      <c r="Q1076" s="16"/>
      <c r="R1076" s="16"/>
      <c r="S1076" s="16"/>
      <c r="T1076" s="17"/>
      <c r="U1076" s="11"/>
      <c r="V1076" s="16"/>
      <c r="W1076" s="11"/>
      <c r="X1076" s="11"/>
      <c r="Y1076" s="15"/>
      <c r="Z1076" s="11"/>
    </row>
    <row r="1077" spans="1:26" x14ac:dyDescent="0.25">
      <c r="A1077" s="11"/>
      <c r="B1077" s="11"/>
      <c r="C1077" s="11"/>
      <c r="D1077" s="11"/>
      <c r="E1077" s="12"/>
      <c r="F1077" s="13"/>
      <c r="G1077" s="13"/>
      <c r="H1077" s="13"/>
      <c r="I1077" s="11"/>
      <c r="J1077" s="11"/>
      <c r="K1077" s="11"/>
      <c r="L1077" s="11"/>
      <c r="M1077" s="15"/>
      <c r="N1077" s="15"/>
      <c r="O1077" s="15"/>
      <c r="P1077" s="15"/>
      <c r="Q1077" s="16"/>
      <c r="R1077" s="16"/>
      <c r="S1077" s="16"/>
      <c r="T1077" s="17"/>
      <c r="U1077" s="11"/>
      <c r="V1077" s="16"/>
      <c r="W1077" s="11"/>
      <c r="X1077" s="11"/>
      <c r="Y1077" s="15"/>
      <c r="Z1077" s="11"/>
    </row>
    <row r="1078" spans="1:26" x14ac:dyDescent="0.25">
      <c r="A1078" s="18"/>
      <c r="B1078" s="18"/>
      <c r="C1078" s="18"/>
      <c r="D1078" s="18"/>
      <c r="E1078" s="19"/>
      <c r="F1078" s="20"/>
      <c r="G1078" s="13"/>
      <c r="H1078" s="20"/>
      <c r="I1078" s="18"/>
      <c r="J1078" s="18"/>
      <c r="K1078" s="18"/>
      <c r="L1078" s="18"/>
      <c r="M1078" s="21"/>
      <c r="N1078" s="21"/>
      <c r="O1078" s="21"/>
      <c r="P1078" s="21"/>
      <c r="Q1078" s="22"/>
      <c r="R1078" s="19"/>
      <c r="S1078" s="22"/>
      <c r="T1078" s="23"/>
      <c r="U1078" s="18"/>
      <c r="V1078" s="22"/>
      <c r="W1078" s="18"/>
      <c r="X1078" s="18"/>
      <c r="Y1078" s="21"/>
      <c r="Z1078" s="18"/>
    </row>
    <row r="1079" spans="1:26" x14ac:dyDescent="0.25">
      <c r="A1079" s="19"/>
      <c r="B1079" s="19"/>
      <c r="C1079" s="19"/>
      <c r="D1079" s="19"/>
      <c r="E1079" s="19"/>
      <c r="F1079" s="20"/>
      <c r="G1079" s="13"/>
      <c r="H1079" s="20"/>
      <c r="I1079" s="19"/>
      <c r="J1079" s="19"/>
      <c r="K1079" s="19"/>
      <c r="L1079" s="19"/>
      <c r="M1079" s="21"/>
      <c r="N1079" s="21"/>
      <c r="O1079" s="21"/>
      <c r="P1079" s="21"/>
      <c r="Q1079" s="22"/>
      <c r="R1079" s="19"/>
      <c r="S1079" s="22"/>
      <c r="T1079" s="23"/>
      <c r="U1079" s="19"/>
      <c r="V1079" s="22"/>
      <c r="W1079" s="19"/>
      <c r="X1079" s="19"/>
      <c r="Y1079" s="21"/>
      <c r="Z1079" s="19"/>
    </row>
    <row r="1080" spans="1:26" x14ac:dyDescent="0.25">
      <c r="A1080" s="11"/>
      <c r="B1080" s="11"/>
      <c r="C1080" s="11"/>
      <c r="D1080" s="11"/>
      <c r="E1080" s="12"/>
      <c r="F1080" s="13"/>
      <c r="G1080" s="13"/>
      <c r="H1080" s="13"/>
      <c r="I1080" s="11"/>
      <c r="J1080" s="11"/>
      <c r="K1080" s="11"/>
      <c r="L1080" s="11"/>
      <c r="M1080" s="15"/>
      <c r="N1080" s="15"/>
      <c r="O1080" s="15"/>
      <c r="P1080" s="15"/>
      <c r="Q1080" s="16"/>
      <c r="R1080" s="16"/>
      <c r="S1080" s="16"/>
      <c r="T1080" s="17"/>
      <c r="U1080" s="11"/>
      <c r="V1080" s="16"/>
      <c r="W1080" s="11"/>
      <c r="X1080" s="11"/>
      <c r="Y1080" s="15"/>
      <c r="Z1080" s="11"/>
    </row>
    <row r="1081" spans="1:26" x14ac:dyDescent="0.25">
      <c r="A1081" s="11"/>
      <c r="B1081" s="11"/>
      <c r="C1081" s="11"/>
      <c r="D1081" s="11"/>
      <c r="E1081" s="12"/>
      <c r="F1081" s="13"/>
      <c r="G1081" s="13"/>
      <c r="H1081" s="13"/>
      <c r="I1081" s="11"/>
      <c r="J1081" s="11"/>
      <c r="K1081" s="11"/>
      <c r="L1081" s="11"/>
      <c r="M1081" s="15"/>
      <c r="N1081" s="15"/>
      <c r="O1081" s="15"/>
      <c r="P1081" s="15"/>
      <c r="Q1081" s="16"/>
      <c r="R1081" s="16"/>
      <c r="S1081" s="16"/>
      <c r="T1081" s="17"/>
      <c r="U1081" s="11"/>
      <c r="V1081" s="16"/>
      <c r="W1081" s="11"/>
      <c r="X1081" s="11"/>
      <c r="Y1081" s="15"/>
      <c r="Z1081" s="11"/>
    </row>
    <row r="1082" spans="1:26" x14ac:dyDescent="0.25">
      <c r="A1082" s="11"/>
      <c r="B1082" s="11"/>
      <c r="C1082" s="11"/>
      <c r="D1082" s="11"/>
      <c r="E1082" s="12"/>
      <c r="F1082" s="13"/>
      <c r="G1082" s="13"/>
      <c r="H1082" s="13"/>
      <c r="I1082" s="11"/>
      <c r="J1082" s="11"/>
      <c r="K1082" s="11"/>
      <c r="L1082" s="11"/>
      <c r="M1082" s="15"/>
      <c r="N1082" s="15"/>
      <c r="O1082" s="15"/>
      <c r="P1082" s="15"/>
      <c r="Q1082" s="16"/>
      <c r="R1082" s="16"/>
      <c r="S1082" s="16"/>
      <c r="T1082" s="17"/>
      <c r="U1082" s="11"/>
      <c r="V1082" s="16"/>
      <c r="W1082" s="11"/>
      <c r="X1082" s="11"/>
      <c r="Y1082" s="15"/>
      <c r="Z1082" s="11"/>
    </row>
    <row r="1083" spans="1:26" x14ac:dyDescent="0.25">
      <c r="A1083" s="11"/>
      <c r="B1083" s="11"/>
      <c r="C1083" s="11"/>
      <c r="D1083" s="11"/>
      <c r="E1083" s="12"/>
      <c r="F1083" s="13"/>
      <c r="G1083" s="13"/>
      <c r="H1083" s="13"/>
      <c r="I1083" s="11"/>
      <c r="J1083" s="11"/>
      <c r="K1083" s="11"/>
      <c r="L1083" s="11"/>
      <c r="M1083" s="15"/>
      <c r="N1083" s="15"/>
      <c r="O1083" s="15"/>
      <c r="P1083" s="15"/>
      <c r="Q1083" s="16"/>
      <c r="R1083" s="16"/>
      <c r="S1083" s="16"/>
      <c r="T1083" s="17"/>
      <c r="U1083" s="11"/>
      <c r="V1083" s="16"/>
      <c r="W1083" s="11"/>
      <c r="X1083" s="11"/>
      <c r="Y1083" s="15"/>
      <c r="Z1083" s="11"/>
    </row>
    <row r="1084" spans="1:26" x14ac:dyDescent="0.25">
      <c r="A1084" s="18"/>
      <c r="B1084" s="18"/>
      <c r="C1084" s="18"/>
      <c r="D1084" s="18"/>
      <c r="E1084" s="19"/>
      <c r="F1084" s="20"/>
      <c r="G1084" s="13"/>
      <c r="H1084" s="20"/>
      <c r="I1084" s="18"/>
      <c r="J1084" s="18"/>
      <c r="K1084" s="18"/>
      <c r="L1084" s="18"/>
      <c r="M1084" s="21"/>
      <c r="N1084" s="21"/>
      <c r="O1084" s="21"/>
      <c r="P1084" s="21"/>
      <c r="Q1084" s="22"/>
      <c r="R1084" s="19"/>
      <c r="S1084" s="22"/>
      <c r="T1084" s="23"/>
      <c r="U1084" s="18"/>
      <c r="V1084" s="22"/>
      <c r="W1084" s="18"/>
      <c r="X1084" s="18"/>
      <c r="Y1084" s="21"/>
      <c r="Z1084" s="18"/>
    </row>
    <row r="1085" spans="1:26" x14ac:dyDescent="0.25">
      <c r="A1085" s="11"/>
      <c r="B1085" s="11"/>
      <c r="C1085" s="11"/>
      <c r="D1085" s="11"/>
      <c r="E1085" s="12"/>
      <c r="F1085" s="13"/>
      <c r="G1085" s="13"/>
      <c r="H1085" s="13"/>
      <c r="I1085" s="11"/>
      <c r="J1085" s="11"/>
      <c r="K1085" s="11"/>
      <c r="L1085" s="11"/>
      <c r="M1085" s="15"/>
      <c r="N1085" s="15"/>
      <c r="O1085" s="15"/>
      <c r="P1085" s="15"/>
      <c r="Q1085" s="16"/>
      <c r="R1085" s="16"/>
      <c r="S1085" s="16"/>
      <c r="T1085" s="17"/>
      <c r="U1085" s="11"/>
      <c r="V1085" s="16"/>
      <c r="W1085" s="11"/>
      <c r="X1085" s="11"/>
      <c r="Y1085" s="15"/>
      <c r="Z1085" s="11"/>
    </row>
    <row r="1086" spans="1:26" x14ac:dyDescent="0.25">
      <c r="A1086" s="11"/>
      <c r="B1086" s="11"/>
      <c r="C1086" s="11"/>
      <c r="D1086" s="11"/>
      <c r="E1086" s="12"/>
      <c r="F1086" s="13"/>
      <c r="G1086" s="13"/>
      <c r="H1086" s="13"/>
      <c r="I1086" s="11"/>
      <c r="J1086" s="11"/>
      <c r="K1086" s="11"/>
      <c r="L1086" s="11"/>
      <c r="M1086" s="15"/>
      <c r="N1086" s="15"/>
      <c r="O1086" s="15"/>
      <c r="P1086" s="15"/>
      <c r="Q1086" s="16"/>
      <c r="R1086" s="16"/>
      <c r="S1086" s="16"/>
      <c r="T1086" s="17"/>
      <c r="U1086" s="11"/>
      <c r="V1086" s="16"/>
      <c r="W1086" s="11"/>
      <c r="X1086" s="11"/>
      <c r="Y1086" s="15"/>
      <c r="Z1086" s="11"/>
    </row>
    <row r="1087" spans="1:26" x14ac:dyDescent="0.25">
      <c r="A1087" s="11"/>
      <c r="B1087" s="11"/>
      <c r="C1087" s="11"/>
      <c r="D1087" s="11"/>
      <c r="E1087" s="12"/>
      <c r="F1087" s="13"/>
      <c r="G1087" s="13"/>
      <c r="H1087" s="13"/>
      <c r="I1087" s="11"/>
      <c r="J1087" s="11"/>
      <c r="K1087" s="11"/>
      <c r="L1087" s="11"/>
      <c r="M1087" s="15"/>
      <c r="N1087" s="15"/>
      <c r="O1087" s="15"/>
      <c r="P1087" s="15"/>
      <c r="Q1087" s="16"/>
      <c r="R1087" s="16"/>
      <c r="S1087" s="16"/>
      <c r="T1087" s="17"/>
      <c r="U1087" s="11"/>
      <c r="V1087" s="16"/>
      <c r="W1087" s="11"/>
      <c r="X1087" s="11"/>
      <c r="Y1087" s="15"/>
      <c r="Z1087" s="11"/>
    </row>
    <row r="1088" spans="1:26" x14ac:dyDescent="0.25">
      <c r="A1088" s="11"/>
      <c r="B1088" s="11"/>
      <c r="C1088" s="11"/>
      <c r="D1088" s="11"/>
      <c r="E1088" s="12"/>
      <c r="F1088" s="13"/>
      <c r="G1088" s="13"/>
      <c r="H1088" s="13"/>
      <c r="I1088" s="11"/>
      <c r="J1088" s="11"/>
      <c r="K1088" s="11"/>
      <c r="L1088" s="11"/>
      <c r="M1088" s="15"/>
      <c r="N1088" s="15"/>
      <c r="O1088" s="15"/>
      <c r="P1088" s="15"/>
      <c r="Q1088" s="16"/>
      <c r="R1088" s="16"/>
      <c r="S1088" s="16"/>
      <c r="T1088" s="17"/>
      <c r="U1088" s="11"/>
      <c r="V1088" s="16"/>
      <c r="W1088" s="11"/>
      <c r="X1088" s="11"/>
      <c r="Y1088" s="15"/>
      <c r="Z1088" s="11"/>
    </row>
    <row r="1089" spans="1:26" x14ac:dyDescent="0.25">
      <c r="A1089" s="11"/>
      <c r="B1089" s="11"/>
      <c r="C1089" s="11"/>
      <c r="D1089" s="11"/>
      <c r="E1089" s="12"/>
      <c r="F1089" s="13"/>
      <c r="G1089" s="13"/>
      <c r="H1089" s="13"/>
      <c r="I1089" s="11"/>
      <c r="J1089" s="11"/>
      <c r="K1089" s="11"/>
      <c r="L1089" s="11"/>
      <c r="M1089" s="15"/>
      <c r="N1089" s="15"/>
      <c r="O1089" s="15"/>
      <c r="P1089" s="15"/>
      <c r="Q1089" s="16"/>
      <c r="R1089" s="16"/>
      <c r="S1089" s="16"/>
      <c r="T1089" s="17"/>
      <c r="U1089" s="11"/>
      <c r="V1089" s="16"/>
      <c r="W1089" s="11"/>
      <c r="X1089" s="11"/>
      <c r="Y1089" s="15"/>
      <c r="Z1089" s="11"/>
    </row>
    <row r="1090" spans="1:26" x14ac:dyDescent="0.25">
      <c r="A1090" s="11"/>
      <c r="B1090" s="11"/>
      <c r="C1090" s="11"/>
      <c r="D1090" s="11"/>
      <c r="E1090" s="12"/>
      <c r="F1090" s="13"/>
      <c r="G1090" s="13"/>
      <c r="H1090" s="13"/>
      <c r="I1090" s="11"/>
      <c r="J1090" s="11"/>
      <c r="K1090" s="11"/>
      <c r="L1090" s="11"/>
      <c r="M1090" s="15"/>
      <c r="N1090" s="15"/>
      <c r="O1090" s="15"/>
      <c r="P1090" s="15"/>
      <c r="Q1090" s="16"/>
      <c r="R1090" s="16"/>
      <c r="S1090" s="16"/>
      <c r="T1090" s="17"/>
      <c r="U1090" s="11"/>
      <c r="V1090" s="16"/>
      <c r="W1090" s="11"/>
      <c r="X1090" s="11"/>
      <c r="Y1090" s="15"/>
      <c r="Z1090" s="11"/>
    </row>
    <row r="1091" spans="1:26" x14ac:dyDescent="0.25">
      <c r="A1091" s="11"/>
      <c r="B1091" s="11"/>
      <c r="C1091" s="11"/>
      <c r="D1091" s="11"/>
      <c r="E1091" s="12"/>
      <c r="F1091" s="13"/>
      <c r="G1091" s="13"/>
      <c r="H1091" s="13"/>
      <c r="I1091" s="11"/>
      <c r="J1091" s="11"/>
      <c r="K1091" s="11"/>
      <c r="L1091" s="11"/>
      <c r="M1091" s="15"/>
      <c r="N1091" s="15"/>
      <c r="O1091" s="15"/>
      <c r="P1091" s="15"/>
      <c r="Q1091" s="16"/>
      <c r="R1091" s="16"/>
      <c r="S1091" s="16"/>
      <c r="T1091" s="17"/>
      <c r="U1091" s="11"/>
      <c r="V1091" s="16"/>
      <c r="W1091" s="11"/>
      <c r="X1091" s="11"/>
      <c r="Y1091" s="15"/>
      <c r="Z1091" s="11"/>
    </row>
    <row r="1092" spans="1:26" x14ac:dyDescent="0.25">
      <c r="A1092" s="11"/>
      <c r="B1092" s="11"/>
      <c r="C1092" s="11"/>
      <c r="D1092" s="11"/>
      <c r="E1092" s="12"/>
      <c r="F1092" s="13"/>
      <c r="G1092" s="13"/>
      <c r="H1092" s="13"/>
      <c r="I1092" s="11"/>
      <c r="J1092" s="11"/>
      <c r="K1092" s="11"/>
      <c r="L1092" s="11"/>
      <c r="M1092" s="15"/>
      <c r="N1092" s="15"/>
      <c r="O1092" s="15"/>
      <c r="P1092" s="15"/>
      <c r="Q1092" s="16"/>
      <c r="R1092" s="16"/>
      <c r="S1092" s="16"/>
      <c r="T1092" s="17"/>
      <c r="U1092" s="11"/>
      <c r="V1092" s="16"/>
      <c r="W1092" s="11"/>
      <c r="X1092" s="11"/>
      <c r="Y1092" s="15"/>
      <c r="Z1092" s="11"/>
    </row>
    <row r="1093" spans="1:26" x14ac:dyDescent="0.25">
      <c r="A1093" s="11"/>
      <c r="B1093" s="11"/>
      <c r="C1093" s="11"/>
      <c r="D1093" s="11"/>
      <c r="E1093" s="12"/>
      <c r="F1093" s="13"/>
      <c r="G1093" s="13"/>
      <c r="H1093" s="13"/>
      <c r="I1093" s="11"/>
      <c r="J1093" s="11"/>
      <c r="K1093" s="11"/>
      <c r="L1093" s="11"/>
      <c r="M1093" s="15"/>
      <c r="N1093" s="15"/>
      <c r="O1093" s="15"/>
      <c r="P1093" s="15"/>
      <c r="Q1093" s="16"/>
      <c r="R1093" s="16"/>
      <c r="S1093" s="16"/>
      <c r="T1093" s="17"/>
      <c r="U1093" s="11"/>
      <c r="V1093" s="16"/>
      <c r="W1093" s="11"/>
      <c r="X1093" s="11"/>
      <c r="Y1093" s="15"/>
      <c r="Z1093" s="11"/>
    </row>
    <row r="1094" spans="1:26" x14ac:dyDescent="0.25">
      <c r="A1094" s="11"/>
      <c r="B1094" s="11"/>
      <c r="C1094" s="11"/>
      <c r="D1094" s="11"/>
      <c r="E1094" s="12"/>
      <c r="F1094" s="13"/>
      <c r="G1094" s="13"/>
      <c r="H1094" s="13"/>
      <c r="I1094" s="11"/>
      <c r="J1094" s="11"/>
      <c r="K1094" s="11"/>
      <c r="L1094" s="11"/>
      <c r="M1094" s="15"/>
      <c r="N1094" s="15"/>
      <c r="O1094" s="15"/>
      <c r="P1094" s="15"/>
      <c r="Q1094" s="16"/>
      <c r="R1094" s="16"/>
      <c r="S1094" s="16"/>
      <c r="T1094" s="17"/>
      <c r="U1094" s="11"/>
      <c r="V1094" s="16"/>
      <c r="W1094" s="11"/>
      <c r="X1094" s="11"/>
      <c r="Y1094" s="15"/>
      <c r="Z1094" s="11"/>
    </row>
    <row r="1095" spans="1:26" x14ac:dyDescent="0.25">
      <c r="A1095" s="11"/>
      <c r="B1095" s="11"/>
      <c r="C1095" s="11"/>
      <c r="D1095" s="11"/>
      <c r="E1095" s="12"/>
      <c r="F1095" s="13"/>
      <c r="G1095" s="13"/>
      <c r="H1095" s="13"/>
      <c r="I1095" s="11"/>
      <c r="J1095" s="11"/>
      <c r="K1095" s="11"/>
      <c r="L1095" s="11"/>
      <c r="M1095" s="15"/>
      <c r="N1095" s="15"/>
      <c r="O1095" s="15"/>
      <c r="P1095" s="15"/>
      <c r="Q1095" s="16"/>
      <c r="R1095" s="16"/>
      <c r="S1095" s="16"/>
      <c r="T1095" s="17"/>
      <c r="U1095" s="11"/>
      <c r="V1095" s="16"/>
      <c r="W1095" s="11"/>
      <c r="X1095" s="11"/>
      <c r="Y1095" s="15"/>
      <c r="Z1095" s="11"/>
    </row>
    <row r="1096" spans="1:26" x14ac:dyDescent="0.25">
      <c r="A1096" s="18"/>
      <c r="B1096" s="18"/>
      <c r="C1096" s="18"/>
      <c r="D1096" s="18"/>
      <c r="E1096" s="19"/>
      <c r="F1096" s="20"/>
      <c r="G1096" s="13"/>
      <c r="H1096" s="20"/>
      <c r="I1096" s="18"/>
      <c r="J1096" s="18"/>
      <c r="K1096" s="18"/>
      <c r="L1096" s="18"/>
      <c r="M1096" s="21"/>
      <c r="N1096" s="21"/>
      <c r="O1096" s="21"/>
      <c r="P1096" s="21"/>
      <c r="Q1096" s="22"/>
      <c r="R1096" s="19"/>
      <c r="S1096" s="22"/>
      <c r="T1096" s="23"/>
      <c r="U1096" s="18"/>
      <c r="V1096" s="22"/>
      <c r="W1096" s="18"/>
      <c r="X1096" s="18"/>
      <c r="Y1096" s="21"/>
      <c r="Z1096" s="18"/>
    </row>
    <row r="1097" spans="1:26" x14ac:dyDescent="0.25">
      <c r="A1097" s="18"/>
      <c r="B1097" s="18"/>
      <c r="C1097" s="18"/>
      <c r="D1097" s="18"/>
      <c r="E1097" s="19"/>
      <c r="F1097" s="20"/>
      <c r="G1097" s="13"/>
      <c r="H1097" s="20"/>
      <c r="I1097" s="18"/>
      <c r="J1097" s="18"/>
      <c r="K1097" s="18"/>
      <c r="L1097" s="18"/>
      <c r="M1097" s="21"/>
      <c r="N1097" s="21"/>
      <c r="O1097" s="21"/>
      <c r="P1097" s="21"/>
      <c r="Q1097" s="22"/>
      <c r="R1097" s="19"/>
      <c r="S1097" s="22"/>
      <c r="T1097" s="23"/>
      <c r="U1097" s="18"/>
      <c r="V1097" s="22"/>
      <c r="W1097" s="18"/>
      <c r="X1097" s="18"/>
      <c r="Y1097" s="21"/>
      <c r="Z1097" s="18"/>
    </row>
    <row r="1098" spans="1:26" x14ac:dyDescent="0.25">
      <c r="A1098" s="11"/>
      <c r="B1098" s="11"/>
      <c r="C1098" s="11"/>
      <c r="D1098" s="11"/>
      <c r="E1098" s="12"/>
      <c r="F1098" s="13"/>
      <c r="G1098" s="13"/>
      <c r="H1098" s="13"/>
      <c r="I1098" s="11"/>
      <c r="J1098" s="11"/>
      <c r="K1098" s="11"/>
      <c r="L1098" s="11"/>
      <c r="M1098" s="15"/>
      <c r="N1098" s="15"/>
      <c r="O1098" s="15"/>
      <c r="P1098" s="15"/>
      <c r="Q1098" s="16"/>
      <c r="R1098" s="16"/>
      <c r="S1098" s="16"/>
      <c r="T1098" s="17"/>
      <c r="U1098" s="11"/>
      <c r="V1098" s="16"/>
      <c r="W1098" s="11"/>
      <c r="X1098" s="11"/>
      <c r="Y1098" s="15"/>
      <c r="Z1098" s="11"/>
    </row>
    <row r="1099" spans="1:26" x14ac:dyDescent="0.25">
      <c r="A1099" s="11"/>
      <c r="B1099" s="11"/>
      <c r="C1099" s="11"/>
      <c r="D1099" s="11"/>
      <c r="E1099" s="12"/>
      <c r="F1099" s="13"/>
      <c r="G1099" s="13"/>
      <c r="H1099" s="13"/>
      <c r="I1099" s="11"/>
      <c r="J1099" s="11"/>
      <c r="K1099" s="11"/>
      <c r="L1099" s="11"/>
      <c r="M1099" s="15"/>
      <c r="N1099" s="15"/>
      <c r="O1099" s="15"/>
      <c r="P1099" s="15"/>
      <c r="Q1099" s="16"/>
      <c r="R1099" s="16"/>
      <c r="S1099" s="16"/>
      <c r="T1099" s="17"/>
      <c r="U1099" s="11"/>
      <c r="V1099" s="16"/>
      <c r="W1099" s="11"/>
      <c r="X1099" s="11"/>
      <c r="Y1099" s="15"/>
      <c r="Z1099" s="11"/>
    </row>
    <row r="1100" spans="1:26" x14ac:dyDescent="0.25">
      <c r="A1100" s="11"/>
      <c r="B1100" s="11"/>
      <c r="C1100" s="11"/>
      <c r="D1100" s="11"/>
      <c r="E1100" s="12"/>
      <c r="F1100" s="13"/>
      <c r="G1100" s="13"/>
      <c r="H1100" s="13"/>
      <c r="I1100" s="11"/>
      <c r="J1100" s="11"/>
      <c r="K1100" s="11"/>
      <c r="L1100" s="11"/>
      <c r="M1100" s="15"/>
      <c r="N1100" s="15"/>
      <c r="O1100" s="15"/>
      <c r="P1100" s="15"/>
      <c r="Q1100" s="16"/>
      <c r="R1100" s="16"/>
      <c r="S1100" s="16"/>
      <c r="T1100" s="17"/>
      <c r="U1100" s="11"/>
      <c r="V1100" s="16"/>
      <c r="W1100" s="11"/>
      <c r="X1100" s="11"/>
      <c r="Y1100" s="15"/>
      <c r="Z1100" s="11"/>
    </row>
    <row r="1101" spans="1:26" x14ac:dyDescent="0.25">
      <c r="A1101" s="11"/>
      <c r="B1101" s="11"/>
      <c r="C1101" s="11"/>
      <c r="D1101" s="11"/>
      <c r="E1101" s="12"/>
      <c r="F1101" s="13"/>
      <c r="G1101" s="13"/>
      <c r="H1101" s="13"/>
      <c r="I1101" s="11"/>
      <c r="J1101" s="11"/>
      <c r="K1101" s="11"/>
      <c r="L1101" s="11"/>
      <c r="M1101" s="15"/>
      <c r="N1101" s="15"/>
      <c r="O1101" s="15"/>
      <c r="P1101" s="15"/>
      <c r="Q1101" s="16"/>
      <c r="R1101" s="16"/>
      <c r="S1101" s="16"/>
      <c r="T1101" s="17"/>
      <c r="U1101" s="11"/>
      <c r="V1101" s="16"/>
      <c r="W1101" s="11"/>
      <c r="X1101" s="11"/>
      <c r="Y1101" s="15"/>
      <c r="Z1101" s="11"/>
    </row>
    <row r="1102" spans="1:26" x14ac:dyDescent="0.25">
      <c r="A1102" s="11"/>
      <c r="B1102" s="11"/>
      <c r="C1102" s="11"/>
      <c r="D1102" s="11"/>
      <c r="E1102" s="12"/>
      <c r="F1102" s="13"/>
      <c r="G1102" s="13"/>
      <c r="H1102" s="13"/>
      <c r="I1102" s="11"/>
      <c r="J1102" s="11"/>
      <c r="K1102" s="11"/>
      <c r="L1102" s="11"/>
      <c r="M1102" s="15"/>
      <c r="N1102" s="15"/>
      <c r="O1102" s="15"/>
      <c r="P1102" s="15"/>
      <c r="Q1102" s="16"/>
      <c r="R1102" s="16"/>
      <c r="S1102" s="16"/>
      <c r="T1102" s="17"/>
      <c r="U1102" s="11"/>
      <c r="V1102" s="16"/>
      <c r="W1102" s="11"/>
      <c r="X1102" s="11"/>
      <c r="Y1102" s="15"/>
      <c r="Z1102" s="11"/>
    </row>
    <row r="1103" spans="1:26" x14ac:dyDescent="0.25">
      <c r="A1103" s="11"/>
      <c r="B1103" s="11"/>
      <c r="C1103" s="11"/>
      <c r="D1103" s="11"/>
      <c r="E1103" s="12"/>
      <c r="F1103" s="13"/>
      <c r="G1103" s="13"/>
      <c r="H1103" s="13"/>
      <c r="I1103" s="11"/>
      <c r="J1103" s="11"/>
      <c r="K1103" s="11"/>
      <c r="L1103" s="11"/>
      <c r="M1103" s="15"/>
      <c r="N1103" s="15"/>
      <c r="O1103" s="15"/>
      <c r="P1103" s="15"/>
      <c r="Q1103" s="16"/>
      <c r="R1103" s="16"/>
      <c r="S1103" s="16"/>
      <c r="T1103" s="17"/>
      <c r="U1103" s="11"/>
      <c r="V1103" s="16"/>
      <c r="W1103" s="11"/>
      <c r="X1103" s="11"/>
      <c r="Y1103" s="15"/>
      <c r="Z1103" s="11"/>
    </row>
    <row r="1104" spans="1:26" x14ac:dyDescent="0.25">
      <c r="A1104" s="11"/>
      <c r="B1104" s="11"/>
      <c r="C1104" s="11"/>
      <c r="D1104" s="11"/>
      <c r="E1104" s="12"/>
      <c r="F1104" s="13"/>
      <c r="G1104" s="13"/>
      <c r="H1104" s="13"/>
      <c r="I1104" s="11"/>
      <c r="J1104" s="11"/>
      <c r="K1104" s="11"/>
      <c r="L1104" s="11"/>
      <c r="M1104" s="15"/>
      <c r="N1104" s="15"/>
      <c r="O1104" s="15"/>
      <c r="P1104" s="15"/>
      <c r="Q1104" s="16"/>
      <c r="R1104" s="16"/>
      <c r="S1104" s="16"/>
      <c r="T1104" s="17"/>
      <c r="U1104" s="11"/>
      <c r="V1104" s="16"/>
      <c r="W1104" s="11"/>
      <c r="X1104" s="11"/>
      <c r="Y1104" s="15"/>
      <c r="Z1104" s="11"/>
    </row>
    <row r="1105" spans="1:26" x14ac:dyDescent="0.25">
      <c r="A1105" s="11"/>
      <c r="B1105" s="11"/>
      <c r="C1105" s="11"/>
      <c r="D1105" s="11"/>
      <c r="E1105" s="12"/>
      <c r="F1105" s="13"/>
      <c r="G1105" s="13"/>
      <c r="H1105" s="13"/>
      <c r="I1105" s="11"/>
      <c r="J1105" s="11"/>
      <c r="K1105" s="11"/>
      <c r="L1105" s="11"/>
      <c r="M1105" s="15"/>
      <c r="N1105" s="15"/>
      <c r="O1105" s="15"/>
      <c r="P1105" s="15"/>
      <c r="Q1105" s="16"/>
      <c r="R1105" s="16"/>
      <c r="S1105" s="16"/>
      <c r="T1105" s="17"/>
      <c r="U1105" s="11"/>
      <c r="V1105" s="16"/>
      <c r="W1105" s="11"/>
      <c r="X1105" s="11"/>
      <c r="Y1105" s="15"/>
      <c r="Z1105" s="11"/>
    </row>
    <row r="1106" spans="1:26" x14ac:dyDescent="0.25">
      <c r="A1106" s="11"/>
      <c r="B1106" s="11"/>
      <c r="C1106" s="11"/>
      <c r="D1106" s="11"/>
      <c r="E1106" s="12"/>
      <c r="F1106" s="13"/>
      <c r="G1106" s="13"/>
      <c r="H1106" s="13"/>
      <c r="I1106" s="11"/>
      <c r="J1106" s="11"/>
      <c r="K1106" s="11"/>
      <c r="L1106" s="11"/>
      <c r="M1106" s="15"/>
      <c r="N1106" s="15"/>
      <c r="O1106" s="15"/>
      <c r="P1106" s="15"/>
      <c r="Q1106" s="16"/>
      <c r="R1106" s="16"/>
      <c r="S1106" s="16"/>
      <c r="T1106" s="17"/>
      <c r="U1106" s="11"/>
      <c r="V1106" s="16"/>
      <c r="W1106" s="11"/>
      <c r="X1106" s="11"/>
      <c r="Y1106" s="15"/>
      <c r="Z1106" s="11"/>
    </row>
    <row r="1107" spans="1:26" x14ac:dyDescent="0.25">
      <c r="A1107" s="11"/>
      <c r="B1107" s="11"/>
      <c r="C1107" s="11"/>
      <c r="D1107" s="11"/>
      <c r="E1107" s="12"/>
      <c r="F1107" s="13"/>
      <c r="G1107" s="13"/>
      <c r="H1107" s="13"/>
      <c r="I1107" s="11"/>
      <c r="J1107" s="11"/>
      <c r="K1107" s="11"/>
      <c r="L1107" s="11"/>
      <c r="M1107" s="15"/>
      <c r="N1107" s="15"/>
      <c r="O1107" s="15"/>
      <c r="P1107" s="15"/>
      <c r="Q1107" s="16"/>
      <c r="R1107" s="16"/>
      <c r="S1107" s="16"/>
      <c r="T1107" s="17"/>
      <c r="U1107" s="11"/>
      <c r="V1107" s="16"/>
      <c r="W1107" s="11"/>
      <c r="X1107" s="11"/>
      <c r="Y1107" s="15"/>
      <c r="Z1107" s="11"/>
    </row>
    <row r="1108" spans="1:26" x14ac:dyDescent="0.25">
      <c r="A1108" s="11"/>
      <c r="B1108" s="11"/>
      <c r="C1108" s="11"/>
      <c r="D1108" s="11"/>
      <c r="E1108" s="12"/>
      <c r="F1108" s="13"/>
      <c r="G1108" s="13"/>
      <c r="H1108" s="13"/>
      <c r="I1108" s="11"/>
      <c r="J1108" s="11"/>
      <c r="K1108" s="11"/>
      <c r="L1108" s="11"/>
      <c r="M1108" s="15"/>
      <c r="N1108" s="15"/>
      <c r="O1108" s="15"/>
      <c r="P1108" s="15"/>
      <c r="Q1108" s="16"/>
      <c r="R1108" s="16"/>
      <c r="S1108" s="16"/>
      <c r="T1108" s="17"/>
      <c r="U1108" s="11"/>
      <c r="V1108" s="16"/>
      <c r="W1108" s="11"/>
      <c r="X1108" s="11"/>
      <c r="Y1108" s="15"/>
      <c r="Z1108" s="11"/>
    </row>
    <row r="1109" spans="1:26" x14ac:dyDescent="0.25">
      <c r="A1109" s="11"/>
      <c r="B1109" s="11"/>
      <c r="C1109" s="11"/>
      <c r="D1109" s="11"/>
      <c r="E1109" s="12"/>
      <c r="F1109" s="13"/>
      <c r="G1109" s="13"/>
      <c r="H1109" s="13"/>
      <c r="I1109" s="11"/>
      <c r="J1109" s="11"/>
      <c r="K1109" s="11"/>
      <c r="L1109" s="11"/>
      <c r="M1109" s="15"/>
      <c r="N1109" s="15"/>
      <c r="O1109" s="15"/>
      <c r="P1109" s="15"/>
      <c r="Q1109" s="16"/>
      <c r="R1109" s="16"/>
      <c r="S1109" s="16"/>
      <c r="T1109" s="17"/>
      <c r="U1109" s="11"/>
      <c r="V1109" s="16"/>
      <c r="W1109" s="11"/>
      <c r="X1109" s="11"/>
      <c r="Y1109" s="15"/>
      <c r="Z1109" s="11"/>
    </row>
    <row r="1110" spans="1:26" x14ac:dyDescent="0.25">
      <c r="A1110" s="11"/>
      <c r="B1110" s="11"/>
      <c r="C1110" s="11"/>
      <c r="D1110" s="11"/>
      <c r="E1110" s="12"/>
      <c r="F1110" s="13"/>
      <c r="G1110" s="13"/>
      <c r="H1110" s="13"/>
      <c r="I1110" s="11"/>
      <c r="J1110" s="11"/>
      <c r="K1110" s="11"/>
      <c r="L1110" s="11"/>
      <c r="M1110" s="15"/>
      <c r="N1110" s="15"/>
      <c r="O1110" s="15"/>
      <c r="P1110" s="15"/>
      <c r="Q1110" s="16"/>
      <c r="R1110" s="16"/>
      <c r="S1110" s="16"/>
      <c r="T1110" s="17"/>
      <c r="U1110" s="11"/>
      <c r="V1110" s="16"/>
      <c r="W1110" s="11"/>
      <c r="X1110" s="11"/>
      <c r="Y1110" s="15"/>
      <c r="Z1110" s="11"/>
    </row>
    <row r="1111" spans="1:26" x14ac:dyDescent="0.25">
      <c r="A1111" s="11"/>
      <c r="B1111" s="11"/>
      <c r="C1111" s="11"/>
      <c r="D1111" s="11"/>
      <c r="E1111" s="12"/>
      <c r="F1111" s="13"/>
      <c r="G1111" s="13"/>
      <c r="H1111" s="13"/>
      <c r="I1111" s="11"/>
      <c r="J1111" s="11"/>
      <c r="K1111" s="11"/>
      <c r="L1111" s="11"/>
      <c r="M1111" s="15"/>
      <c r="N1111" s="15"/>
      <c r="O1111" s="15"/>
      <c r="P1111" s="15"/>
      <c r="Q1111" s="16"/>
      <c r="R1111" s="16"/>
      <c r="S1111" s="16"/>
      <c r="T1111" s="17"/>
      <c r="U1111" s="11"/>
      <c r="V1111" s="16"/>
      <c r="W1111" s="11"/>
      <c r="X1111" s="11"/>
      <c r="Y1111" s="15"/>
      <c r="Z1111" s="11"/>
    </row>
    <row r="1112" spans="1:26" x14ac:dyDescent="0.25">
      <c r="A1112" s="11"/>
      <c r="B1112" s="11"/>
      <c r="C1112" s="11"/>
      <c r="D1112" s="11"/>
      <c r="E1112" s="12"/>
      <c r="F1112" s="13"/>
      <c r="G1112" s="13"/>
      <c r="H1112" s="13"/>
      <c r="I1112" s="11"/>
      <c r="J1112" s="11"/>
      <c r="K1112" s="11"/>
      <c r="L1112" s="11"/>
      <c r="M1112" s="15"/>
      <c r="N1112" s="15"/>
      <c r="O1112" s="15"/>
      <c r="P1112" s="15"/>
      <c r="Q1112" s="16"/>
      <c r="R1112" s="16"/>
      <c r="S1112" s="16"/>
      <c r="T1112" s="17"/>
      <c r="U1112" s="11"/>
      <c r="V1112" s="16"/>
      <c r="W1112" s="11"/>
      <c r="X1112" s="11"/>
      <c r="Y1112" s="15"/>
      <c r="Z1112" s="11"/>
    </row>
    <row r="1113" spans="1:26" x14ac:dyDescent="0.25">
      <c r="A1113" s="11"/>
      <c r="B1113" s="11"/>
      <c r="C1113" s="11"/>
      <c r="D1113" s="11"/>
      <c r="E1113" s="12"/>
      <c r="F1113" s="13"/>
      <c r="G1113" s="13"/>
      <c r="H1113" s="13"/>
      <c r="I1113" s="11"/>
      <c r="J1113" s="11"/>
      <c r="K1113" s="11"/>
      <c r="L1113" s="11"/>
      <c r="M1113" s="15"/>
      <c r="N1113" s="15"/>
      <c r="O1113" s="15"/>
      <c r="P1113" s="15"/>
      <c r="Q1113" s="16"/>
      <c r="R1113" s="16"/>
      <c r="S1113" s="16"/>
      <c r="T1113" s="17"/>
      <c r="U1113" s="11"/>
      <c r="V1113" s="16"/>
      <c r="W1113" s="11"/>
      <c r="X1113" s="11"/>
      <c r="Y1113" s="15"/>
      <c r="Z1113" s="11"/>
    </row>
    <row r="1114" spans="1:26" x14ac:dyDescent="0.25">
      <c r="A1114" s="11"/>
      <c r="B1114" s="11"/>
      <c r="C1114" s="11"/>
      <c r="D1114" s="11"/>
      <c r="E1114" s="12"/>
      <c r="F1114" s="13"/>
      <c r="G1114" s="13"/>
      <c r="H1114" s="13"/>
      <c r="I1114" s="11"/>
      <c r="J1114" s="11"/>
      <c r="K1114" s="11"/>
      <c r="L1114" s="11"/>
      <c r="M1114" s="15"/>
      <c r="N1114" s="15"/>
      <c r="O1114" s="15"/>
      <c r="P1114" s="15"/>
      <c r="Q1114" s="16"/>
      <c r="R1114" s="16"/>
      <c r="S1114" s="16"/>
      <c r="T1114" s="17"/>
      <c r="U1114" s="11"/>
      <c r="V1114" s="16"/>
      <c r="W1114" s="11"/>
      <c r="X1114" s="11"/>
      <c r="Y1114" s="15"/>
      <c r="Z1114" s="11"/>
    </row>
    <row r="1115" spans="1:26" x14ac:dyDescent="0.25">
      <c r="A1115" s="11"/>
      <c r="B1115" s="11"/>
      <c r="C1115" s="11"/>
      <c r="D1115" s="11"/>
      <c r="E1115" s="12"/>
      <c r="F1115" s="13"/>
      <c r="G1115" s="13"/>
      <c r="H1115" s="13"/>
      <c r="I1115" s="11"/>
      <c r="J1115" s="11"/>
      <c r="K1115" s="11"/>
      <c r="L1115" s="11"/>
      <c r="M1115" s="15"/>
      <c r="N1115" s="15"/>
      <c r="O1115" s="15"/>
      <c r="P1115" s="15"/>
      <c r="Q1115" s="16"/>
      <c r="R1115" s="16"/>
      <c r="S1115" s="16"/>
      <c r="T1115" s="17"/>
      <c r="U1115" s="11"/>
      <c r="V1115" s="16"/>
      <c r="W1115" s="11"/>
      <c r="X1115" s="11"/>
      <c r="Y1115" s="15"/>
      <c r="Z1115" s="11"/>
    </row>
    <row r="1116" spans="1:26" x14ac:dyDescent="0.25">
      <c r="A1116" s="11"/>
      <c r="B1116" s="11"/>
      <c r="C1116" s="11"/>
      <c r="D1116" s="11"/>
      <c r="E1116" s="12"/>
      <c r="F1116" s="13"/>
      <c r="G1116" s="13"/>
      <c r="H1116" s="13"/>
      <c r="I1116" s="11"/>
      <c r="J1116" s="11"/>
      <c r="K1116" s="11"/>
      <c r="L1116" s="11"/>
      <c r="M1116" s="15"/>
      <c r="N1116" s="15"/>
      <c r="O1116" s="15"/>
      <c r="P1116" s="15"/>
      <c r="Q1116" s="16"/>
      <c r="R1116" s="16"/>
      <c r="S1116" s="16"/>
      <c r="T1116" s="17"/>
      <c r="U1116" s="11"/>
      <c r="V1116" s="16"/>
      <c r="W1116" s="11"/>
      <c r="X1116" s="11"/>
      <c r="Y1116" s="15"/>
      <c r="Z1116" s="11"/>
    </row>
    <row r="1117" spans="1:26" x14ac:dyDescent="0.25">
      <c r="A1117" s="11"/>
      <c r="B1117" s="11"/>
      <c r="C1117" s="11"/>
      <c r="D1117" s="11"/>
      <c r="E1117" s="12"/>
      <c r="F1117" s="13"/>
      <c r="G1117" s="13"/>
      <c r="H1117" s="13"/>
      <c r="I1117" s="11"/>
      <c r="J1117" s="11"/>
      <c r="K1117" s="11"/>
      <c r="L1117" s="11"/>
      <c r="M1117" s="15"/>
      <c r="N1117" s="15"/>
      <c r="O1117" s="15"/>
      <c r="P1117" s="15"/>
      <c r="Q1117" s="16"/>
      <c r="R1117" s="16"/>
      <c r="S1117" s="16"/>
      <c r="T1117" s="17"/>
      <c r="U1117" s="11"/>
      <c r="V1117" s="16"/>
      <c r="W1117" s="11"/>
      <c r="X1117" s="11"/>
      <c r="Y1117" s="15"/>
      <c r="Z1117" s="11"/>
    </row>
    <row r="1118" spans="1:26" x14ac:dyDescent="0.25">
      <c r="A1118" s="11"/>
      <c r="B1118" s="11"/>
      <c r="C1118" s="11"/>
      <c r="D1118" s="11"/>
      <c r="E1118" s="12"/>
      <c r="F1118" s="13"/>
      <c r="G1118" s="13"/>
      <c r="H1118" s="13"/>
      <c r="I1118" s="11"/>
      <c r="J1118" s="11"/>
      <c r="K1118" s="11"/>
      <c r="L1118" s="11"/>
      <c r="M1118" s="15"/>
      <c r="N1118" s="15"/>
      <c r="O1118" s="15"/>
      <c r="P1118" s="15"/>
      <c r="Q1118" s="16"/>
      <c r="R1118" s="16"/>
      <c r="S1118" s="16"/>
      <c r="T1118" s="17"/>
      <c r="U1118" s="11"/>
      <c r="V1118" s="16"/>
      <c r="W1118" s="11"/>
      <c r="X1118" s="11"/>
      <c r="Y1118" s="15"/>
      <c r="Z1118" s="11"/>
    </row>
    <row r="1119" spans="1:26" x14ac:dyDescent="0.25">
      <c r="A1119" s="11"/>
      <c r="B1119" s="11"/>
      <c r="C1119" s="11"/>
      <c r="D1119" s="11"/>
      <c r="E1119" s="12"/>
      <c r="F1119" s="13"/>
      <c r="G1119" s="13"/>
      <c r="H1119" s="13"/>
      <c r="I1119" s="11"/>
      <c r="J1119" s="11"/>
      <c r="K1119" s="11"/>
      <c r="L1119" s="11"/>
      <c r="M1119" s="15"/>
      <c r="N1119" s="15"/>
      <c r="O1119" s="15"/>
      <c r="P1119" s="15"/>
      <c r="Q1119" s="16"/>
      <c r="R1119" s="16"/>
      <c r="S1119" s="16"/>
      <c r="T1119" s="17"/>
      <c r="U1119" s="11"/>
      <c r="V1119" s="16"/>
      <c r="W1119" s="11"/>
      <c r="X1119" s="11"/>
      <c r="Y1119" s="15"/>
      <c r="Z1119" s="11"/>
    </row>
    <row r="1120" spans="1:26" x14ac:dyDescent="0.25">
      <c r="A1120" s="11"/>
      <c r="B1120" s="11"/>
      <c r="C1120" s="11"/>
      <c r="D1120" s="11"/>
      <c r="E1120" s="12"/>
      <c r="F1120" s="13"/>
      <c r="G1120" s="13"/>
      <c r="H1120" s="13"/>
      <c r="I1120" s="11"/>
      <c r="J1120" s="11"/>
      <c r="K1120" s="11"/>
      <c r="L1120" s="11"/>
      <c r="M1120" s="15"/>
      <c r="N1120" s="15"/>
      <c r="O1120" s="15"/>
      <c r="P1120" s="15"/>
      <c r="Q1120" s="16"/>
      <c r="R1120" s="16"/>
      <c r="S1120" s="16"/>
      <c r="T1120" s="17"/>
      <c r="U1120" s="11"/>
      <c r="V1120" s="16"/>
      <c r="W1120" s="11"/>
      <c r="X1120" s="11"/>
      <c r="Y1120" s="15"/>
      <c r="Z1120" s="11"/>
    </row>
    <row r="1121" spans="1:26" x14ac:dyDescent="0.25">
      <c r="A1121" s="18"/>
      <c r="B1121" s="18"/>
      <c r="C1121" s="18"/>
      <c r="D1121" s="18"/>
      <c r="E1121" s="19"/>
      <c r="F1121" s="20"/>
      <c r="G1121" s="13"/>
      <c r="H1121" s="20"/>
      <c r="I1121" s="18"/>
      <c r="J1121" s="18"/>
      <c r="K1121" s="18"/>
      <c r="L1121" s="18"/>
      <c r="M1121" s="21"/>
      <c r="N1121" s="21"/>
      <c r="O1121" s="21"/>
      <c r="P1121" s="21"/>
      <c r="Q1121" s="22"/>
      <c r="R1121" s="19"/>
      <c r="S1121" s="22"/>
      <c r="T1121" s="23"/>
      <c r="U1121" s="18"/>
      <c r="V1121" s="22"/>
      <c r="W1121" s="18"/>
      <c r="X1121" s="18"/>
      <c r="Y1121" s="21"/>
      <c r="Z1121" s="18"/>
    </row>
    <row r="1122" spans="1:26" x14ac:dyDescent="0.25">
      <c r="A1122" s="18"/>
      <c r="B1122" s="18"/>
      <c r="C1122" s="18"/>
      <c r="D1122" s="18"/>
      <c r="E1122" s="19"/>
      <c r="F1122" s="20"/>
      <c r="G1122" s="13"/>
      <c r="H1122" s="20"/>
      <c r="I1122" s="18"/>
      <c r="J1122" s="18"/>
      <c r="K1122" s="18"/>
      <c r="L1122" s="18"/>
      <c r="M1122" s="21"/>
      <c r="N1122" s="21"/>
      <c r="O1122" s="21"/>
      <c r="P1122" s="21"/>
      <c r="Q1122" s="22"/>
      <c r="R1122" s="19"/>
      <c r="S1122" s="22"/>
      <c r="T1122" s="23"/>
      <c r="U1122" s="18"/>
      <c r="V1122" s="22"/>
      <c r="W1122" s="18"/>
      <c r="X1122" s="18"/>
      <c r="Y1122" s="21"/>
      <c r="Z1122" s="18"/>
    </row>
    <row r="1123" spans="1:26" x14ac:dyDescent="0.25">
      <c r="A1123" s="11"/>
      <c r="B1123" s="11"/>
      <c r="C1123" s="11"/>
      <c r="D1123" s="11"/>
      <c r="E1123" s="12"/>
      <c r="F1123" s="13"/>
      <c r="G1123" s="13"/>
      <c r="H1123" s="13"/>
      <c r="I1123" s="11"/>
      <c r="J1123" s="11"/>
      <c r="K1123" s="11"/>
      <c r="L1123" s="11"/>
      <c r="M1123" s="15"/>
      <c r="N1123" s="15"/>
      <c r="O1123" s="15"/>
      <c r="P1123" s="15"/>
      <c r="Q1123" s="16"/>
      <c r="R1123" s="16"/>
      <c r="S1123" s="16"/>
      <c r="T1123" s="17"/>
      <c r="U1123" s="11"/>
      <c r="V1123" s="16"/>
      <c r="W1123" s="11"/>
      <c r="X1123" s="11"/>
      <c r="Y1123" s="15"/>
      <c r="Z1123" s="11"/>
    </row>
    <row r="1124" spans="1:26" x14ac:dyDescent="0.25">
      <c r="A1124" s="11"/>
      <c r="B1124" s="11"/>
      <c r="C1124" s="11"/>
      <c r="D1124" s="11"/>
      <c r="E1124" s="12"/>
      <c r="F1124" s="13"/>
      <c r="G1124" s="13"/>
      <c r="H1124" s="13"/>
      <c r="I1124" s="11"/>
      <c r="J1124" s="11"/>
      <c r="K1124" s="11"/>
      <c r="L1124" s="11"/>
      <c r="M1124" s="15"/>
      <c r="N1124" s="15"/>
      <c r="O1124" s="15"/>
      <c r="P1124" s="15"/>
      <c r="Q1124" s="16"/>
      <c r="R1124" s="16"/>
      <c r="S1124" s="16"/>
      <c r="T1124" s="17"/>
      <c r="U1124" s="11"/>
      <c r="V1124" s="16"/>
      <c r="W1124" s="11"/>
      <c r="X1124" s="11"/>
      <c r="Y1124" s="15"/>
      <c r="Z1124" s="11"/>
    </row>
    <row r="1125" spans="1:26" x14ac:dyDescent="0.25">
      <c r="A1125" s="18"/>
      <c r="B1125" s="18"/>
      <c r="C1125" s="18"/>
      <c r="D1125" s="18"/>
      <c r="E1125" s="19"/>
      <c r="F1125" s="20"/>
      <c r="G1125" s="13"/>
      <c r="H1125" s="20"/>
      <c r="I1125" s="18"/>
      <c r="J1125" s="18"/>
      <c r="K1125" s="18"/>
      <c r="L1125" s="18"/>
      <c r="M1125" s="21"/>
      <c r="N1125" s="21"/>
      <c r="O1125" s="21"/>
      <c r="P1125" s="21"/>
      <c r="Q1125" s="22"/>
      <c r="R1125" s="19"/>
      <c r="S1125" s="22"/>
      <c r="T1125" s="23"/>
      <c r="U1125" s="18"/>
      <c r="V1125" s="22"/>
      <c r="W1125" s="18"/>
      <c r="X1125" s="18"/>
      <c r="Y1125" s="21"/>
      <c r="Z1125" s="18"/>
    </row>
    <row r="1126" spans="1:26" x14ac:dyDescent="0.25">
      <c r="A1126" s="11"/>
      <c r="B1126" s="11"/>
      <c r="C1126" s="11"/>
      <c r="D1126" s="11"/>
      <c r="E1126" s="12"/>
      <c r="F1126" s="13"/>
      <c r="G1126" s="13"/>
      <c r="H1126" s="13"/>
      <c r="I1126" s="11"/>
      <c r="J1126" s="11"/>
      <c r="K1126" s="11"/>
      <c r="L1126" s="11"/>
      <c r="M1126" s="15"/>
      <c r="N1126" s="15"/>
      <c r="O1126" s="15"/>
      <c r="P1126" s="15"/>
      <c r="Q1126" s="16"/>
      <c r="R1126" s="16"/>
      <c r="S1126" s="16"/>
      <c r="T1126" s="17"/>
      <c r="U1126" s="11"/>
      <c r="V1126" s="16"/>
      <c r="W1126" s="11"/>
      <c r="X1126" s="11"/>
      <c r="Y1126" s="15"/>
      <c r="Z1126" s="11"/>
    </row>
    <row r="1127" spans="1:26" x14ac:dyDescent="0.25">
      <c r="A1127" s="11"/>
      <c r="B1127" s="11"/>
      <c r="C1127" s="11"/>
      <c r="D1127" s="11"/>
      <c r="E1127" s="12"/>
      <c r="F1127" s="13"/>
      <c r="G1127" s="13"/>
      <c r="H1127" s="13"/>
      <c r="I1127" s="11"/>
      <c r="J1127" s="11"/>
      <c r="K1127" s="11"/>
      <c r="L1127" s="11"/>
      <c r="M1127" s="15"/>
      <c r="N1127" s="15"/>
      <c r="O1127" s="15"/>
      <c r="P1127" s="15"/>
      <c r="Q1127" s="16"/>
      <c r="R1127" s="16"/>
      <c r="S1127" s="16"/>
      <c r="T1127" s="17"/>
      <c r="U1127" s="11"/>
      <c r="V1127" s="16"/>
      <c r="W1127" s="11"/>
      <c r="X1127" s="11"/>
      <c r="Y1127" s="15"/>
      <c r="Z1127" s="11"/>
    </row>
    <row r="1128" spans="1:26" x14ac:dyDescent="0.25">
      <c r="A1128" s="11"/>
      <c r="B1128" s="11"/>
      <c r="C1128" s="11"/>
      <c r="D1128" s="11"/>
      <c r="E1128" s="12"/>
      <c r="F1128" s="13"/>
      <c r="G1128" s="13"/>
      <c r="H1128" s="13"/>
      <c r="I1128" s="11"/>
      <c r="J1128" s="11"/>
      <c r="K1128" s="11"/>
      <c r="L1128" s="11"/>
      <c r="M1128" s="15"/>
      <c r="N1128" s="15"/>
      <c r="O1128" s="15"/>
      <c r="P1128" s="15"/>
      <c r="Q1128" s="16"/>
      <c r="R1128" s="16"/>
      <c r="S1128" s="16"/>
      <c r="T1128" s="17"/>
      <c r="U1128" s="11"/>
      <c r="V1128" s="16"/>
      <c r="W1128" s="11"/>
      <c r="X1128" s="11"/>
      <c r="Y1128" s="15"/>
      <c r="Z1128" s="11"/>
    </row>
    <row r="1129" spans="1:26" x14ac:dyDescent="0.25">
      <c r="A1129" s="11"/>
      <c r="B1129" s="11"/>
      <c r="C1129" s="11"/>
      <c r="D1129" s="11"/>
      <c r="E1129" s="12"/>
      <c r="F1129" s="13"/>
      <c r="G1129" s="13"/>
      <c r="H1129" s="13"/>
      <c r="I1129" s="11"/>
      <c r="J1129" s="11"/>
      <c r="K1129" s="11"/>
      <c r="L1129" s="11"/>
      <c r="M1129" s="15"/>
      <c r="N1129" s="15"/>
      <c r="O1129" s="15"/>
      <c r="P1129" s="15"/>
      <c r="Q1129" s="16"/>
      <c r="R1129" s="16"/>
      <c r="S1129" s="16"/>
      <c r="T1129" s="17"/>
      <c r="U1129" s="11"/>
      <c r="V1129" s="16"/>
      <c r="W1129" s="11"/>
      <c r="X1129" s="11"/>
      <c r="Y1129" s="15"/>
      <c r="Z1129" s="11"/>
    </row>
    <row r="1130" spans="1:26" x14ac:dyDescent="0.25">
      <c r="A1130" s="11"/>
      <c r="B1130" s="11"/>
      <c r="C1130" s="11"/>
      <c r="D1130" s="11"/>
      <c r="E1130" s="12"/>
      <c r="F1130" s="13"/>
      <c r="G1130" s="13"/>
      <c r="H1130" s="13"/>
      <c r="I1130" s="11"/>
      <c r="J1130" s="11"/>
      <c r="K1130" s="11"/>
      <c r="L1130" s="11"/>
      <c r="M1130" s="15"/>
      <c r="N1130" s="15"/>
      <c r="O1130" s="15"/>
      <c r="P1130" s="15"/>
      <c r="Q1130" s="16"/>
      <c r="R1130" s="16"/>
      <c r="S1130" s="16"/>
      <c r="T1130" s="17"/>
      <c r="U1130" s="11"/>
      <c r="V1130" s="16"/>
      <c r="W1130" s="11"/>
      <c r="X1130" s="11"/>
      <c r="Y1130" s="15"/>
      <c r="Z1130" s="11"/>
    </row>
    <row r="1131" spans="1:26" x14ac:dyDescent="0.25">
      <c r="A1131" s="11"/>
      <c r="B1131" s="11"/>
      <c r="C1131" s="11"/>
      <c r="D1131" s="11"/>
      <c r="E1131" s="12"/>
      <c r="F1131" s="13"/>
      <c r="G1131" s="13"/>
      <c r="H1131" s="13"/>
      <c r="I1131" s="11"/>
      <c r="J1131" s="11"/>
      <c r="K1131" s="11"/>
      <c r="L1131" s="11"/>
      <c r="M1131" s="15"/>
      <c r="N1131" s="15"/>
      <c r="O1131" s="15"/>
      <c r="P1131" s="15"/>
      <c r="Q1131" s="16"/>
      <c r="R1131" s="16"/>
      <c r="S1131" s="16"/>
      <c r="T1131" s="17"/>
      <c r="U1131" s="11"/>
      <c r="V1131" s="16"/>
      <c r="W1131" s="11"/>
      <c r="X1131" s="11"/>
      <c r="Y1131" s="15"/>
      <c r="Z1131" s="11"/>
    </row>
    <row r="1132" spans="1:26" x14ac:dyDescent="0.25">
      <c r="A1132" s="11"/>
      <c r="B1132" s="11"/>
      <c r="C1132" s="11"/>
      <c r="D1132" s="11"/>
      <c r="E1132" s="12"/>
      <c r="F1132" s="13"/>
      <c r="G1132" s="13"/>
      <c r="H1132" s="13"/>
      <c r="I1132" s="11"/>
      <c r="J1132" s="11"/>
      <c r="K1132" s="11"/>
      <c r="L1132" s="11"/>
      <c r="M1132" s="15"/>
      <c r="N1132" s="15"/>
      <c r="O1132" s="15"/>
      <c r="P1132" s="15"/>
      <c r="Q1132" s="16"/>
      <c r="R1132" s="16"/>
      <c r="S1132" s="16"/>
      <c r="T1132" s="17"/>
      <c r="U1132" s="11"/>
      <c r="V1132" s="16"/>
      <c r="W1132" s="11"/>
      <c r="X1132" s="11"/>
      <c r="Y1132" s="15"/>
      <c r="Z1132" s="11"/>
    </row>
    <row r="1133" spans="1:26" x14ac:dyDescent="0.25">
      <c r="A1133" s="11"/>
      <c r="B1133" s="11"/>
      <c r="C1133" s="11"/>
      <c r="D1133" s="11"/>
      <c r="E1133" s="12"/>
      <c r="F1133" s="13"/>
      <c r="G1133" s="13"/>
      <c r="H1133" s="13"/>
      <c r="I1133" s="11"/>
      <c r="J1133" s="11"/>
      <c r="K1133" s="11"/>
      <c r="L1133" s="11"/>
      <c r="M1133" s="15"/>
      <c r="N1133" s="15"/>
      <c r="O1133" s="15"/>
      <c r="P1133" s="15"/>
      <c r="Q1133" s="16"/>
      <c r="R1133" s="16"/>
      <c r="S1133" s="16"/>
      <c r="T1133" s="17"/>
      <c r="U1133" s="11"/>
      <c r="V1133" s="16"/>
      <c r="W1133" s="11"/>
      <c r="X1133" s="11"/>
      <c r="Y1133" s="15"/>
      <c r="Z1133" s="11"/>
    </row>
    <row r="1134" spans="1:26" x14ac:dyDescent="0.25">
      <c r="A1134" s="11"/>
      <c r="B1134" s="11"/>
      <c r="C1134" s="11"/>
      <c r="D1134" s="11"/>
      <c r="E1134" s="12"/>
      <c r="F1134" s="13"/>
      <c r="G1134" s="13"/>
      <c r="H1134" s="13"/>
      <c r="I1134" s="11"/>
      <c r="J1134" s="11"/>
      <c r="K1134" s="11"/>
      <c r="L1134" s="11"/>
      <c r="M1134" s="15"/>
      <c r="N1134" s="15"/>
      <c r="O1134" s="15"/>
      <c r="P1134" s="15"/>
      <c r="Q1134" s="16"/>
      <c r="R1134" s="16"/>
      <c r="S1134" s="16"/>
      <c r="T1134" s="17"/>
      <c r="U1134" s="11"/>
      <c r="V1134" s="16"/>
      <c r="W1134" s="11"/>
      <c r="X1134" s="11"/>
      <c r="Y1134" s="15"/>
      <c r="Z1134" s="11"/>
    </row>
    <row r="1135" spans="1:26" x14ac:dyDescent="0.25">
      <c r="A1135" s="18"/>
      <c r="B1135" s="18"/>
      <c r="C1135" s="18"/>
      <c r="D1135" s="18"/>
      <c r="E1135" s="19"/>
      <c r="F1135" s="20"/>
      <c r="G1135" s="13"/>
      <c r="H1135" s="20"/>
      <c r="I1135" s="18"/>
      <c r="J1135" s="18"/>
      <c r="K1135" s="18"/>
      <c r="L1135" s="18"/>
      <c r="M1135" s="21"/>
      <c r="N1135" s="21"/>
      <c r="O1135" s="21"/>
      <c r="P1135" s="21"/>
      <c r="Q1135" s="22"/>
      <c r="R1135" s="19"/>
      <c r="S1135" s="22"/>
      <c r="T1135" s="23"/>
      <c r="U1135" s="18"/>
      <c r="V1135" s="22"/>
      <c r="W1135" s="18"/>
      <c r="X1135" s="18"/>
      <c r="Y1135" s="21"/>
      <c r="Z1135" s="18"/>
    </row>
    <row r="1136" spans="1:26" x14ac:dyDescent="0.25">
      <c r="A1136" s="11"/>
      <c r="B1136" s="11"/>
      <c r="C1136" s="11"/>
      <c r="D1136" s="11"/>
      <c r="E1136" s="12"/>
      <c r="F1136" s="13"/>
      <c r="G1136" s="13"/>
      <c r="H1136" s="13"/>
      <c r="I1136" s="11"/>
      <c r="J1136" s="11"/>
      <c r="K1136" s="11"/>
      <c r="L1136" s="11"/>
      <c r="M1136" s="15"/>
      <c r="N1136" s="15"/>
      <c r="O1136" s="15"/>
      <c r="P1136" s="15"/>
      <c r="Q1136" s="16"/>
      <c r="R1136" s="16"/>
      <c r="S1136" s="16"/>
      <c r="T1136" s="17"/>
      <c r="U1136" s="11"/>
      <c r="V1136" s="16"/>
      <c r="W1136" s="11"/>
      <c r="X1136" s="11"/>
      <c r="Y1136" s="15"/>
      <c r="Z1136" s="11"/>
    </row>
    <row r="1137" spans="1:26" x14ac:dyDescent="0.25">
      <c r="A1137" s="18"/>
      <c r="B1137" s="18"/>
      <c r="C1137" s="18"/>
      <c r="D1137" s="18"/>
      <c r="E1137" s="19"/>
      <c r="F1137" s="20"/>
      <c r="G1137" s="13"/>
      <c r="H1137" s="20"/>
      <c r="I1137" s="18"/>
      <c r="J1137" s="18"/>
      <c r="K1137" s="18"/>
      <c r="L1137" s="18"/>
      <c r="M1137" s="21"/>
      <c r="N1137" s="21"/>
      <c r="O1137" s="21"/>
      <c r="P1137" s="21"/>
      <c r="Q1137" s="22"/>
      <c r="R1137" s="19"/>
      <c r="S1137" s="22"/>
      <c r="T1137" s="23"/>
      <c r="U1137" s="18"/>
      <c r="V1137" s="22"/>
      <c r="W1137" s="18"/>
      <c r="X1137" s="18"/>
      <c r="Y1137" s="21"/>
      <c r="Z1137" s="18"/>
    </row>
    <row r="1138" spans="1:26" x14ac:dyDescent="0.25">
      <c r="A1138" s="11"/>
      <c r="B1138" s="11"/>
      <c r="C1138" s="11"/>
      <c r="D1138" s="11"/>
      <c r="E1138" s="12"/>
      <c r="F1138" s="13"/>
      <c r="G1138" s="13"/>
      <c r="H1138" s="13"/>
      <c r="I1138" s="11"/>
      <c r="J1138" s="11"/>
      <c r="K1138" s="11"/>
      <c r="L1138" s="11"/>
      <c r="M1138" s="15"/>
      <c r="N1138" s="15"/>
      <c r="O1138" s="15"/>
      <c r="P1138" s="15"/>
      <c r="Q1138" s="16"/>
      <c r="R1138" s="16"/>
      <c r="S1138" s="16"/>
      <c r="T1138" s="17"/>
      <c r="U1138" s="11"/>
      <c r="V1138" s="16"/>
      <c r="W1138" s="11"/>
      <c r="X1138" s="11"/>
      <c r="Y1138" s="15"/>
      <c r="Z1138" s="11"/>
    </row>
    <row r="1139" spans="1:26" x14ac:dyDescent="0.25">
      <c r="A1139" s="11"/>
      <c r="B1139" s="11"/>
      <c r="C1139" s="11"/>
      <c r="D1139" s="11"/>
      <c r="E1139" s="12"/>
      <c r="F1139" s="13"/>
      <c r="G1139" s="13"/>
      <c r="H1139" s="13"/>
      <c r="I1139" s="11"/>
      <c r="J1139" s="11"/>
      <c r="K1139" s="11"/>
      <c r="L1139" s="11"/>
      <c r="M1139" s="15"/>
      <c r="N1139" s="15"/>
      <c r="O1139" s="15"/>
      <c r="P1139" s="15"/>
      <c r="Q1139" s="16"/>
      <c r="R1139" s="16"/>
      <c r="S1139" s="16"/>
      <c r="T1139" s="17"/>
      <c r="U1139" s="11"/>
      <c r="V1139" s="16"/>
      <c r="W1139" s="11"/>
      <c r="X1139" s="11"/>
      <c r="Y1139" s="15"/>
      <c r="Z1139" s="11"/>
    </row>
    <row r="1140" spans="1:26" x14ac:dyDescent="0.25">
      <c r="A1140" s="11"/>
      <c r="B1140" s="11"/>
      <c r="C1140" s="11"/>
      <c r="D1140" s="11"/>
      <c r="E1140" s="12"/>
      <c r="F1140" s="13"/>
      <c r="G1140" s="13"/>
      <c r="H1140" s="13"/>
      <c r="I1140" s="11"/>
      <c r="J1140" s="11"/>
      <c r="K1140" s="11"/>
      <c r="L1140" s="11"/>
      <c r="M1140" s="15"/>
      <c r="N1140" s="15"/>
      <c r="O1140" s="15"/>
      <c r="P1140" s="15"/>
      <c r="Q1140" s="16"/>
      <c r="R1140" s="16"/>
      <c r="S1140" s="16"/>
      <c r="T1140" s="17"/>
      <c r="U1140" s="11"/>
      <c r="V1140" s="16"/>
      <c r="W1140" s="11"/>
      <c r="X1140" s="11"/>
      <c r="Y1140" s="15"/>
      <c r="Z1140" s="11"/>
    </row>
    <row r="1141" spans="1:26" x14ac:dyDescent="0.25">
      <c r="A1141" s="11"/>
      <c r="B1141" s="11"/>
      <c r="C1141" s="11"/>
      <c r="D1141" s="11"/>
      <c r="E1141" s="12"/>
      <c r="F1141" s="13"/>
      <c r="G1141" s="13"/>
      <c r="H1141" s="13"/>
      <c r="I1141" s="11"/>
      <c r="J1141" s="11"/>
      <c r="K1141" s="11"/>
      <c r="L1141" s="11"/>
      <c r="M1141" s="15"/>
      <c r="N1141" s="15"/>
      <c r="O1141" s="15"/>
      <c r="P1141" s="15"/>
      <c r="Q1141" s="16"/>
      <c r="R1141" s="16"/>
      <c r="S1141" s="16"/>
      <c r="T1141" s="17"/>
      <c r="U1141" s="11"/>
      <c r="V1141" s="16"/>
      <c r="W1141" s="11"/>
      <c r="X1141" s="11"/>
      <c r="Y1141" s="15"/>
      <c r="Z1141" s="11"/>
    </row>
    <row r="1142" spans="1:26" x14ac:dyDescent="0.25">
      <c r="A1142" s="11"/>
      <c r="B1142" s="11"/>
      <c r="C1142" s="11"/>
      <c r="D1142" s="11"/>
      <c r="E1142" s="12"/>
      <c r="F1142" s="13"/>
      <c r="G1142" s="13"/>
      <c r="H1142" s="13"/>
      <c r="I1142" s="11"/>
      <c r="J1142" s="11"/>
      <c r="K1142" s="11"/>
      <c r="L1142" s="11"/>
      <c r="M1142" s="15"/>
      <c r="N1142" s="15"/>
      <c r="O1142" s="15"/>
      <c r="P1142" s="15"/>
      <c r="Q1142" s="16"/>
      <c r="R1142" s="16"/>
      <c r="S1142" s="16"/>
      <c r="T1142" s="17"/>
      <c r="U1142" s="11"/>
      <c r="V1142" s="16"/>
      <c r="W1142" s="11"/>
      <c r="X1142" s="11"/>
      <c r="Y1142" s="15"/>
      <c r="Z1142" s="11"/>
    </row>
    <row r="1143" spans="1:26" x14ac:dyDescent="0.25">
      <c r="A1143" s="11"/>
      <c r="B1143" s="11"/>
      <c r="C1143" s="11"/>
      <c r="D1143" s="11"/>
      <c r="E1143" s="12"/>
      <c r="F1143" s="13"/>
      <c r="G1143" s="13"/>
      <c r="H1143" s="13"/>
      <c r="I1143" s="11"/>
      <c r="J1143" s="11"/>
      <c r="K1143" s="11"/>
      <c r="L1143" s="11"/>
      <c r="M1143" s="15"/>
      <c r="N1143" s="15"/>
      <c r="O1143" s="15"/>
      <c r="P1143" s="15"/>
      <c r="Q1143" s="16"/>
      <c r="R1143" s="16"/>
      <c r="S1143" s="16"/>
      <c r="T1143" s="17"/>
      <c r="U1143" s="11"/>
      <c r="V1143" s="16"/>
      <c r="W1143" s="11"/>
      <c r="X1143" s="11"/>
      <c r="Y1143" s="15"/>
      <c r="Z1143" s="11"/>
    </row>
    <row r="1144" spans="1:26" x14ac:dyDescent="0.25">
      <c r="A1144" s="11"/>
      <c r="B1144" s="11"/>
      <c r="C1144" s="11"/>
      <c r="D1144" s="11"/>
      <c r="E1144" s="12"/>
      <c r="F1144" s="13"/>
      <c r="G1144" s="13"/>
      <c r="H1144" s="13"/>
      <c r="I1144" s="11"/>
      <c r="J1144" s="11"/>
      <c r="K1144" s="11"/>
      <c r="L1144" s="11"/>
      <c r="M1144" s="15"/>
      <c r="N1144" s="15"/>
      <c r="O1144" s="15"/>
      <c r="P1144" s="15"/>
      <c r="Q1144" s="16"/>
      <c r="R1144" s="16"/>
      <c r="S1144" s="16"/>
      <c r="T1144" s="17"/>
      <c r="U1144" s="11"/>
      <c r="V1144" s="16"/>
      <c r="W1144" s="11"/>
      <c r="X1144" s="11"/>
      <c r="Y1144" s="15"/>
      <c r="Z1144" s="11"/>
    </row>
    <row r="1145" spans="1:26" x14ac:dyDescent="0.25">
      <c r="A1145" s="11"/>
      <c r="B1145" s="11"/>
      <c r="C1145" s="11"/>
      <c r="D1145" s="11"/>
      <c r="E1145" s="12"/>
      <c r="F1145" s="13"/>
      <c r="G1145" s="13"/>
      <c r="H1145" s="13"/>
      <c r="I1145" s="11"/>
      <c r="J1145" s="11"/>
      <c r="K1145" s="11"/>
      <c r="L1145" s="11"/>
      <c r="M1145" s="15"/>
      <c r="N1145" s="15"/>
      <c r="O1145" s="15"/>
      <c r="P1145" s="15"/>
      <c r="Q1145" s="16"/>
      <c r="R1145" s="16"/>
      <c r="S1145" s="16"/>
      <c r="T1145" s="17"/>
      <c r="U1145" s="11"/>
      <c r="V1145" s="16"/>
      <c r="W1145" s="11"/>
      <c r="X1145" s="11"/>
      <c r="Y1145" s="15"/>
      <c r="Z1145" s="11"/>
    </row>
    <row r="1146" spans="1:26" x14ac:dyDescent="0.25">
      <c r="A1146" s="11"/>
      <c r="B1146" s="11"/>
      <c r="C1146" s="11"/>
      <c r="D1146" s="11"/>
      <c r="E1146" s="12"/>
      <c r="F1146" s="13"/>
      <c r="G1146" s="13"/>
      <c r="H1146" s="13"/>
      <c r="I1146" s="11"/>
      <c r="J1146" s="11"/>
      <c r="K1146" s="11"/>
      <c r="L1146" s="11"/>
      <c r="M1146" s="15"/>
      <c r="N1146" s="15"/>
      <c r="O1146" s="15"/>
      <c r="P1146" s="15"/>
      <c r="Q1146" s="16"/>
      <c r="R1146" s="16"/>
      <c r="S1146" s="16"/>
      <c r="T1146" s="17"/>
      <c r="U1146" s="11"/>
      <c r="V1146" s="16"/>
      <c r="W1146" s="11"/>
      <c r="X1146" s="11"/>
      <c r="Y1146" s="15"/>
      <c r="Z1146" s="11"/>
    </row>
    <row r="1147" spans="1:26" x14ac:dyDescent="0.25">
      <c r="A1147" s="11"/>
      <c r="B1147" s="11"/>
      <c r="C1147" s="11"/>
      <c r="D1147" s="11"/>
      <c r="E1147" s="12"/>
      <c r="F1147" s="13"/>
      <c r="G1147" s="13"/>
      <c r="H1147" s="13"/>
      <c r="I1147" s="11"/>
      <c r="J1147" s="11"/>
      <c r="K1147" s="11"/>
      <c r="L1147" s="11"/>
      <c r="M1147" s="15"/>
      <c r="N1147" s="15"/>
      <c r="O1147" s="15"/>
      <c r="P1147" s="15"/>
      <c r="Q1147" s="16"/>
      <c r="R1147" s="16"/>
      <c r="S1147" s="16"/>
      <c r="T1147" s="17"/>
      <c r="U1147" s="11"/>
      <c r="V1147" s="16"/>
      <c r="W1147" s="11"/>
      <c r="X1147" s="11"/>
      <c r="Y1147" s="15"/>
      <c r="Z1147" s="11"/>
    </row>
    <row r="1148" spans="1:26" x14ac:dyDescent="0.25">
      <c r="A1148" s="11"/>
      <c r="B1148" s="11"/>
      <c r="C1148" s="11"/>
      <c r="D1148" s="11"/>
      <c r="E1148" s="12"/>
      <c r="F1148" s="13"/>
      <c r="G1148" s="13"/>
      <c r="H1148" s="13"/>
      <c r="I1148" s="11"/>
      <c r="J1148" s="11"/>
      <c r="K1148" s="11"/>
      <c r="L1148" s="11"/>
      <c r="M1148" s="15"/>
      <c r="N1148" s="15"/>
      <c r="O1148" s="15"/>
      <c r="P1148" s="15"/>
      <c r="Q1148" s="16"/>
      <c r="R1148" s="16"/>
      <c r="S1148" s="16"/>
      <c r="T1148" s="17"/>
      <c r="U1148" s="11"/>
      <c r="V1148" s="16"/>
      <c r="W1148" s="11"/>
      <c r="X1148" s="11"/>
      <c r="Y1148" s="15"/>
      <c r="Z1148" s="11"/>
    </row>
    <row r="1149" spans="1:26" x14ac:dyDescent="0.25">
      <c r="A1149" s="11"/>
      <c r="B1149" s="11"/>
      <c r="C1149" s="11"/>
      <c r="D1149" s="11"/>
      <c r="E1149" s="12"/>
      <c r="F1149" s="13"/>
      <c r="G1149" s="13"/>
      <c r="H1149" s="13"/>
      <c r="I1149" s="11"/>
      <c r="J1149" s="11"/>
      <c r="K1149" s="11"/>
      <c r="L1149" s="11"/>
      <c r="M1149" s="15"/>
      <c r="N1149" s="15"/>
      <c r="O1149" s="15"/>
      <c r="P1149" s="15"/>
      <c r="Q1149" s="16"/>
      <c r="R1149" s="16"/>
      <c r="S1149" s="16"/>
      <c r="T1149" s="17"/>
      <c r="U1149" s="11"/>
      <c r="V1149" s="16"/>
      <c r="W1149" s="11"/>
      <c r="X1149" s="11"/>
      <c r="Y1149" s="15"/>
      <c r="Z1149" s="11"/>
    </row>
    <row r="1150" spans="1:26" x14ac:dyDescent="0.25">
      <c r="A1150" s="11"/>
      <c r="B1150" s="11"/>
      <c r="C1150" s="11"/>
      <c r="D1150" s="11"/>
      <c r="E1150" s="12"/>
      <c r="F1150" s="13"/>
      <c r="G1150" s="13"/>
      <c r="H1150" s="13"/>
      <c r="I1150" s="11"/>
      <c r="J1150" s="11"/>
      <c r="K1150" s="11"/>
      <c r="L1150" s="11"/>
      <c r="M1150" s="15"/>
      <c r="N1150" s="15"/>
      <c r="O1150" s="15"/>
      <c r="P1150" s="15"/>
      <c r="Q1150" s="16"/>
      <c r="R1150" s="16"/>
      <c r="S1150" s="16"/>
      <c r="T1150" s="17"/>
      <c r="U1150" s="11"/>
      <c r="V1150" s="16"/>
      <c r="W1150" s="11"/>
      <c r="X1150" s="11"/>
      <c r="Y1150" s="15"/>
      <c r="Z1150" s="11"/>
    </row>
    <row r="1151" spans="1:26" x14ac:dyDescent="0.25">
      <c r="A1151" s="11"/>
      <c r="B1151" s="11"/>
      <c r="C1151" s="11"/>
      <c r="D1151" s="11"/>
      <c r="E1151" s="12"/>
      <c r="F1151" s="13"/>
      <c r="G1151" s="13"/>
      <c r="H1151" s="13"/>
      <c r="I1151" s="11"/>
      <c r="J1151" s="11"/>
      <c r="K1151" s="11"/>
      <c r="L1151" s="11"/>
      <c r="M1151" s="15"/>
      <c r="N1151" s="15"/>
      <c r="O1151" s="15"/>
      <c r="P1151" s="15"/>
      <c r="Q1151" s="16"/>
      <c r="R1151" s="16"/>
      <c r="S1151" s="16"/>
      <c r="T1151" s="17"/>
      <c r="U1151" s="11"/>
      <c r="V1151" s="16"/>
      <c r="W1151" s="11"/>
      <c r="X1151" s="11"/>
      <c r="Y1151" s="15"/>
      <c r="Z1151" s="11"/>
    </row>
    <row r="1152" spans="1:26" x14ac:dyDescent="0.25">
      <c r="A1152" s="11"/>
      <c r="B1152" s="11"/>
      <c r="C1152" s="11"/>
      <c r="D1152" s="11"/>
      <c r="E1152" s="12"/>
      <c r="F1152" s="13"/>
      <c r="G1152" s="13"/>
      <c r="H1152" s="13"/>
      <c r="I1152" s="11"/>
      <c r="J1152" s="11"/>
      <c r="K1152" s="11"/>
      <c r="L1152" s="11"/>
      <c r="M1152" s="15"/>
      <c r="N1152" s="15"/>
      <c r="O1152" s="15"/>
      <c r="P1152" s="15"/>
      <c r="Q1152" s="16"/>
      <c r="R1152" s="16"/>
      <c r="S1152" s="16"/>
      <c r="T1152" s="17"/>
      <c r="U1152" s="11"/>
      <c r="V1152" s="16"/>
      <c r="W1152" s="11"/>
      <c r="X1152" s="11"/>
      <c r="Y1152" s="15"/>
      <c r="Z1152" s="11"/>
    </row>
    <row r="1153" spans="1:26" x14ac:dyDescent="0.25">
      <c r="A1153" s="11"/>
      <c r="B1153" s="11"/>
      <c r="C1153" s="11"/>
      <c r="D1153" s="11"/>
      <c r="E1153" s="12"/>
      <c r="F1153" s="13"/>
      <c r="G1153" s="13"/>
      <c r="H1153" s="13"/>
      <c r="I1153" s="11"/>
      <c r="J1153" s="11"/>
      <c r="K1153" s="11"/>
      <c r="L1153" s="11"/>
      <c r="M1153" s="15"/>
      <c r="N1153" s="15"/>
      <c r="O1153" s="15"/>
      <c r="P1153" s="15"/>
      <c r="Q1153" s="16"/>
      <c r="R1153" s="16"/>
      <c r="S1153" s="16"/>
      <c r="T1153" s="17"/>
      <c r="U1153" s="11"/>
      <c r="V1153" s="16"/>
      <c r="W1153" s="11"/>
      <c r="X1153" s="11"/>
      <c r="Y1153" s="15"/>
      <c r="Z1153" s="11"/>
    </row>
    <row r="1154" spans="1:26" x14ac:dyDescent="0.25">
      <c r="A1154" s="11"/>
      <c r="B1154" s="11"/>
      <c r="C1154" s="11"/>
      <c r="D1154" s="11"/>
      <c r="E1154" s="12"/>
      <c r="F1154" s="13"/>
      <c r="G1154" s="13"/>
      <c r="H1154" s="13"/>
      <c r="I1154" s="11"/>
      <c r="J1154" s="11"/>
      <c r="K1154" s="11"/>
      <c r="L1154" s="11"/>
      <c r="M1154" s="15"/>
      <c r="N1154" s="15"/>
      <c r="O1154" s="15"/>
      <c r="P1154" s="15"/>
      <c r="Q1154" s="16"/>
      <c r="R1154" s="16"/>
      <c r="S1154" s="16"/>
      <c r="T1154" s="17"/>
      <c r="U1154" s="11"/>
      <c r="V1154" s="16"/>
      <c r="W1154" s="11"/>
      <c r="X1154" s="11"/>
      <c r="Y1154" s="15"/>
      <c r="Z1154" s="11"/>
    </row>
    <row r="1155" spans="1:26" x14ac:dyDescent="0.25">
      <c r="A1155" s="11"/>
      <c r="B1155" s="11"/>
      <c r="C1155" s="11"/>
      <c r="D1155" s="11"/>
      <c r="E1155" s="12"/>
      <c r="F1155" s="13"/>
      <c r="G1155" s="13"/>
      <c r="H1155" s="13"/>
      <c r="I1155" s="11"/>
      <c r="J1155" s="11"/>
      <c r="K1155" s="11"/>
      <c r="L1155" s="11"/>
      <c r="M1155" s="15"/>
      <c r="N1155" s="15"/>
      <c r="O1155" s="15"/>
      <c r="P1155" s="15"/>
      <c r="Q1155" s="16"/>
      <c r="R1155" s="16"/>
      <c r="S1155" s="16"/>
      <c r="T1155" s="17"/>
      <c r="U1155" s="11"/>
      <c r="V1155" s="16"/>
      <c r="W1155" s="11"/>
      <c r="X1155" s="11"/>
      <c r="Y1155" s="15"/>
      <c r="Z1155" s="11"/>
    </row>
    <row r="1156" spans="1:26" x14ac:dyDescent="0.25">
      <c r="A1156" s="11"/>
      <c r="B1156" s="11"/>
      <c r="C1156" s="11"/>
      <c r="D1156" s="11"/>
      <c r="E1156" s="12"/>
      <c r="F1156" s="13"/>
      <c r="G1156" s="13"/>
      <c r="H1156" s="13"/>
      <c r="I1156" s="11"/>
      <c r="J1156" s="11"/>
      <c r="K1156" s="11"/>
      <c r="L1156" s="11"/>
      <c r="M1156" s="15"/>
      <c r="N1156" s="15"/>
      <c r="O1156" s="15"/>
      <c r="P1156" s="15"/>
      <c r="Q1156" s="16"/>
      <c r="R1156" s="16"/>
      <c r="S1156" s="16"/>
      <c r="T1156" s="17"/>
      <c r="U1156" s="11"/>
      <c r="V1156" s="16"/>
      <c r="W1156" s="11"/>
      <c r="X1156" s="11"/>
      <c r="Y1156" s="15"/>
      <c r="Z1156" s="11"/>
    </row>
    <row r="1157" spans="1:26" x14ac:dyDescent="0.25">
      <c r="A1157" s="11"/>
      <c r="B1157" s="11"/>
      <c r="C1157" s="11"/>
      <c r="D1157" s="11"/>
      <c r="E1157" s="12"/>
      <c r="F1157" s="13"/>
      <c r="G1157" s="13"/>
      <c r="H1157" s="13"/>
      <c r="I1157" s="11"/>
      <c r="J1157" s="11"/>
      <c r="K1157" s="11"/>
      <c r="L1157" s="11"/>
      <c r="M1157" s="15"/>
      <c r="N1157" s="15"/>
      <c r="O1157" s="15"/>
      <c r="P1157" s="15"/>
      <c r="Q1157" s="16"/>
      <c r="R1157" s="16"/>
      <c r="S1157" s="16"/>
      <c r="T1157" s="17"/>
      <c r="U1157" s="11"/>
      <c r="V1157" s="16"/>
      <c r="W1157" s="11"/>
      <c r="X1157" s="11"/>
      <c r="Y1157" s="15"/>
      <c r="Z1157" s="11"/>
    </row>
    <row r="1158" spans="1:26" x14ac:dyDescent="0.25">
      <c r="A1158" s="11"/>
      <c r="B1158" s="11"/>
      <c r="C1158" s="11"/>
      <c r="D1158" s="11"/>
      <c r="E1158" s="12"/>
      <c r="F1158" s="13"/>
      <c r="G1158" s="13"/>
      <c r="H1158" s="13"/>
      <c r="I1158" s="11"/>
      <c r="J1158" s="11"/>
      <c r="K1158" s="11"/>
      <c r="L1158" s="11"/>
      <c r="M1158" s="15"/>
      <c r="N1158" s="15"/>
      <c r="O1158" s="15"/>
      <c r="P1158" s="15"/>
      <c r="Q1158" s="16"/>
      <c r="R1158" s="16"/>
      <c r="S1158" s="16"/>
      <c r="T1158" s="17"/>
      <c r="U1158" s="11"/>
      <c r="V1158" s="16"/>
      <c r="W1158" s="11"/>
      <c r="X1158" s="11"/>
      <c r="Y1158" s="15"/>
      <c r="Z1158" s="11"/>
    </row>
    <row r="1159" spans="1:26" x14ac:dyDescent="0.25">
      <c r="A1159" s="18"/>
      <c r="B1159" s="18"/>
      <c r="C1159" s="18"/>
      <c r="D1159" s="18"/>
      <c r="E1159" s="19"/>
      <c r="F1159" s="20"/>
      <c r="G1159" s="13"/>
      <c r="H1159" s="20"/>
      <c r="I1159" s="18"/>
      <c r="J1159" s="18"/>
      <c r="K1159" s="18"/>
      <c r="L1159" s="18"/>
      <c r="M1159" s="21"/>
      <c r="N1159" s="21"/>
      <c r="O1159" s="21"/>
      <c r="P1159" s="21"/>
      <c r="Q1159" s="22"/>
      <c r="R1159" s="19"/>
      <c r="S1159" s="22"/>
      <c r="T1159" s="23"/>
      <c r="U1159" s="18"/>
      <c r="V1159" s="22"/>
      <c r="W1159" s="18"/>
      <c r="X1159" s="18"/>
      <c r="Y1159" s="21"/>
      <c r="Z1159" s="18"/>
    </row>
    <row r="1160" spans="1:26" x14ac:dyDescent="0.25">
      <c r="A1160" s="18"/>
      <c r="B1160" s="18"/>
      <c r="C1160" s="18"/>
      <c r="D1160" s="18"/>
      <c r="E1160" s="19"/>
      <c r="F1160" s="20"/>
      <c r="G1160" s="13"/>
      <c r="H1160" s="20"/>
      <c r="I1160" s="18"/>
      <c r="J1160" s="18"/>
      <c r="K1160" s="18"/>
      <c r="L1160" s="18"/>
      <c r="M1160" s="21"/>
      <c r="N1160" s="21"/>
      <c r="O1160" s="21"/>
      <c r="P1160" s="21"/>
      <c r="Q1160" s="22"/>
      <c r="R1160" s="19"/>
      <c r="S1160" s="22"/>
      <c r="T1160" s="23"/>
      <c r="U1160" s="18"/>
      <c r="V1160" s="22"/>
      <c r="W1160" s="18"/>
      <c r="X1160" s="18"/>
      <c r="Y1160" s="21"/>
      <c r="Z1160" s="18"/>
    </row>
    <row r="1161" spans="1:26" x14ac:dyDescent="0.25">
      <c r="A1161" s="18"/>
      <c r="B1161" s="18"/>
      <c r="C1161" s="18"/>
      <c r="D1161" s="18"/>
      <c r="E1161" s="19"/>
      <c r="F1161" s="20"/>
      <c r="G1161" s="13"/>
      <c r="H1161" s="20"/>
      <c r="I1161" s="18"/>
      <c r="J1161" s="18"/>
      <c r="K1161" s="18"/>
      <c r="L1161" s="18"/>
      <c r="M1161" s="21"/>
      <c r="N1161" s="21"/>
      <c r="O1161" s="21"/>
      <c r="P1161" s="21"/>
      <c r="Q1161" s="22"/>
      <c r="R1161" s="19"/>
      <c r="S1161" s="22"/>
      <c r="T1161" s="23"/>
      <c r="U1161" s="18"/>
      <c r="V1161" s="22"/>
      <c r="W1161" s="18"/>
      <c r="X1161" s="18"/>
      <c r="Y1161" s="21"/>
      <c r="Z1161" s="18"/>
    </row>
    <row r="1162" spans="1:26" x14ac:dyDescent="0.25">
      <c r="A1162" s="11"/>
      <c r="B1162" s="11"/>
      <c r="C1162" s="11"/>
      <c r="D1162" s="11"/>
      <c r="E1162" s="12"/>
      <c r="F1162" s="13"/>
      <c r="G1162" s="13"/>
      <c r="H1162" s="13"/>
      <c r="I1162" s="11"/>
      <c r="J1162" s="11"/>
      <c r="K1162" s="11"/>
      <c r="L1162" s="11"/>
      <c r="M1162" s="15"/>
      <c r="N1162" s="15"/>
      <c r="O1162" s="15"/>
      <c r="P1162" s="15"/>
      <c r="Q1162" s="16"/>
      <c r="R1162" s="16"/>
      <c r="S1162" s="16"/>
      <c r="T1162" s="17"/>
      <c r="U1162" s="11"/>
      <c r="V1162" s="16"/>
      <c r="W1162" s="11"/>
      <c r="X1162" s="11"/>
      <c r="Y1162" s="15"/>
      <c r="Z1162" s="11"/>
    </row>
    <row r="1163" spans="1:26" x14ac:dyDescent="0.25">
      <c r="A1163" s="11"/>
      <c r="B1163" s="11"/>
      <c r="C1163" s="11"/>
      <c r="D1163" s="11"/>
      <c r="E1163" s="12"/>
      <c r="F1163" s="13"/>
      <c r="G1163" s="13"/>
      <c r="H1163" s="13"/>
      <c r="I1163" s="11"/>
      <c r="J1163" s="11"/>
      <c r="K1163" s="11"/>
      <c r="L1163" s="11"/>
      <c r="M1163" s="15"/>
      <c r="N1163" s="15"/>
      <c r="O1163" s="15"/>
      <c r="P1163" s="15"/>
      <c r="Q1163" s="16"/>
      <c r="R1163" s="16"/>
      <c r="S1163" s="16"/>
      <c r="T1163" s="17"/>
      <c r="U1163" s="11"/>
      <c r="V1163" s="16"/>
      <c r="W1163" s="11"/>
      <c r="X1163" s="11"/>
      <c r="Y1163" s="15"/>
      <c r="Z1163" s="11"/>
    </row>
    <row r="1164" spans="1:26" x14ac:dyDescent="0.25">
      <c r="A1164" s="11"/>
      <c r="B1164" s="11"/>
      <c r="C1164" s="11"/>
      <c r="D1164" s="11"/>
      <c r="E1164" s="12"/>
      <c r="F1164" s="13"/>
      <c r="G1164" s="13"/>
      <c r="H1164" s="13"/>
      <c r="I1164" s="11"/>
      <c r="J1164" s="11"/>
      <c r="K1164" s="11"/>
      <c r="L1164" s="11"/>
      <c r="M1164" s="15"/>
      <c r="N1164" s="15"/>
      <c r="O1164" s="15"/>
      <c r="P1164" s="15"/>
      <c r="Q1164" s="16"/>
      <c r="R1164" s="16"/>
      <c r="S1164" s="16"/>
      <c r="T1164" s="17"/>
      <c r="U1164" s="11"/>
      <c r="V1164" s="16"/>
      <c r="W1164" s="11"/>
      <c r="X1164" s="11"/>
      <c r="Y1164" s="15"/>
      <c r="Z1164" s="11"/>
    </row>
    <row r="1165" spans="1:26" x14ac:dyDescent="0.25">
      <c r="A1165" s="11"/>
      <c r="B1165" s="11"/>
      <c r="C1165" s="11"/>
      <c r="D1165" s="11"/>
      <c r="E1165" s="12"/>
      <c r="F1165" s="13"/>
      <c r="G1165" s="13"/>
      <c r="H1165" s="13"/>
      <c r="I1165" s="11"/>
      <c r="J1165" s="11"/>
      <c r="K1165" s="11"/>
      <c r="L1165" s="11"/>
      <c r="M1165" s="15"/>
      <c r="N1165" s="15"/>
      <c r="O1165" s="15"/>
      <c r="P1165" s="15"/>
      <c r="Q1165" s="16"/>
      <c r="R1165" s="16"/>
      <c r="S1165" s="16"/>
      <c r="T1165" s="17"/>
      <c r="U1165" s="11"/>
      <c r="V1165" s="16"/>
      <c r="W1165" s="11"/>
      <c r="X1165" s="11"/>
      <c r="Y1165" s="15"/>
      <c r="Z1165" s="11"/>
    </row>
    <row r="1166" spans="1:26" x14ac:dyDescent="0.25">
      <c r="A1166" s="11"/>
      <c r="B1166" s="11"/>
      <c r="C1166" s="11"/>
      <c r="D1166" s="11"/>
      <c r="E1166" s="12"/>
      <c r="F1166" s="13"/>
      <c r="G1166" s="13"/>
      <c r="H1166" s="13"/>
      <c r="I1166" s="11"/>
      <c r="J1166" s="11"/>
      <c r="K1166" s="11"/>
      <c r="L1166" s="11"/>
      <c r="M1166" s="15"/>
      <c r="N1166" s="15"/>
      <c r="O1166" s="15"/>
      <c r="P1166" s="15"/>
      <c r="Q1166" s="16"/>
      <c r="R1166" s="16"/>
      <c r="S1166" s="16"/>
      <c r="T1166" s="17"/>
      <c r="U1166" s="11"/>
      <c r="V1166" s="16"/>
      <c r="W1166" s="11"/>
      <c r="X1166" s="11"/>
      <c r="Y1166" s="15"/>
      <c r="Z1166" s="11"/>
    </row>
    <row r="1167" spans="1:26" x14ac:dyDescent="0.25">
      <c r="A1167" s="11"/>
      <c r="B1167" s="11"/>
      <c r="C1167" s="11"/>
      <c r="D1167" s="11"/>
      <c r="E1167" s="12"/>
      <c r="F1167" s="13"/>
      <c r="G1167" s="13"/>
      <c r="H1167" s="13"/>
      <c r="I1167" s="11"/>
      <c r="J1167" s="11"/>
      <c r="K1167" s="11"/>
      <c r="L1167" s="11"/>
      <c r="M1167" s="15"/>
      <c r="N1167" s="15"/>
      <c r="O1167" s="15"/>
      <c r="P1167" s="15"/>
      <c r="Q1167" s="16"/>
      <c r="R1167" s="16"/>
      <c r="S1167" s="16"/>
      <c r="T1167" s="17"/>
      <c r="U1167" s="11"/>
      <c r="V1167" s="16"/>
      <c r="W1167" s="11"/>
      <c r="X1167" s="11"/>
      <c r="Y1167" s="15"/>
      <c r="Z1167" s="11"/>
    </row>
    <row r="1168" spans="1:26" x14ac:dyDescent="0.25">
      <c r="A1168" s="11"/>
      <c r="B1168" s="11"/>
      <c r="C1168" s="11"/>
      <c r="D1168" s="11"/>
      <c r="E1168" s="12"/>
      <c r="F1168" s="13"/>
      <c r="G1168" s="13"/>
      <c r="H1168" s="13"/>
      <c r="I1168" s="11"/>
      <c r="J1168" s="11"/>
      <c r="K1168" s="11"/>
      <c r="L1168" s="11"/>
      <c r="M1168" s="15"/>
      <c r="N1168" s="15"/>
      <c r="O1168" s="15"/>
      <c r="P1168" s="15"/>
      <c r="Q1168" s="16"/>
      <c r="R1168" s="16"/>
      <c r="S1168" s="16"/>
      <c r="T1168" s="17"/>
      <c r="U1168" s="11"/>
      <c r="V1168" s="16"/>
      <c r="W1168" s="11"/>
      <c r="X1168" s="11"/>
      <c r="Y1168" s="15"/>
      <c r="Z1168" s="11"/>
    </row>
    <row r="1169" spans="1:26" x14ac:dyDescent="0.25">
      <c r="A1169" s="11"/>
      <c r="B1169" s="11"/>
      <c r="C1169" s="11"/>
      <c r="D1169" s="11"/>
      <c r="E1169" s="12"/>
      <c r="F1169" s="13"/>
      <c r="G1169" s="13"/>
      <c r="H1169" s="13"/>
      <c r="I1169" s="11"/>
      <c r="J1169" s="11"/>
      <c r="K1169" s="11"/>
      <c r="L1169" s="11"/>
      <c r="M1169" s="15"/>
      <c r="N1169" s="15"/>
      <c r="O1169" s="15"/>
      <c r="P1169" s="15"/>
      <c r="Q1169" s="16"/>
      <c r="R1169" s="16"/>
      <c r="S1169" s="16"/>
      <c r="T1169" s="17"/>
      <c r="U1169" s="11"/>
      <c r="V1169" s="16"/>
      <c r="W1169" s="11"/>
      <c r="X1169" s="11"/>
      <c r="Y1169" s="15"/>
      <c r="Z1169" s="11"/>
    </row>
    <row r="1170" spans="1:26" x14ac:dyDescent="0.25">
      <c r="A1170" s="11"/>
      <c r="B1170" s="11"/>
      <c r="C1170" s="11"/>
      <c r="D1170" s="11"/>
      <c r="E1170" s="12"/>
      <c r="F1170" s="13"/>
      <c r="G1170" s="13"/>
      <c r="H1170" s="13"/>
      <c r="I1170" s="11"/>
      <c r="J1170" s="11"/>
      <c r="K1170" s="11"/>
      <c r="L1170" s="11"/>
      <c r="M1170" s="15"/>
      <c r="N1170" s="15"/>
      <c r="O1170" s="15"/>
      <c r="P1170" s="15"/>
      <c r="Q1170" s="16"/>
      <c r="R1170" s="16"/>
      <c r="S1170" s="16"/>
      <c r="T1170" s="17"/>
      <c r="U1170" s="11"/>
      <c r="V1170" s="16"/>
      <c r="W1170" s="11"/>
      <c r="X1170" s="11"/>
      <c r="Y1170" s="15"/>
      <c r="Z1170" s="11"/>
    </row>
    <row r="1171" spans="1:26" x14ac:dyDescent="0.25">
      <c r="A1171" s="11"/>
      <c r="B1171" s="11"/>
      <c r="C1171" s="11"/>
      <c r="D1171" s="11"/>
      <c r="E1171" s="12"/>
      <c r="F1171" s="13"/>
      <c r="G1171" s="13"/>
      <c r="H1171" s="13"/>
      <c r="I1171" s="11"/>
      <c r="J1171" s="11"/>
      <c r="K1171" s="11"/>
      <c r="L1171" s="11"/>
      <c r="M1171" s="15"/>
      <c r="N1171" s="15"/>
      <c r="O1171" s="15"/>
      <c r="P1171" s="15"/>
      <c r="Q1171" s="16"/>
      <c r="R1171" s="16"/>
      <c r="S1171" s="16"/>
      <c r="T1171" s="17"/>
      <c r="U1171" s="11"/>
      <c r="V1171" s="16"/>
      <c r="W1171" s="11"/>
      <c r="X1171" s="11"/>
      <c r="Y1171" s="15"/>
      <c r="Z1171" s="11"/>
    </row>
    <row r="1172" spans="1:26" x14ac:dyDescent="0.25">
      <c r="A1172" s="11"/>
      <c r="B1172" s="11"/>
      <c r="C1172" s="11"/>
      <c r="D1172" s="11"/>
      <c r="E1172" s="12"/>
      <c r="F1172" s="13"/>
      <c r="G1172" s="13"/>
      <c r="H1172" s="13"/>
      <c r="I1172" s="11"/>
      <c r="J1172" s="11"/>
      <c r="K1172" s="11"/>
      <c r="L1172" s="11"/>
      <c r="M1172" s="15"/>
      <c r="N1172" s="15"/>
      <c r="O1172" s="15"/>
      <c r="P1172" s="15"/>
      <c r="Q1172" s="16"/>
      <c r="R1172" s="16"/>
      <c r="S1172" s="16"/>
      <c r="T1172" s="17"/>
      <c r="U1172" s="11"/>
      <c r="V1172" s="16"/>
      <c r="W1172" s="11"/>
      <c r="X1172" s="11"/>
      <c r="Y1172" s="15"/>
      <c r="Z1172" s="11"/>
    </row>
    <row r="1173" spans="1:26" x14ac:dyDescent="0.25">
      <c r="A1173" s="11"/>
      <c r="B1173" s="11"/>
      <c r="C1173" s="11"/>
      <c r="D1173" s="11"/>
      <c r="E1173" s="12"/>
      <c r="F1173" s="13"/>
      <c r="G1173" s="13"/>
      <c r="H1173" s="13"/>
      <c r="I1173" s="11"/>
      <c r="J1173" s="11"/>
      <c r="K1173" s="11"/>
      <c r="L1173" s="11"/>
      <c r="M1173" s="15"/>
      <c r="N1173" s="15"/>
      <c r="O1173" s="15"/>
      <c r="P1173" s="15"/>
      <c r="Q1173" s="16"/>
      <c r="R1173" s="16"/>
      <c r="S1173" s="16"/>
      <c r="T1173" s="17"/>
      <c r="U1173" s="11"/>
      <c r="V1173" s="16"/>
      <c r="W1173" s="11"/>
      <c r="X1173" s="11"/>
      <c r="Y1173" s="15"/>
      <c r="Z1173" s="11"/>
    </row>
    <row r="1174" spans="1:26" x14ac:dyDescent="0.25">
      <c r="A1174" s="11"/>
      <c r="B1174" s="11"/>
      <c r="C1174" s="11"/>
      <c r="D1174" s="11"/>
      <c r="E1174" s="12"/>
      <c r="F1174" s="13"/>
      <c r="G1174" s="13"/>
      <c r="H1174" s="13"/>
      <c r="I1174" s="11"/>
      <c r="J1174" s="11"/>
      <c r="K1174" s="11"/>
      <c r="L1174" s="11"/>
      <c r="M1174" s="15"/>
      <c r="N1174" s="15"/>
      <c r="O1174" s="15"/>
      <c r="P1174" s="15"/>
      <c r="Q1174" s="16"/>
      <c r="R1174" s="16"/>
      <c r="S1174" s="16"/>
      <c r="T1174" s="17"/>
      <c r="U1174" s="11"/>
      <c r="V1174" s="16"/>
      <c r="W1174" s="11"/>
      <c r="X1174" s="11"/>
      <c r="Y1174" s="15"/>
      <c r="Z1174" s="11"/>
    </row>
    <row r="1175" spans="1:26" x14ac:dyDescent="0.25">
      <c r="A1175" s="11"/>
      <c r="B1175" s="11"/>
      <c r="C1175" s="11"/>
      <c r="D1175" s="11"/>
      <c r="E1175" s="12"/>
      <c r="F1175" s="13"/>
      <c r="G1175" s="13"/>
      <c r="H1175" s="13"/>
      <c r="I1175" s="11"/>
      <c r="J1175" s="11"/>
      <c r="K1175" s="11"/>
      <c r="L1175" s="11"/>
      <c r="M1175" s="15"/>
      <c r="N1175" s="15"/>
      <c r="O1175" s="15"/>
      <c r="P1175" s="15"/>
      <c r="Q1175" s="16"/>
      <c r="R1175" s="16"/>
      <c r="S1175" s="16"/>
      <c r="T1175" s="17"/>
      <c r="U1175" s="11"/>
      <c r="V1175" s="16"/>
      <c r="W1175" s="11"/>
      <c r="X1175" s="11"/>
      <c r="Y1175" s="15"/>
      <c r="Z1175" s="11"/>
    </row>
    <row r="1176" spans="1:26" x14ac:dyDescent="0.25">
      <c r="A1176" s="11"/>
      <c r="B1176" s="11"/>
      <c r="C1176" s="11"/>
      <c r="D1176" s="11"/>
      <c r="E1176" s="12"/>
      <c r="F1176" s="13"/>
      <c r="G1176" s="13"/>
      <c r="H1176" s="13"/>
      <c r="I1176" s="11"/>
      <c r="J1176" s="11"/>
      <c r="K1176" s="11"/>
      <c r="L1176" s="11"/>
      <c r="M1176" s="15"/>
      <c r="N1176" s="15"/>
      <c r="O1176" s="15"/>
      <c r="P1176" s="15"/>
      <c r="Q1176" s="16"/>
      <c r="R1176" s="16"/>
      <c r="S1176" s="16"/>
      <c r="T1176" s="17"/>
      <c r="U1176" s="11"/>
      <c r="V1176" s="16"/>
      <c r="W1176" s="11"/>
      <c r="X1176" s="11"/>
      <c r="Y1176" s="15"/>
      <c r="Z1176" s="11"/>
    </row>
    <row r="1177" spans="1:26" x14ac:dyDescent="0.25">
      <c r="A1177" s="11"/>
      <c r="B1177" s="11"/>
      <c r="C1177" s="11"/>
      <c r="D1177" s="11"/>
      <c r="E1177" s="12"/>
      <c r="F1177" s="13"/>
      <c r="G1177" s="13"/>
      <c r="H1177" s="13"/>
      <c r="I1177" s="11"/>
      <c r="J1177" s="11"/>
      <c r="K1177" s="11"/>
      <c r="L1177" s="11"/>
      <c r="M1177" s="15"/>
      <c r="N1177" s="15"/>
      <c r="O1177" s="15"/>
      <c r="P1177" s="15"/>
      <c r="Q1177" s="16"/>
      <c r="R1177" s="16"/>
      <c r="S1177" s="16"/>
      <c r="T1177" s="17"/>
      <c r="U1177" s="11"/>
      <c r="V1177" s="16"/>
      <c r="W1177" s="11"/>
      <c r="X1177" s="11"/>
      <c r="Y1177" s="15"/>
      <c r="Z1177" s="11"/>
    </row>
    <row r="1178" spans="1:26" x14ac:dyDescent="0.25">
      <c r="A1178" s="18"/>
      <c r="B1178" s="18"/>
      <c r="C1178" s="18"/>
      <c r="D1178" s="18"/>
      <c r="E1178" s="19"/>
      <c r="F1178" s="20"/>
      <c r="G1178" s="13"/>
      <c r="H1178" s="20"/>
      <c r="I1178" s="18"/>
      <c r="J1178" s="18"/>
      <c r="K1178" s="18"/>
      <c r="L1178" s="18"/>
      <c r="M1178" s="21"/>
      <c r="N1178" s="21"/>
      <c r="O1178" s="21"/>
      <c r="P1178" s="21"/>
      <c r="Q1178" s="22"/>
      <c r="R1178" s="19"/>
      <c r="S1178" s="22"/>
      <c r="T1178" s="23"/>
      <c r="U1178" s="18"/>
      <c r="V1178" s="22"/>
      <c r="W1178" s="18"/>
      <c r="X1178" s="18"/>
      <c r="Y1178" s="21"/>
      <c r="Z1178" s="18"/>
    </row>
    <row r="1179" spans="1:26" x14ac:dyDescent="0.25">
      <c r="A1179" s="11"/>
      <c r="B1179" s="11"/>
      <c r="C1179" s="11"/>
      <c r="D1179" s="11"/>
      <c r="E1179" s="12"/>
      <c r="F1179" s="13"/>
      <c r="G1179" s="13"/>
      <c r="H1179" s="13"/>
      <c r="I1179" s="11"/>
      <c r="J1179" s="11"/>
      <c r="K1179" s="11"/>
      <c r="L1179" s="11"/>
      <c r="M1179" s="15"/>
      <c r="N1179" s="15"/>
      <c r="O1179" s="15"/>
      <c r="P1179" s="15"/>
      <c r="Q1179" s="16"/>
      <c r="R1179" s="16"/>
      <c r="S1179" s="16"/>
      <c r="T1179" s="17"/>
      <c r="U1179" s="11"/>
      <c r="V1179" s="16"/>
      <c r="W1179" s="11"/>
      <c r="X1179" s="11"/>
      <c r="Y1179" s="15"/>
      <c r="Z1179" s="11"/>
    </row>
    <row r="1180" spans="1:26" x14ac:dyDescent="0.25">
      <c r="A1180" s="11"/>
      <c r="B1180" s="11"/>
      <c r="C1180" s="11"/>
      <c r="D1180" s="11"/>
      <c r="E1180" s="12"/>
      <c r="F1180" s="13"/>
      <c r="G1180" s="13"/>
      <c r="H1180" s="13"/>
      <c r="I1180" s="11"/>
      <c r="J1180" s="11"/>
      <c r="K1180" s="11"/>
      <c r="L1180" s="11"/>
      <c r="M1180" s="15"/>
      <c r="N1180" s="15"/>
      <c r="O1180" s="15"/>
      <c r="P1180" s="15"/>
      <c r="Q1180" s="16"/>
      <c r="R1180" s="16"/>
      <c r="S1180" s="16"/>
      <c r="T1180" s="17"/>
      <c r="U1180" s="11"/>
      <c r="V1180" s="16"/>
      <c r="W1180" s="11"/>
      <c r="X1180" s="11"/>
      <c r="Y1180" s="15"/>
      <c r="Z1180" s="11"/>
    </row>
    <row r="1181" spans="1:26" x14ac:dyDescent="0.25">
      <c r="A1181" s="11"/>
      <c r="B1181" s="11"/>
      <c r="C1181" s="11"/>
      <c r="D1181" s="11"/>
      <c r="E1181" s="12"/>
      <c r="F1181" s="13"/>
      <c r="G1181" s="13"/>
      <c r="H1181" s="13"/>
      <c r="I1181" s="11"/>
      <c r="J1181" s="11"/>
      <c r="K1181" s="11"/>
      <c r="L1181" s="11"/>
      <c r="M1181" s="15"/>
      <c r="N1181" s="15"/>
      <c r="O1181" s="15"/>
      <c r="P1181" s="15"/>
      <c r="Q1181" s="16"/>
      <c r="R1181" s="16"/>
      <c r="S1181" s="16"/>
      <c r="T1181" s="17"/>
      <c r="U1181" s="11"/>
      <c r="V1181" s="16"/>
      <c r="W1181" s="11"/>
      <c r="X1181" s="11"/>
      <c r="Y1181" s="15"/>
      <c r="Z1181" s="11"/>
    </row>
    <row r="1182" spans="1:26" x14ac:dyDescent="0.25">
      <c r="A1182" s="11"/>
      <c r="B1182" s="11"/>
      <c r="C1182" s="11"/>
      <c r="D1182" s="11"/>
      <c r="E1182" s="12"/>
      <c r="F1182" s="13"/>
      <c r="G1182" s="13"/>
      <c r="H1182" s="13"/>
      <c r="I1182" s="11"/>
      <c r="J1182" s="11"/>
      <c r="K1182" s="11"/>
      <c r="L1182" s="11"/>
      <c r="M1182" s="15"/>
      <c r="N1182" s="15"/>
      <c r="O1182" s="15"/>
      <c r="P1182" s="15"/>
      <c r="Q1182" s="16"/>
      <c r="R1182" s="16"/>
      <c r="S1182" s="16"/>
      <c r="T1182" s="17"/>
      <c r="U1182" s="11"/>
      <c r="V1182" s="16"/>
      <c r="W1182" s="11"/>
      <c r="X1182" s="11"/>
      <c r="Y1182" s="15"/>
      <c r="Z1182" s="11"/>
    </row>
    <row r="1183" spans="1:26" x14ac:dyDescent="0.25">
      <c r="A1183" s="18"/>
      <c r="B1183" s="18"/>
      <c r="C1183" s="18"/>
      <c r="D1183" s="18"/>
      <c r="E1183" s="19"/>
      <c r="F1183" s="20"/>
      <c r="G1183" s="13"/>
      <c r="H1183" s="20"/>
      <c r="I1183" s="18"/>
      <c r="J1183" s="18"/>
      <c r="K1183" s="18"/>
      <c r="L1183" s="18"/>
      <c r="M1183" s="21"/>
      <c r="N1183" s="21"/>
      <c r="O1183" s="21"/>
      <c r="P1183" s="21"/>
      <c r="Q1183" s="22"/>
      <c r="R1183" s="19"/>
      <c r="S1183" s="22"/>
      <c r="T1183" s="23"/>
      <c r="U1183" s="18"/>
      <c r="V1183" s="22"/>
      <c r="W1183" s="18"/>
      <c r="X1183" s="18"/>
      <c r="Y1183" s="21"/>
      <c r="Z1183" s="18"/>
    </row>
    <row r="1184" spans="1:26" x14ac:dyDescent="0.25">
      <c r="A1184" s="11"/>
      <c r="B1184" s="11"/>
      <c r="C1184" s="11"/>
      <c r="D1184" s="11"/>
      <c r="E1184" s="12"/>
      <c r="F1184" s="13"/>
      <c r="G1184" s="13"/>
      <c r="H1184" s="13"/>
      <c r="I1184" s="11"/>
      <c r="J1184" s="11"/>
      <c r="K1184" s="11"/>
      <c r="L1184" s="11"/>
      <c r="M1184" s="15"/>
      <c r="N1184" s="15"/>
      <c r="O1184" s="15"/>
      <c r="P1184" s="15"/>
      <c r="Q1184" s="16"/>
      <c r="R1184" s="16"/>
      <c r="S1184" s="16"/>
      <c r="T1184" s="17"/>
      <c r="U1184" s="11"/>
      <c r="V1184" s="16"/>
      <c r="W1184" s="11"/>
      <c r="X1184" s="11"/>
      <c r="Y1184" s="15"/>
      <c r="Z1184" s="11"/>
    </row>
    <row r="1185" spans="1:26" x14ac:dyDescent="0.25">
      <c r="A1185" s="11"/>
      <c r="B1185" s="11"/>
      <c r="C1185" s="11"/>
      <c r="D1185" s="11"/>
      <c r="E1185" s="12"/>
      <c r="F1185" s="13"/>
      <c r="G1185" s="13"/>
      <c r="H1185" s="13"/>
      <c r="I1185" s="11"/>
      <c r="J1185" s="11"/>
      <c r="K1185" s="11"/>
      <c r="L1185" s="11"/>
      <c r="M1185" s="15"/>
      <c r="N1185" s="15"/>
      <c r="O1185" s="15"/>
      <c r="P1185" s="15"/>
      <c r="Q1185" s="16"/>
      <c r="R1185" s="16"/>
      <c r="S1185" s="16"/>
      <c r="T1185" s="17"/>
      <c r="U1185" s="11"/>
      <c r="V1185" s="16"/>
      <c r="W1185" s="11"/>
      <c r="X1185" s="11"/>
      <c r="Y1185" s="15"/>
      <c r="Z1185" s="11"/>
    </row>
    <row r="1186" spans="1:26" x14ac:dyDescent="0.25">
      <c r="A1186" s="11"/>
      <c r="B1186" s="11"/>
      <c r="C1186" s="11"/>
      <c r="D1186" s="11"/>
      <c r="E1186" s="12"/>
      <c r="F1186" s="13"/>
      <c r="G1186" s="13"/>
      <c r="H1186" s="13"/>
      <c r="I1186" s="11"/>
      <c r="J1186" s="11"/>
      <c r="K1186" s="11"/>
      <c r="L1186" s="11"/>
      <c r="M1186" s="15"/>
      <c r="N1186" s="15"/>
      <c r="O1186" s="15"/>
      <c r="P1186" s="15"/>
      <c r="Q1186" s="16"/>
      <c r="R1186" s="16"/>
      <c r="S1186" s="16"/>
      <c r="T1186" s="17"/>
      <c r="U1186" s="11"/>
      <c r="V1186" s="16"/>
      <c r="W1186" s="11"/>
      <c r="X1186" s="11"/>
      <c r="Y1186" s="15"/>
      <c r="Z1186" s="11"/>
    </row>
    <row r="1187" spans="1:26" x14ac:dyDescent="0.25">
      <c r="A1187" s="11"/>
      <c r="B1187" s="11"/>
      <c r="C1187" s="11"/>
      <c r="D1187" s="11"/>
      <c r="E1187" s="12"/>
      <c r="F1187" s="13"/>
      <c r="G1187" s="13"/>
      <c r="H1187" s="13"/>
      <c r="I1187" s="11"/>
      <c r="J1187" s="11"/>
      <c r="K1187" s="11"/>
      <c r="L1187" s="11"/>
      <c r="M1187" s="15"/>
      <c r="N1187" s="15"/>
      <c r="O1187" s="15"/>
      <c r="P1187" s="15"/>
      <c r="Q1187" s="16"/>
      <c r="R1187" s="16"/>
      <c r="S1187" s="16"/>
      <c r="T1187" s="17"/>
      <c r="U1187" s="11"/>
      <c r="V1187" s="16"/>
      <c r="W1187" s="11"/>
      <c r="X1187" s="11"/>
      <c r="Y1187" s="15"/>
      <c r="Z1187" s="11"/>
    </row>
    <row r="1188" spans="1:26" x14ac:dyDescent="0.25">
      <c r="A1188" s="11"/>
      <c r="B1188" s="11"/>
      <c r="C1188" s="11"/>
      <c r="D1188" s="11"/>
      <c r="E1188" s="12"/>
      <c r="F1188" s="13"/>
      <c r="G1188" s="13"/>
      <c r="H1188" s="13"/>
      <c r="I1188" s="11"/>
      <c r="J1188" s="11"/>
      <c r="K1188" s="11"/>
      <c r="L1188" s="11"/>
      <c r="M1188" s="15"/>
      <c r="N1188" s="15"/>
      <c r="O1188" s="15"/>
      <c r="P1188" s="15"/>
      <c r="Q1188" s="16"/>
      <c r="R1188" s="16"/>
      <c r="S1188" s="16"/>
      <c r="T1188" s="17"/>
      <c r="U1188" s="11"/>
      <c r="V1188" s="16"/>
      <c r="W1188" s="11"/>
      <c r="X1188" s="11"/>
      <c r="Y1188" s="15"/>
      <c r="Z1188" s="11"/>
    </row>
    <row r="1189" spans="1:26" x14ac:dyDescent="0.25">
      <c r="A1189" s="11"/>
      <c r="B1189" s="11"/>
      <c r="C1189" s="11"/>
      <c r="D1189" s="11"/>
      <c r="E1189" s="12"/>
      <c r="F1189" s="13"/>
      <c r="G1189" s="13"/>
      <c r="H1189" s="13"/>
      <c r="I1189" s="11"/>
      <c r="J1189" s="11"/>
      <c r="K1189" s="11"/>
      <c r="L1189" s="11"/>
      <c r="M1189" s="15"/>
      <c r="N1189" s="15"/>
      <c r="O1189" s="15"/>
      <c r="P1189" s="15"/>
      <c r="Q1189" s="16"/>
      <c r="R1189" s="16"/>
      <c r="S1189" s="16"/>
      <c r="T1189" s="17"/>
      <c r="U1189" s="11"/>
      <c r="V1189" s="16"/>
      <c r="W1189" s="11"/>
      <c r="X1189" s="11"/>
      <c r="Y1189" s="15"/>
      <c r="Z1189" s="11"/>
    </row>
    <row r="1190" spans="1:26" x14ac:dyDescent="0.25">
      <c r="A1190" s="11"/>
      <c r="B1190" s="11"/>
      <c r="C1190" s="11"/>
      <c r="D1190" s="11"/>
      <c r="E1190" s="12"/>
      <c r="F1190" s="13"/>
      <c r="G1190" s="13"/>
      <c r="H1190" s="13"/>
      <c r="I1190" s="11"/>
      <c r="J1190" s="11"/>
      <c r="K1190" s="11"/>
      <c r="L1190" s="11"/>
      <c r="M1190" s="15"/>
      <c r="N1190" s="15"/>
      <c r="O1190" s="15"/>
      <c r="P1190" s="15"/>
      <c r="Q1190" s="16"/>
      <c r="R1190" s="16"/>
      <c r="S1190" s="16"/>
      <c r="T1190" s="17"/>
      <c r="U1190" s="11"/>
      <c r="V1190" s="16"/>
      <c r="W1190" s="11"/>
      <c r="X1190" s="11"/>
      <c r="Y1190" s="15"/>
      <c r="Z1190" s="11"/>
    </row>
    <row r="1191" spans="1:26" x14ac:dyDescent="0.25">
      <c r="A1191" s="11"/>
      <c r="B1191" s="11"/>
      <c r="C1191" s="11"/>
      <c r="D1191" s="11"/>
      <c r="E1191" s="12"/>
      <c r="F1191" s="13"/>
      <c r="G1191" s="13"/>
      <c r="H1191" s="13"/>
      <c r="I1191" s="11"/>
      <c r="J1191" s="11"/>
      <c r="K1191" s="11"/>
      <c r="L1191" s="11"/>
      <c r="M1191" s="15"/>
      <c r="N1191" s="15"/>
      <c r="O1191" s="15"/>
      <c r="P1191" s="15"/>
      <c r="Q1191" s="16"/>
      <c r="R1191" s="16"/>
      <c r="S1191" s="16"/>
      <c r="T1191" s="17"/>
      <c r="U1191" s="11"/>
      <c r="V1191" s="16"/>
      <c r="W1191" s="11"/>
      <c r="X1191" s="11"/>
      <c r="Y1191" s="15"/>
      <c r="Z1191" s="11"/>
    </row>
    <row r="1192" spans="1:26" x14ac:dyDescent="0.25">
      <c r="A1192" s="11"/>
      <c r="B1192" s="11"/>
      <c r="C1192" s="11"/>
      <c r="D1192" s="11"/>
      <c r="E1192" s="12"/>
      <c r="F1192" s="13"/>
      <c r="G1192" s="13"/>
      <c r="H1192" s="13"/>
      <c r="I1192" s="11"/>
      <c r="J1192" s="11"/>
      <c r="K1192" s="11"/>
      <c r="L1192" s="11"/>
      <c r="M1192" s="15"/>
      <c r="N1192" s="15"/>
      <c r="O1192" s="15"/>
      <c r="P1192" s="15"/>
      <c r="Q1192" s="16"/>
      <c r="R1192" s="16"/>
      <c r="S1192" s="16"/>
      <c r="T1192" s="17"/>
      <c r="U1192" s="11"/>
      <c r="V1192" s="16"/>
      <c r="W1192" s="11"/>
      <c r="X1192" s="11"/>
      <c r="Y1192" s="15"/>
      <c r="Z1192" s="11"/>
    </row>
    <row r="1193" spans="1:26" x14ac:dyDescent="0.25">
      <c r="A1193" s="11"/>
      <c r="B1193" s="11"/>
      <c r="C1193" s="11"/>
      <c r="D1193" s="11"/>
      <c r="E1193" s="12"/>
      <c r="F1193" s="13"/>
      <c r="G1193" s="13"/>
      <c r="H1193" s="13"/>
      <c r="I1193" s="11"/>
      <c r="J1193" s="11"/>
      <c r="K1193" s="11"/>
      <c r="L1193" s="11"/>
      <c r="M1193" s="15"/>
      <c r="N1193" s="15"/>
      <c r="O1193" s="15"/>
      <c r="P1193" s="15"/>
      <c r="Q1193" s="16"/>
      <c r="R1193" s="16"/>
      <c r="S1193" s="16"/>
      <c r="T1193" s="17"/>
      <c r="U1193" s="11"/>
      <c r="V1193" s="16"/>
      <c r="W1193" s="11"/>
      <c r="X1193" s="11"/>
      <c r="Y1193" s="15"/>
      <c r="Z1193" s="11"/>
    </row>
    <row r="1194" spans="1:26" x14ac:dyDescent="0.25">
      <c r="A1194" s="11"/>
      <c r="B1194" s="11"/>
      <c r="C1194" s="11"/>
      <c r="D1194" s="11"/>
      <c r="E1194" s="12"/>
      <c r="F1194" s="13"/>
      <c r="G1194" s="13"/>
      <c r="H1194" s="13"/>
      <c r="I1194" s="11"/>
      <c r="J1194" s="11"/>
      <c r="K1194" s="11"/>
      <c r="L1194" s="11"/>
      <c r="M1194" s="15"/>
      <c r="N1194" s="15"/>
      <c r="O1194" s="15"/>
      <c r="P1194" s="15"/>
      <c r="Q1194" s="16"/>
      <c r="R1194" s="16"/>
      <c r="S1194" s="16"/>
      <c r="T1194" s="17"/>
      <c r="U1194" s="11"/>
      <c r="V1194" s="16"/>
      <c r="W1194" s="11"/>
      <c r="X1194" s="11"/>
      <c r="Y1194" s="15"/>
      <c r="Z1194" s="11"/>
    </row>
    <row r="1195" spans="1:26" x14ac:dyDescent="0.25">
      <c r="A1195" s="11"/>
      <c r="B1195" s="11"/>
      <c r="C1195" s="11"/>
      <c r="D1195" s="11"/>
      <c r="E1195" s="12"/>
      <c r="F1195" s="13"/>
      <c r="G1195" s="13"/>
      <c r="H1195" s="13"/>
      <c r="I1195" s="11"/>
      <c r="J1195" s="11"/>
      <c r="K1195" s="11"/>
      <c r="L1195" s="11"/>
      <c r="M1195" s="15"/>
      <c r="N1195" s="15"/>
      <c r="O1195" s="15"/>
      <c r="P1195" s="15"/>
      <c r="Q1195" s="16"/>
      <c r="R1195" s="16"/>
      <c r="S1195" s="16"/>
      <c r="T1195" s="17"/>
      <c r="U1195" s="11"/>
      <c r="V1195" s="16"/>
      <c r="W1195" s="11"/>
      <c r="X1195" s="11"/>
      <c r="Y1195" s="15"/>
      <c r="Z1195" s="11"/>
    </row>
    <row r="1196" spans="1:26" x14ac:dyDescent="0.25">
      <c r="A1196" s="11"/>
      <c r="B1196" s="11"/>
      <c r="C1196" s="11"/>
      <c r="D1196" s="11"/>
      <c r="E1196" s="12"/>
      <c r="F1196" s="13"/>
      <c r="G1196" s="13"/>
      <c r="H1196" s="13"/>
      <c r="I1196" s="11"/>
      <c r="J1196" s="11"/>
      <c r="K1196" s="11"/>
      <c r="L1196" s="11"/>
      <c r="M1196" s="15"/>
      <c r="N1196" s="15"/>
      <c r="O1196" s="15"/>
      <c r="P1196" s="15"/>
      <c r="Q1196" s="16"/>
      <c r="R1196" s="16"/>
      <c r="S1196" s="16"/>
      <c r="T1196" s="17"/>
      <c r="U1196" s="11"/>
      <c r="V1196" s="16"/>
      <c r="W1196" s="11"/>
      <c r="X1196" s="11"/>
      <c r="Y1196" s="15"/>
      <c r="Z1196" s="11"/>
    </row>
    <row r="1197" spans="1:26" x14ac:dyDescent="0.25">
      <c r="A1197" s="18"/>
      <c r="B1197" s="18"/>
      <c r="C1197" s="18"/>
      <c r="D1197" s="18"/>
      <c r="E1197" s="19"/>
      <c r="F1197" s="20"/>
      <c r="G1197" s="13"/>
      <c r="H1197" s="20"/>
      <c r="I1197" s="18"/>
      <c r="J1197" s="18"/>
      <c r="K1197" s="18"/>
      <c r="L1197" s="18"/>
      <c r="M1197" s="21"/>
      <c r="N1197" s="21"/>
      <c r="O1197" s="21"/>
      <c r="P1197" s="21"/>
      <c r="Q1197" s="22"/>
      <c r="R1197" s="19"/>
      <c r="S1197" s="22"/>
      <c r="T1197" s="23"/>
      <c r="U1197" s="18"/>
      <c r="V1197" s="22"/>
      <c r="W1197" s="18"/>
      <c r="X1197" s="18"/>
      <c r="Y1197" s="21"/>
      <c r="Z1197" s="18"/>
    </row>
    <row r="1198" spans="1:26" x14ac:dyDescent="0.25">
      <c r="A1198" s="11"/>
      <c r="B1198" s="11"/>
      <c r="C1198" s="11"/>
      <c r="D1198" s="11"/>
      <c r="E1198" s="12"/>
      <c r="F1198" s="13"/>
      <c r="G1198" s="13"/>
      <c r="H1198" s="13"/>
      <c r="I1198" s="11"/>
      <c r="J1198" s="11"/>
      <c r="K1198" s="11"/>
      <c r="L1198" s="11"/>
      <c r="M1198" s="15"/>
      <c r="N1198" s="15"/>
      <c r="O1198" s="15"/>
      <c r="P1198" s="15"/>
      <c r="Q1198" s="16"/>
      <c r="R1198" s="16"/>
      <c r="S1198" s="16"/>
      <c r="T1198" s="17"/>
      <c r="U1198" s="11"/>
      <c r="V1198" s="16"/>
      <c r="W1198" s="11"/>
      <c r="X1198" s="11"/>
      <c r="Y1198" s="15"/>
      <c r="Z1198" s="11"/>
    </row>
    <row r="1199" spans="1:26" x14ac:dyDescent="0.25">
      <c r="A1199" s="11"/>
      <c r="B1199" s="11"/>
      <c r="C1199" s="11"/>
      <c r="D1199" s="11"/>
      <c r="E1199" s="12"/>
      <c r="F1199" s="13"/>
      <c r="G1199" s="13"/>
      <c r="H1199" s="13"/>
      <c r="I1199" s="11"/>
      <c r="J1199" s="11"/>
      <c r="K1199" s="11"/>
      <c r="L1199" s="11"/>
      <c r="M1199" s="15"/>
      <c r="N1199" s="15"/>
      <c r="O1199" s="15"/>
      <c r="P1199" s="15"/>
      <c r="Q1199" s="16"/>
      <c r="R1199" s="16"/>
      <c r="S1199" s="16"/>
      <c r="T1199" s="17"/>
      <c r="U1199" s="11"/>
      <c r="V1199" s="16"/>
      <c r="W1199" s="11"/>
      <c r="X1199" s="11"/>
      <c r="Y1199" s="15"/>
      <c r="Z1199" s="11"/>
    </row>
    <row r="1200" spans="1:26" x14ac:dyDescent="0.25">
      <c r="A1200" s="11"/>
      <c r="B1200" s="11"/>
      <c r="C1200" s="11"/>
      <c r="D1200" s="11"/>
      <c r="E1200" s="12"/>
      <c r="F1200" s="13"/>
      <c r="G1200" s="13"/>
      <c r="H1200" s="13"/>
      <c r="I1200" s="11"/>
      <c r="J1200" s="11"/>
      <c r="K1200" s="11"/>
      <c r="L1200" s="11"/>
      <c r="M1200" s="15"/>
      <c r="N1200" s="15"/>
      <c r="O1200" s="15"/>
      <c r="P1200" s="15"/>
      <c r="Q1200" s="16"/>
      <c r="R1200" s="16"/>
      <c r="S1200" s="16"/>
      <c r="T1200" s="17"/>
      <c r="U1200" s="11"/>
      <c r="V1200" s="16"/>
      <c r="W1200" s="11"/>
      <c r="X1200" s="11"/>
      <c r="Y1200" s="15"/>
      <c r="Z1200" s="11"/>
    </row>
    <row r="1201" spans="1:26" x14ac:dyDescent="0.25">
      <c r="A1201" s="11"/>
      <c r="B1201" s="11"/>
      <c r="C1201" s="11"/>
      <c r="D1201" s="11"/>
      <c r="E1201" s="12"/>
      <c r="F1201" s="13"/>
      <c r="G1201" s="13"/>
      <c r="H1201" s="13"/>
      <c r="I1201" s="11"/>
      <c r="J1201" s="11"/>
      <c r="K1201" s="11"/>
      <c r="L1201" s="11"/>
      <c r="M1201" s="15"/>
      <c r="N1201" s="15"/>
      <c r="O1201" s="15"/>
      <c r="P1201" s="15"/>
      <c r="Q1201" s="16"/>
      <c r="R1201" s="16"/>
      <c r="S1201" s="16"/>
      <c r="T1201" s="17"/>
      <c r="U1201" s="11"/>
      <c r="V1201" s="16"/>
      <c r="W1201" s="11"/>
      <c r="X1201" s="11"/>
      <c r="Y1201" s="15"/>
      <c r="Z1201" s="11"/>
    </row>
    <row r="1202" spans="1:26" x14ac:dyDescent="0.25">
      <c r="A1202" s="11"/>
      <c r="B1202" s="11"/>
      <c r="C1202" s="11"/>
      <c r="D1202" s="11"/>
      <c r="E1202" s="12"/>
      <c r="F1202" s="13"/>
      <c r="G1202" s="13"/>
      <c r="H1202" s="13"/>
      <c r="I1202" s="11"/>
      <c r="J1202" s="11"/>
      <c r="K1202" s="11"/>
      <c r="L1202" s="11"/>
      <c r="M1202" s="15"/>
      <c r="N1202" s="15"/>
      <c r="O1202" s="15"/>
      <c r="P1202" s="15"/>
      <c r="Q1202" s="16"/>
      <c r="R1202" s="16"/>
      <c r="S1202" s="16"/>
      <c r="T1202" s="17"/>
      <c r="U1202" s="11"/>
      <c r="V1202" s="16"/>
      <c r="W1202" s="11"/>
      <c r="X1202" s="11"/>
      <c r="Y1202" s="15"/>
      <c r="Z1202" s="11"/>
    </row>
    <row r="1203" spans="1:26" x14ac:dyDescent="0.25">
      <c r="A1203" s="19"/>
      <c r="B1203" s="19"/>
      <c r="C1203" s="19"/>
      <c r="D1203" s="19"/>
      <c r="E1203" s="19"/>
      <c r="F1203" s="20"/>
      <c r="G1203" s="13"/>
      <c r="H1203" s="20"/>
      <c r="I1203" s="19"/>
      <c r="J1203" s="19"/>
      <c r="K1203" s="19"/>
      <c r="L1203" s="19"/>
      <c r="M1203" s="21"/>
      <c r="N1203" s="21"/>
      <c r="O1203" s="21"/>
      <c r="P1203" s="21"/>
      <c r="Q1203" s="22"/>
      <c r="R1203" s="19"/>
      <c r="S1203" s="22"/>
      <c r="T1203" s="23"/>
      <c r="U1203" s="19"/>
      <c r="V1203" s="22"/>
      <c r="W1203" s="19"/>
      <c r="X1203" s="19"/>
      <c r="Y1203" s="21"/>
      <c r="Z1203" s="19"/>
    </row>
    <row r="1204" spans="1:26" x14ac:dyDescent="0.25">
      <c r="A1204" s="11"/>
      <c r="B1204" s="11"/>
      <c r="C1204" s="11"/>
      <c r="D1204" s="11"/>
      <c r="E1204" s="12"/>
      <c r="F1204" s="13"/>
      <c r="G1204" s="13"/>
      <c r="H1204" s="13"/>
      <c r="I1204" s="11"/>
      <c r="J1204" s="11"/>
      <c r="K1204" s="11"/>
      <c r="L1204" s="11"/>
      <c r="M1204" s="15"/>
      <c r="N1204" s="15"/>
      <c r="O1204" s="15"/>
      <c r="P1204" s="15"/>
      <c r="Q1204" s="16"/>
      <c r="R1204" s="16"/>
      <c r="S1204" s="16"/>
      <c r="T1204" s="17"/>
      <c r="U1204" s="11"/>
      <c r="V1204" s="16"/>
      <c r="W1204" s="11"/>
      <c r="X1204" s="11"/>
      <c r="Y1204" s="15"/>
      <c r="Z1204" s="11"/>
    </row>
    <row r="1205" spans="1:26" x14ac:dyDescent="0.25">
      <c r="A1205" s="19"/>
      <c r="B1205" s="19"/>
      <c r="C1205" s="19"/>
      <c r="D1205" s="19"/>
      <c r="E1205" s="19"/>
      <c r="F1205" s="20"/>
      <c r="G1205" s="13"/>
      <c r="H1205" s="20"/>
      <c r="I1205" s="19"/>
      <c r="J1205" s="19"/>
      <c r="K1205" s="19"/>
      <c r="L1205" s="19"/>
      <c r="M1205" s="21"/>
      <c r="N1205" s="21"/>
      <c r="O1205" s="21"/>
      <c r="P1205" s="21"/>
      <c r="Q1205" s="22"/>
      <c r="R1205" s="19"/>
      <c r="S1205" s="22"/>
      <c r="T1205" s="23"/>
      <c r="U1205" s="19"/>
      <c r="V1205" s="22"/>
      <c r="W1205" s="19"/>
      <c r="X1205" s="19"/>
      <c r="Y1205" s="21"/>
      <c r="Z1205" s="19"/>
    </row>
    <row r="1206" spans="1:26" x14ac:dyDescent="0.25">
      <c r="A1206" s="11"/>
      <c r="B1206" s="11"/>
      <c r="C1206" s="11"/>
      <c r="D1206" s="11"/>
      <c r="E1206" s="12"/>
      <c r="F1206" s="13"/>
      <c r="G1206" s="13"/>
      <c r="H1206" s="13"/>
      <c r="I1206" s="11"/>
      <c r="J1206" s="11"/>
      <c r="K1206" s="11"/>
      <c r="L1206" s="11"/>
      <c r="M1206" s="15"/>
      <c r="N1206" s="15"/>
      <c r="O1206" s="15"/>
      <c r="P1206" s="15"/>
      <c r="Q1206" s="16"/>
      <c r="R1206" s="16"/>
      <c r="S1206" s="16"/>
      <c r="T1206" s="17"/>
      <c r="U1206" s="11"/>
      <c r="V1206" s="16"/>
      <c r="W1206" s="11"/>
      <c r="X1206" s="11"/>
      <c r="Y1206" s="15"/>
      <c r="Z1206" s="11"/>
    </row>
    <row r="1207" spans="1:26" x14ac:dyDescent="0.25">
      <c r="A1207" s="11"/>
      <c r="B1207" s="11"/>
      <c r="C1207" s="11"/>
      <c r="D1207" s="11"/>
      <c r="E1207" s="12"/>
      <c r="F1207" s="13"/>
      <c r="G1207" s="13"/>
      <c r="H1207" s="13"/>
      <c r="I1207" s="11"/>
      <c r="J1207" s="11"/>
      <c r="K1207" s="11"/>
      <c r="L1207" s="11"/>
      <c r="M1207" s="15"/>
      <c r="N1207" s="15"/>
      <c r="O1207" s="15"/>
      <c r="P1207" s="15"/>
      <c r="Q1207" s="16"/>
      <c r="R1207" s="16"/>
      <c r="S1207" s="16"/>
      <c r="T1207" s="17"/>
      <c r="U1207" s="11"/>
      <c r="V1207" s="16"/>
      <c r="W1207" s="11"/>
      <c r="X1207" s="11"/>
      <c r="Y1207" s="15"/>
      <c r="Z1207" s="11"/>
    </row>
    <row r="1208" spans="1:26" x14ac:dyDescent="0.25">
      <c r="A1208" s="11"/>
      <c r="B1208" s="11"/>
      <c r="C1208" s="11"/>
      <c r="D1208" s="11"/>
      <c r="E1208" s="12"/>
      <c r="F1208" s="13"/>
      <c r="G1208" s="13"/>
      <c r="H1208" s="13"/>
      <c r="I1208" s="11"/>
      <c r="J1208" s="11"/>
      <c r="K1208" s="11"/>
      <c r="L1208" s="11"/>
      <c r="M1208" s="15"/>
      <c r="N1208" s="15"/>
      <c r="O1208" s="15"/>
      <c r="P1208" s="15"/>
      <c r="Q1208" s="16"/>
      <c r="R1208" s="16"/>
      <c r="S1208" s="16"/>
      <c r="T1208" s="17"/>
      <c r="U1208" s="11"/>
      <c r="V1208" s="16"/>
      <c r="W1208" s="11"/>
      <c r="X1208" s="11"/>
      <c r="Y1208" s="15"/>
      <c r="Z1208" s="11"/>
    </row>
    <row r="1209" spans="1:26" x14ac:dyDescent="0.25">
      <c r="A1209" s="11"/>
      <c r="B1209" s="11"/>
      <c r="C1209" s="11"/>
      <c r="D1209" s="11"/>
      <c r="E1209" s="12"/>
      <c r="F1209" s="13"/>
      <c r="G1209" s="13"/>
      <c r="H1209" s="13"/>
      <c r="I1209" s="11"/>
      <c r="J1209" s="11"/>
      <c r="K1209" s="11"/>
      <c r="L1209" s="11"/>
      <c r="M1209" s="15"/>
      <c r="N1209" s="15"/>
      <c r="O1209" s="15"/>
      <c r="P1209" s="15"/>
      <c r="Q1209" s="16"/>
      <c r="R1209" s="16"/>
      <c r="S1209" s="16"/>
      <c r="T1209" s="17"/>
      <c r="U1209" s="11"/>
      <c r="V1209" s="16"/>
      <c r="W1209" s="11"/>
      <c r="X1209" s="11"/>
      <c r="Y1209" s="15"/>
      <c r="Z1209" s="11"/>
    </row>
    <row r="1210" spans="1:26" x14ac:dyDescent="0.25">
      <c r="A1210" s="11"/>
      <c r="B1210" s="11"/>
      <c r="C1210" s="11"/>
      <c r="D1210" s="11"/>
      <c r="E1210" s="12"/>
      <c r="F1210" s="13"/>
      <c r="G1210" s="13"/>
      <c r="H1210" s="13"/>
      <c r="I1210" s="11"/>
      <c r="J1210" s="11"/>
      <c r="K1210" s="11"/>
      <c r="L1210" s="11"/>
      <c r="M1210" s="15"/>
      <c r="N1210" s="15"/>
      <c r="O1210" s="15"/>
      <c r="P1210" s="15"/>
      <c r="Q1210" s="16"/>
      <c r="R1210" s="16"/>
      <c r="S1210" s="16"/>
      <c r="T1210" s="17"/>
      <c r="U1210" s="11"/>
      <c r="V1210" s="16"/>
      <c r="W1210" s="11"/>
      <c r="X1210" s="11"/>
      <c r="Y1210" s="15"/>
      <c r="Z1210" s="11"/>
    </row>
    <row r="1211" spans="1:26" x14ac:dyDescent="0.25">
      <c r="A1211" s="11"/>
      <c r="B1211" s="11"/>
      <c r="C1211" s="11"/>
      <c r="D1211" s="11"/>
      <c r="E1211" s="12"/>
      <c r="F1211" s="13"/>
      <c r="G1211" s="13"/>
      <c r="H1211" s="13"/>
      <c r="I1211" s="11"/>
      <c r="J1211" s="11"/>
      <c r="K1211" s="11"/>
      <c r="L1211" s="11"/>
      <c r="M1211" s="15"/>
      <c r="N1211" s="15"/>
      <c r="O1211" s="15"/>
      <c r="P1211" s="15"/>
      <c r="Q1211" s="16"/>
      <c r="R1211" s="16"/>
      <c r="S1211" s="16"/>
      <c r="T1211" s="17"/>
      <c r="U1211" s="11"/>
      <c r="V1211" s="16"/>
      <c r="W1211" s="11"/>
      <c r="X1211" s="11"/>
      <c r="Y1211" s="15"/>
      <c r="Z1211" s="11"/>
    </row>
    <row r="1212" spans="1:26" x14ac:dyDescent="0.25">
      <c r="A1212" s="11"/>
      <c r="B1212" s="11"/>
      <c r="C1212" s="11"/>
      <c r="D1212" s="11"/>
      <c r="E1212" s="12"/>
      <c r="F1212" s="13"/>
      <c r="G1212" s="13"/>
      <c r="H1212" s="13"/>
      <c r="I1212" s="11"/>
      <c r="J1212" s="11"/>
      <c r="K1212" s="11"/>
      <c r="L1212" s="11"/>
      <c r="M1212" s="15"/>
      <c r="N1212" s="15"/>
      <c r="O1212" s="15"/>
      <c r="P1212" s="15"/>
      <c r="Q1212" s="16"/>
      <c r="R1212" s="16"/>
      <c r="S1212" s="16"/>
      <c r="T1212" s="17"/>
      <c r="U1212" s="11"/>
      <c r="V1212" s="16"/>
      <c r="W1212" s="11"/>
      <c r="X1212" s="11"/>
      <c r="Y1212" s="15"/>
      <c r="Z1212" s="11"/>
    </row>
    <row r="1213" spans="1:26" x14ac:dyDescent="0.25">
      <c r="A1213" s="11"/>
      <c r="B1213" s="11"/>
      <c r="C1213" s="11"/>
      <c r="D1213" s="11"/>
      <c r="E1213" s="12"/>
      <c r="F1213" s="13"/>
      <c r="G1213" s="13"/>
      <c r="H1213" s="13"/>
      <c r="I1213" s="11"/>
      <c r="J1213" s="11"/>
      <c r="K1213" s="11"/>
      <c r="L1213" s="11"/>
      <c r="M1213" s="15"/>
      <c r="N1213" s="15"/>
      <c r="O1213" s="15"/>
      <c r="P1213" s="15"/>
      <c r="Q1213" s="16"/>
      <c r="R1213" s="16"/>
      <c r="S1213" s="16"/>
      <c r="T1213" s="17"/>
      <c r="U1213" s="11"/>
      <c r="V1213" s="16"/>
      <c r="W1213" s="11"/>
      <c r="X1213" s="11"/>
      <c r="Y1213" s="15"/>
      <c r="Z1213" s="11"/>
    </row>
    <row r="1214" spans="1:26" x14ac:dyDescent="0.25">
      <c r="A1214" s="11"/>
      <c r="B1214" s="11"/>
      <c r="C1214" s="11"/>
      <c r="D1214" s="11"/>
      <c r="E1214" s="12"/>
      <c r="F1214" s="13"/>
      <c r="G1214" s="13"/>
      <c r="H1214" s="13"/>
      <c r="I1214" s="11"/>
      <c r="J1214" s="11"/>
      <c r="K1214" s="11"/>
      <c r="L1214" s="11"/>
      <c r="M1214" s="15"/>
      <c r="N1214" s="15"/>
      <c r="O1214" s="15"/>
      <c r="P1214" s="15"/>
      <c r="Q1214" s="16"/>
      <c r="R1214" s="16"/>
      <c r="S1214" s="16"/>
      <c r="T1214" s="17"/>
      <c r="U1214" s="11"/>
      <c r="V1214" s="16"/>
      <c r="W1214" s="11"/>
      <c r="X1214" s="11"/>
      <c r="Y1214" s="15"/>
      <c r="Z1214" s="11"/>
    </row>
    <row r="1215" spans="1:26" x14ac:dyDescent="0.25">
      <c r="A1215" s="11"/>
      <c r="B1215" s="11"/>
      <c r="C1215" s="11"/>
      <c r="D1215" s="11"/>
      <c r="E1215" s="12"/>
      <c r="F1215" s="13"/>
      <c r="G1215" s="13"/>
      <c r="H1215" s="13"/>
      <c r="I1215" s="11"/>
      <c r="J1215" s="11"/>
      <c r="K1215" s="11"/>
      <c r="L1215" s="11"/>
      <c r="M1215" s="15"/>
      <c r="N1215" s="15"/>
      <c r="O1215" s="15"/>
      <c r="P1215" s="15"/>
      <c r="Q1215" s="16"/>
      <c r="R1215" s="16"/>
      <c r="S1215" s="16"/>
      <c r="T1215" s="17"/>
      <c r="U1215" s="11"/>
      <c r="V1215" s="16"/>
      <c r="W1215" s="11"/>
      <c r="X1215" s="11"/>
      <c r="Y1215" s="15"/>
      <c r="Z1215" s="11"/>
    </row>
    <row r="1216" spans="1:26" x14ac:dyDescent="0.25">
      <c r="A1216" s="11"/>
      <c r="B1216" s="11"/>
      <c r="C1216" s="11"/>
      <c r="D1216" s="11"/>
      <c r="E1216" s="12"/>
      <c r="F1216" s="13"/>
      <c r="G1216" s="13"/>
      <c r="H1216" s="13"/>
      <c r="I1216" s="11"/>
      <c r="J1216" s="11"/>
      <c r="K1216" s="11"/>
      <c r="L1216" s="11"/>
      <c r="M1216" s="15"/>
      <c r="N1216" s="15"/>
      <c r="O1216" s="15"/>
      <c r="P1216" s="15"/>
      <c r="Q1216" s="16"/>
      <c r="R1216" s="16"/>
      <c r="S1216" s="16"/>
      <c r="T1216" s="17"/>
      <c r="U1216" s="11"/>
      <c r="V1216" s="16"/>
      <c r="W1216" s="11"/>
      <c r="X1216" s="11"/>
      <c r="Y1216" s="15"/>
      <c r="Z1216" s="11"/>
    </row>
    <row r="1217" spans="1:26" x14ac:dyDescent="0.25">
      <c r="A1217" s="18"/>
      <c r="B1217" s="18"/>
      <c r="C1217" s="18"/>
      <c r="D1217" s="18"/>
      <c r="E1217" s="19"/>
      <c r="F1217" s="20"/>
      <c r="G1217" s="13"/>
      <c r="H1217" s="20"/>
      <c r="I1217" s="18"/>
      <c r="J1217" s="18"/>
      <c r="K1217" s="18"/>
      <c r="L1217" s="18"/>
      <c r="M1217" s="21"/>
      <c r="N1217" s="21"/>
      <c r="O1217" s="21"/>
      <c r="P1217" s="21"/>
      <c r="Q1217" s="22"/>
      <c r="R1217" s="19"/>
      <c r="S1217" s="22"/>
      <c r="T1217" s="23"/>
      <c r="U1217" s="18"/>
      <c r="V1217" s="22"/>
      <c r="W1217" s="18"/>
      <c r="X1217" s="18"/>
      <c r="Y1217" s="21"/>
      <c r="Z1217" s="18"/>
    </row>
    <row r="1218" spans="1:26" x14ac:dyDescent="0.25">
      <c r="A1218" s="18"/>
      <c r="B1218" s="18"/>
      <c r="C1218" s="18"/>
      <c r="D1218" s="18"/>
      <c r="E1218" s="19"/>
      <c r="F1218" s="20"/>
      <c r="G1218" s="13"/>
      <c r="H1218" s="20"/>
      <c r="I1218" s="18"/>
      <c r="J1218" s="18"/>
      <c r="K1218" s="18"/>
      <c r="L1218" s="18"/>
      <c r="M1218" s="21"/>
      <c r="N1218" s="21"/>
      <c r="O1218" s="21"/>
      <c r="P1218" s="21"/>
      <c r="Q1218" s="22"/>
      <c r="R1218" s="19"/>
      <c r="S1218" s="22"/>
      <c r="T1218" s="23"/>
      <c r="U1218" s="18"/>
      <c r="V1218" s="22"/>
      <c r="W1218" s="18"/>
      <c r="X1218" s="18"/>
      <c r="Y1218" s="21"/>
      <c r="Z1218" s="18"/>
    </row>
    <row r="1219" spans="1:26" x14ac:dyDescent="0.25">
      <c r="A1219" s="11"/>
      <c r="B1219" s="11"/>
      <c r="C1219" s="11"/>
      <c r="D1219" s="11"/>
      <c r="E1219" s="12"/>
      <c r="F1219" s="13"/>
      <c r="G1219" s="13"/>
      <c r="H1219" s="13"/>
      <c r="I1219" s="11"/>
      <c r="J1219" s="11"/>
      <c r="K1219" s="11"/>
      <c r="L1219" s="11"/>
      <c r="M1219" s="15"/>
      <c r="N1219" s="15"/>
      <c r="O1219" s="15"/>
      <c r="P1219" s="15"/>
      <c r="Q1219" s="16"/>
      <c r="R1219" s="16"/>
      <c r="S1219" s="16"/>
      <c r="T1219" s="17"/>
      <c r="U1219" s="11"/>
      <c r="V1219" s="16"/>
      <c r="W1219" s="11"/>
      <c r="X1219" s="11"/>
      <c r="Y1219" s="15"/>
      <c r="Z1219" s="11"/>
    </row>
    <row r="1220" spans="1:26" x14ac:dyDescent="0.25">
      <c r="A1220" s="11"/>
      <c r="B1220" s="11"/>
      <c r="C1220" s="11"/>
      <c r="D1220" s="11"/>
      <c r="E1220" s="12"/>
      <c r="F1220" s="13"/>
      <c r="G1220" s="13"/>
      <c r="H1220" s="13"/>
      <c r="I1220" s="11"/>
      <c r="J1220" s="11"/>
      <c r="K1220" s="11"/>
      <c r="L1220" s="11"/>
      <c r="M1220" s="15"/>
      <c r="N1220" s="15"/>
      <c r="O1220" s="15"/>
      <c r="P1220" s="15"/>
      <c r="Q1220" s="16"/>
      <c r="R1220" s="16"/>
      <c r="S1220" s="16"/>
      <c r="T1220" s="17"/>
      <c r="U1220" s="11"/>
      <c r="V1220" s="16"/>
      <c r="W1220" s="11"/>
      <c r="X1220" s="11"/>
      <c r="Y1220" s="15"/>
      <c r="Z1220" s="11"/>
    </row>
    <row r="1221" spans="1:26" x14ac:dyDescent="0.25">
      <c r="A1221" s="11"/>
      <c r="B1221" s="11"/>
      <c r="C1221" s="11"/>
      <c r="D1221" s="11"/>
      <c r="E1221" s="12"/>
      <c r="F1221" s="13"/>
      <c r="G1221" s="13"/>
      <c r="H1221" s="13"/>
      <c r="I1221" s="11"/>
      <c r="J1221" s="11"/>
      <c r="K1221" s="11"/>
      <c r="L1221" s="11"/>
      <c r="M1221" s="15"/>
      <c r="N1221" s="15"/>
      <c r="O1221" s="15"/>
      <c r="P1221" s="15"/>
      <c r="Q1221" s="16"/>
      <c r="R1221" s="16"/>
      <c r="S1221" s="16"/>
      <c r="T1221" s="17"/>
      <c r="U1221" s="11"/>
      <c r="V1221" s="16"/>
      <c r="W1221" s="11"/>
      <c r="X1221" s="11"/>
      <c r="Y1221" s="15"/>
      <c r="Z1221" s="11"/>
    </row>
    <row r="1222" spans="1:26" x14ac:dyDescent="0.25">
      <c r="A1222" s="11"/>
      <c r="B1222" s="11"/>
      <c r="C1222" s="11"/>
      <c r="D1222" s="11"/>
      <c r="E1222" s="12"/>
      <c r="F1222" s="13"/>
      <c r="G1222" s="13"/>
      <c r="H1222" s="13"/>
      <c r="I1222" s="11"/>
      <c r="J1222" s="11"/>
      <c r="K1222" s="11"/>
      <c r="L1222" s="11"/>
      <c r="M1222" s="15"/>
      <c r="N1222" s="15"/>
      <c r="O1222" s="15"/>
      <c r="P1222" s="15"/>
      <c r="Q1222" s="16"/>
      <c r="R1222" s="16"/>
      <c r="S1222" s="16"/>
      <c r="T1222" s="17"/>
      <c r="U1222" s="11"/>
      <c r="V1222" s="16"/>
      <c r="W1222" s="11"/>
      <c r="X1222" s="11"/>
      <c r="Y1222" s="15"/>
      <c r="Z1222" s="11"/>
    </row>
    <row r="1223" spans="1:26" x14ac:dyDescent="0.25">
      <c r="A1223" s="11"/>
      <c r="B1223" s="11"/>
      <c r="C1223" s="11"/>
      <c r="D1223" s="11"/>
      <c r="E1223" s="12"/>
      <c r="F1223" s="13"/>
      <c r="G1223" s="13"/>
      <c r="H1223" s="13"/>
      <c r="I1223" s="11"/>
      <c r="J1223" s="11"/>
      <c r="K1223" s="11"/>
      <c r="L1223" s="11"/>
      <c r="M1223" s="15"/>
      <c r="N1223" s="15"/>
      <c r="O1223" s="15"/>
      <c r="P1223" s="15"/>
      <c r="Q1223" s="16"/>
      <c r="R1223" s="16"/>
      <c r="S1223" s="16"/>
      <c r="T1223" s="17"/>
      <c r="U1223" s="11"/>
      <c r="V1223" s="16"/>
      <c r="W1223" s="11"/>
      <c r="X1223" s="11"/>
      <c r="Y1223" s="15"/>
      <c r="Z1223" s="11"/>
    </row>
    <row r="1224" spans="1:26" x14ac:dyDescent="0.25">
      <c r="A1224" s="11"/>
      <c r="B1224" s="11"/>
      <c r="C1224" s="11"/>
      <c r="D1224" s="11"/>
      <c r="E1224" s="12"/>
      <c r="F1224" s="13"/>
      <c r="G1224" s="13"/>
      <c r="H1224" s="13"/>
      <c r="I1224" s="11"/>
      <c r="J1224" s="11"/>
      <c r="K1224" s="11"/>
      <c r="L1224" s="11"/>
      <c r="M1224" s="15"/>
      <c r="N1224" s="15"/>
      <c r="O1224" s="15"/>
      <c r="P1224" s="15"/>
      <c r="Q1224" s="16"/>
      <c r="R1224" s="16"/>
      <c r="S1224" s="16"/>
      <c r="T1224" s="17"/>
      <c r="U1224" s="11"/>
      <c r="V1224" s="16"/>
      <c r="W1224" s="11"/>
      <c r="X1224" s="11"/>
      <c r="Y1224" s="15"/>
      <c r="Z1224" s="11"/>
    </row>
    <row r="1225" spans="1:26" x14ac:dyDescent="0.25">
      <c r="A1225" s="11"/>
      <c r="B1225" s="11"/>
      <c r="C1225" s="11"/>
      <c r="D1225" s="11"/>
      <c r="E1225" s="12"/>
      <c r="F1225" s="13"/>
      <c r="G1225" s="13"/>
      <c r="H1225" s="13"/>
      <c r="I1225" s="11"/>
      <c r="J1225" s="11"/>
      <c r="K1225" s="11"/>
      <c r="L1225" s="11"/>
      <c r="M1225" s="15"/>
      <c r="N1225" s="15"/>
      <c r="O1225" s="15"/>
      <c r="P1225" s="15"/>
      <c r="Q1225" s="16"/>
      <c r="R1225" s="16"/>
      <c r="S1225" s="16"/>
      <c r="T1225" s="17"/>
      <c r="U1225" s="11"/>
      <c r="V1225" s="16"/>
      <c r="W1225" s="11"/>
      <c r="X1225" s="11"/>
      <c r="Y1225" s="15"/>
      <c r="Z1225" s="11"/>
    </row>
    <row r="1226" spans="1:26" x14ac:dyDescent="0.25">
      <c r="A1226" s="11"/>
      <c r="B1226" s="11"/>
      <c r="C1226" s="11"/>
      <c r="D1226" s="11"/>
      <c r="E1226" s="12"/>
      <c r="F1226" s="13"/>
      <c r="G1226" s="13"/>
      <c r="H1226" s="13"/>
      <c r="I1226" s="11"/>
      <c r="J1226" s="11"/>
      <c r="K1226" s="11"/>
      <c r="L1226" s="11"/>
      <c r="M1226" s="15"/>
      <c r="N1226" s="15"/>
      <c r="O1226" s="15"/>
      <c r="P1226" s="15"/>
      <c r="Q1226" s="16"/>
      <c r="R1226" s="16"/>
      <c r="S1226" s="16"/>
      <c r="T1226" s="17"/>
      <c r="U1226" s="11"/>
      <c r="V1226" s="16"/>
      <c r="W1226" s="11"/>
      <c r="X1226" s="11"/>
      <c r="Y1226" s="15"/>
      <c r="Z1226" s="11"/>
    </row>
    <row r="1227" spans="1:26" x14ac:dyDescent="0.25">
      <c r="A1227" s="11"/>
      <c r="B1227" s="11"/>
      <c r="C1227" s="11"/>
      <c r="D1227" s="11"/>
      <c r="E1227" s="12"/>
      <c r="F1227" s="13"/>
      <c r="G1227" s="13"/>
      <c r="H1227" s="13"/>
      <c r="I1227" s="11"/>
      <c r="J1227" s="11"/>
      <c r="K1227" s="11"/>
      <c r="L1227" s="11"/>
      <c r="M1227" s="15"/>
      <c r="N1227" s="15"/>
      <c r="O1227" s="15"/>
      <c r="P1227" s="15"/>
      <c r="Q1227" s="16"/>
      <c r="R1227" s="16"/>
      <c r="S1227" s="16"/>
      <c r="T1227" s="17"/>
      <c r="U1227" s="11"/>
      <c r="V1227" s="16"/>
      <c r="W1227" s="11"/>
      <c r="X1227" s="11"/>
      <c r="Y1227" s="15"/>
      <c r="Z1227" s="11"/>
    </row>
    <row r="1228" spans="1:26" x14ac:dyDescent="0.25">
      <c r="A1228" s="11"/>
      <c r="B1228" s="11"/>
      <c r="C1228" s="11"/>
      <c r="D1228" s="11"/>
      <c r="E1228" s="12"/>
      <c r="F1228" s="13"/>
      <c r="G1228" s="13"/>
      <c r="H1228" s="13"/>
      <c r="I1228" s="11"/>
      <c r="J1228" s="11"/>
      <c r="K1228" s="11"/>
      <c r="L1228" s="11"/>
      <c r="M1228" s="15"/>
      <c r="N1228" s="15"/>
      <c r="O1228" s="15"/>
      <c r="P1228" s="15"/>
      <c r="Q1228" s="16"/>
      <c r="R1228" s="16"/>
      <c r="S1228" s="16"/>
      <c r="T1228" s="17"/>
      <c r="U1228" s="11"/>
      <c r="V1228" s="16"/>
      <c r="W1228" s="11"/>
      <c r="X1228" s="11"/>
      <c r="Y1228" s="15"/>
      <c r="Z1228" s="11"/>
    </row>
    <row r="1229" spans="1:26" x14ac:dyDescent="0.25">
      <c r="A1229" s="11"/>
      <c r="B1229" s="11"/>
      <c r="C1229" s="11"/>
      <c r="D1229" s="11"/>
      <c r="E1229" s="12"/>
      <c r="F1229" s="13"/>
      <c r="G1229" s="13"/>
      <c r="H1229" s="13"/>
      <c r="I1229" s="11"/>
      <c r="J1229" s="11"/>
      <c r="K1229" s="11"/>
      <c r="L1229" s="11"/>
      <c r="M1229" s="15"/>
      <c r="N1229" s="15"/>
      <c r="O1229" s="15"/>
      <c r="P1229" s="15"/>
      <c r="Q1229" s="16"/>
      <c r="R1229" s="16"/>
      <c r="S1229" s="16"/>
      <c r="T1229" s="17"/>
      <c r="U1229" s="11"/>
      <c r="V1229" s="16"/>
      <c r="W1229" s="11"/>
      <c r="X1229" s="11"/>
      <c r="Y1229" s="15"/>
      <c r="Z1229" s="11"/>
    </row>
    <row r="1230" spans="1:26" x14ac:dyDescent="0.25">
      <c r="A1230" s="11"/>
      <c r="B1230" s="11"/>
      <c r="C1230" s="11"/>
      <c r="D1230" s="11"/>
      <c r="E1230" s="12"/>
      <c r="F1230" s="13"/>
      <c r="G1230" s="13"/>
      <c r="H1230" s="13"/>
      <c r="I1230" s="11"/>
      <c r="J1230" s="11"/>
      <c r="K1230" s="11"/>
      <c r="L1230" s="11"/>
      <c r="M1230" s="15"/>
      <c r="N1230" s="15"/>
      <c r="O1230" s="15"/>
      <c r="P1230" s="15"/>
      <c r="Q1230" s="16"/>
      <c r="R1230" s="16"/>
      <c r="S1230" s="16"/>
      <c r="T1230" s="17"/>
      <c r="U1230" s="11"/>
      <c r="V1230" s="16"/>
      <c r="W1230" s="11"/>
      <c r="X1230" s="11"/>
      <c r="Y1230" s="15"/>
      <c r="Z1230" s="11"/>
    </row>
    <row r="1231" spans="1:26" x14ac:dyDescent="0.25">
      <c r="A1231" s="11"/>
      <c r="B1231" s="11"/>
      <c r="C1231" s="11"/>
      <c r="D1231" s="11"/>
      <c r="E1231" s="12"/>
      <c r="F1231" s="13"/>
      <c r="G1231" s="13"/>
      <c r="H1231" s="13"/>
      <c r="I1231" s="11"/>
      <c r="J1231" s="11"/>
      <c r="K1231" s="11"/>
      <c r="L1231" s="11"/>
      <c r="M1231" s="15"/>
      <c r="N1231" s="15"/>
      <c r="O1231" s="15"/>
      <c r="P1231" s="15"/>
      <c r="Q1231" s="16"/>
      <c r="R1231" s="16"/>
      <c r="S1231" s="16"/>
      <c r="T1231" s="17"/>
      <c r="U1231" s="11"/>
      <c r="V1231" s="16"/>
      <c r="W1231" s="11"/>
      <c r="X1231" s="11"/>
      <c r="Y1231" s="15"/>
      <c r="Z1231" s="11"/>
    </row>
    <row r="1232" spans="1:26" x14ac:dyDescent="0.25">
      <c r="A1232" s="11"/>
      <c r="B1232" s="11"/>
      <c r="C1232" s="11"/>
      <c r="D1232" s="11"/>
      <c r="E1232" s="12"/>
      <c r="F1232" s="13"/>
      <c r="G1232" s="13"/>
      <c r="H1232" s="13"/>
      <c r="I1232" s="11"/>
      <c r="J1232" s="11"/>
      <c r="K1232" s="11"/>
      <c r="L1232" s="11"/>
      <c r="M1232" s="15"/>
      <c r="N1232" s="15"/>
      <c r="O1232" s="15"/>
      <c r="P1232" s="15"/>
      <c r="Q1232" s="16"/>
      <c r="R1232" s="16"/>
      <c r="S1232" s="16"/>
      <c r="T1232" s="17"/>
      <c r="U1232" s="11"/>
      <c r="V1232" s="16"/>
      <c r="W1232" s="11"/>
      <c r="X1232" s="11"/>
      <c r="Y1232" s="15"/>
      <c r="Z1232" s="11"/>
    </row>
    <row r="1233" spans="1:26" x14ac:dyDescent="0.25">
      <c r="A1233" s="11"/>
      <c r="B1233" s="11"/>
      <c r="C1233" s="11"/>
      <c r="D1233" s="11"/>
      <c r="E1233" s="12"/>
      <c r="F1233" s="13"/>
      <c r="G1233" s="13"/>
      <c r="H1233" s="13"/>
      <c r="I1233" s="11"/>
      <c r="J1233" s="11"/>
      <c r="K1233" s="11"/>
      <c r="L1233" s="11"/>
      <c r="M1233" s="15"/>
      <c r="N1233" s="15"/>
      <c r="O1233" s="15"/>
      <c r="P1233" s="15"/>
      <c r="Q1233" s="16"/>
      <c r="R1233" s="16"/>
      <c r="S1233" s="16"/>
      <c r="T1233" s="17"/>
      <c r="U1233" s="11"/>
      <c r="V1233" s="16"/>
      <c r="W1233" s="11"/>
      <c r="X1233" s="11"/>
      <c r="Y1233" s="15"/>
      <c r="Z1233" s="11"/>
    </row>
    <row r="1234" spans="1:26" x14ac:dyDescent="0.25">
      <c r="A1234" s="11"/>
      <c r="B1234" s="11"/>
      <c r="C1234" s="11"/>
      <c r="D1234" s="11"/>
      <c r="E1234" s="12"/>
      <c r="F1234" s="13"/>
      <c r="G1234" s="13"/>
      <c r="H1234" s="13"/>
      <c r="I1234" s="11"/>
      <c r="J1234" s="11"/>
      <c r="K1234" s="11"/>
      <c r="L1234" s="11"/>
      <c r="M1234" s="15"/>
      <c r="N1234" s="15"/>
      <c r="O1234" s="15"/>
      <c r="P1234" s="15"/>
      <c r="Q1234" s="16"/>
      <c r="R1234" s="16"/>
      <c r="S1234" s="16"/>
      <c r="T1234" s="17"/>
      <c r="U1234" s="11"/>
      <c r="V1234" s="16"/>
      <c r="W1234" s="11"/>
      <c r="X1234" s="11"/>
      <c r="Y1234" s="15"/>
      <c r="Z1234" s="11"/>
    </row>
    <row r="1235" spans="1:26" x14ac:dyDescent="0.25">
      <c r="A1235" s="11"/>
      <c r="B1235" s="11"/>
      <c r="C1235" s="11"/>
      <c r="D1235" s="11"/>
      <c r="E1235" s="12"/>
      <c r="F1235" s="13"/>
      <c r="G1235" s="13"/>
      <c r="H1235" s="13"/>
      <c r="I1235" s="11"/>
      <c r="J1235" s="11"/>
      <c r="K1235" s="11"/>
      <c r="L1235" s="11"/>
      <c r="M1235" s="15"/>
      <c r="N1235" s="15"/>
      <c r="O1235" s="15"/>
      <c r="P1235" s="15"/>
      <c r="Q1235" s="16"/>
      <c r="R1235" s="16"/>
      <c r="S1235" s="16"/>
      <c r="T1235" s="17"/>
      <c r="U1235" s="11"/>
      <c r="V1235" s="16"/>
      <c r="W1235" s="11"/>
      <c r="X1235" s="11"/>
      <c r="Y1235" s="15"/>
      <c r="Z1235" s="11"/>
    </row>
    <row r="1236" spans="1:26" x14ac:dyDescent="0.25">
      <c r="A1236" s="11"/>
      <c r="B1236" s="11"/>
      <c r="C1236" s="11"/>
      <c r="D1236" s="11"/>
      <c r="E1236" s="12"/>
      <c r="F1236" s="13"/>
      <c r="G1236" s="13"/>
      <c r="H1236" s="13"/>
      <c r="I1236" s="11"/>
      <c r="J1236" s="11"/>
      <c r="K1236" s="11"/>
      <c r="L1236" s="11"/>
      <c r="M1236" s="15"/>
      <c r="N1236" s="15"/>
      <c r="O1236" s="15"/>
      <c r="P1236" s="15"/>
      <c r="Q1236" s="16"/>
      <c r="R1236" s="16"/>
      <c r="S1236" s="16"/>
      <c r="T1236" s="17"/>
      <c r="U1236" s="11"/>
      <c r="V1236" s="16"/>
      <c r="W1236" s="11"/>
      <c r="X1236" s="11"/>
      <c r="Y1236" s="15"/>
      <c r="Z1236" s="11"/>
    </row>
    <row r="1237" spans="1:26" x14ac:dyDescent="0.25">
      <c r="A1237" s="11"/>
      <c r="B1237" s="11"/>
      <c r="C1237" s="11"/>
      <c r="D1237" s="11"/>
      <c r="E1237" s="12"/>
      <c r="F1237" s="13"/>
      <c r="G1237" s="13"/>
      <c r="H1237" s="13"/>
      <c r="I1237" s="11"/>
      <c r="J1237" s="11"/>
      <c r="K1237" s="11"/>
      <c r="L1237" s="11"/>
      <c r="M1237" s="15"/>
      <c r="N1237" s="15"/>
      <c r="O1237" s="15"/>
      <c r="P1237" s="15"/>
      <c r="Q1237" s="16"/>
      <c r="R1237" s="16"/>
      <c r="S1237" s="16"/>
      <c r="T1237" s="17"/>
      <c r="U1237" s="11"/>
      <c r="V1237" s="16"/>
      <c r="W1237" s="11"/>
      <c r="X1237" s="11"/>
      <c r="Y1237" s="15"/>
      <c r="Z1237" s="11"/>
    </row>
    <row r="1238" spans="1:26" x14ac:dyDescent="0.25">
      <c r="A1238" s="11"/>
      <c r="B1238" s="11"/>
      <c r="C1238" s="11"/>
      <c r="D1238" s="11"/>
      <c r="E1238" s="12"/>
      <c r="F1238" s="13"/>
      <c r="G1238" s="13"/>
      <c r="H1238" s="13"/>
      <c r="I1238" s="11"/>
      <c r="J1238" s="11"/>
      <c r="K1238" s="11"/>
      <c r="L1238" s="11"/>
      <c r="M1238" s="15"/>
      <c r="N1238" s="15"/>
      <c r="O1238" s="15"/>
      <c r="P1238" s="15"/>
      <c r="Q1238" s="16"/>
      <c r="R1238" s="16"/>
      <c r="S1238" s="16"/>
      <c r="T1238" s="17"/>
      <c r="U1238" s="11"/>
      <c r="V1238" s="16"/>
      <c r="W1238" s="11"/>
      <c r="X1238" s="11"/>
      <c r="Y1238" s="15"/>
      <c r="Z1238" s="11"/>
    </row>
    <row r="1239" spans="1:26" x14ac:dyDescent="0.25">
      <c r="A1239" s="11"/>
      <c r="B1239" s="11"/>
      <c r="C1239" s="11"/>
      <c r="D1239" s="11"/>
      <c r="E1239" s="12"/>
      <c r="F1239" s="13"/>
      <c r="G1239" s="13"/>
      <c r="H1239" s="13"/>
      <c r="I1239" s="11"/>
      <c r="J1239" s="11"/>
      <c r="K1239" s="11"/>
      <c r="L1239" s="11"/>
      <c r="M1239" s="15"/>
      <c r="N1239" s="15"/>
      <c r="O1239" s="15"/>
      <c r="P1239" s="15"/>
      <c r="Q1239" s="16"/>
      <c r="R1239" s="16"/>
      <c r="S1239" s="16"/>
      <c r="T1239" s="17"/>
      <c r="U1239" s="11"/>
      <c r="V1239" s="16"/>
      <c r="W1239" s="11"/>
      <c r="X1239" s="11"/>
      <c r="Y1239" s="15"/>
      <c r="Z1239" s="11"/>
    </row>
    <row r="1240" spans="1:26" x14ac:dyDescent="0.25">
      <c r="A1240" s="11"/>
      <c r="B1240" s="11"/>
      <c r="C1240" s="11"/>
      <c r="D1240" s="11"/>
      <c r="E1240" s="12"/>
      <c r="F1240" s="13"/>
      <c r="G1240" s="13"/>
      <c r="H1240" s="13"/>
      <c r="I1240" s="11"/>
      <c r="J1240" s="11"/>
      <c r="K1240" s="11"/>
      <c r="L1240" s="11"/>
      <c r="M1240" s="15"/>
      <c r="N1240" s="15"/>
      <c r="O1240" s="15"/>
      <c r="P1240" s="15"/>
      <c r="Q1240" s="16"/>
      <c r="R1240" s="16"/>
      <c r="S1240" s="16"/>
      <c r="T1240" s="17"/>
      <c r="U1240" s="11"/>
      <c r="V1240" s="16"/>
      <c r="W1240" s="11"/>
      <c r="X1240" s="11"/>
      <c r="Y1240" s="15"/>
      <c r="Z1240" s="11"/>
    </row>
    <row r="1241" spans="1:26" x14ac:dyDescent="0.25">
      <c r="A1241" s="11"/>
      <c r="B1241" s="11"/>
      <c r="C1241" s="11"/>
      <c r="D1241" s="11"/>
      <c r="E1241" s="12"/>
      <c r="F1241" s="13"/>
      <c r="G1241" s="13"/>
      <c r="H1241" s="13"/>
      <c r="I1241" s="11"/>
      <c r="J1241" s="11"/>
      <c r="K1241" s="11"/>
      <c r="L1241" s="11"/>
      <c r="M1241" s="15"/>
      <c r="N1241" s="15"/>
      <c r="O1241" s="15"/>
      <c r="P1241" s="15"/>
      <c r="Q1241" s="16"/>
      <c r="R1241" s="16"/>
      <c r="S1241" s="16"/>
      <c r="T1241" s="17"/>
      <c r="U1241" s="11"/>
      <c r="V1241" s="16"/>
      <c r="W1241" s="11"/>
      <c r="X1241" s="11"/>
      <c r="Y1241" s="15"/>
      <c r="Z1241" s="11"/>
    </row>
    <row r="1242" spans="1:26" x14ac:dyDescent="0.25">
      <c r="A1242" s="11"/>
      <c r="B1242" s="11"/>
      <c r="C1242" s="11"/>
      <c r="D1242" s="11"/>
      <c r="E1242" s="12"/>
      <c r="F1242" s="13"/>
      <c r="G1242" s="13"/>
      <c r="H1242" s="13"/>
      <c r="I1242" s="11"/>
      <c r="J1242" s="11"/>
      <c r="K1242" s="11"/>
      <c r="L1242" s="11"/>
      <c r="M1242" s="15"/>
      <c r="N1242" s="15"/>
      <c r="O1242" s="15"/>
      <c r="P1242" s="15"/>
      <c r="Q1242" s="16"/>
      <c r="R1242" s="16"/>
      <c r="S1242" s="16"/>
      <c r="T1242" s="17"/>
      <c r="U1242" s="11"/>
      <c r="V1242" s="16"/>
      <c r="W1242" s="11"/>
      <c r="X1242" s="11"/>
      <c r="Y1242" s="15"/>
      <c r="Z1242" s="11"/>
    </row>
    <row r="1243" spans="1:26" x14ac:dyDescent="0.25">
      <c r="A1243" s="11"/>
      <c r="B1243" s="11"/>
      <c r="C1243" s="11"/>
      <c r="D1243" s="11"/>
      <c r="E1243" s="12"/>
      <c r="F1243" s="13"/>
      <c r="G1243" s="13"/>
      <c r="H1243" s="13"/>
      <c r="I1243" s="11"/>
      <c r="J1243" s="11"/>
      <c r="K1243" s="11"/>
      <c r="L1243" s="11"/>
      <c r="M1243" s="15"/>
      <c r="N1243" s="15"/>
      <c r="O1243" s="15"/>
      <c r="P1243" s="15"/>
      <c r="Q1243" s="16"/>
      <c r="R1243" s="16"/>
      <c r="S1243" s="16"/>
      <c r="T1243" s="17"/>
      <c r="U1243" s="11"/>
      <c r="V1243" s="16"/>
      <c r="W1243" s="11"/>
      <c r="X1243" s="11"/>
      <c r="Y1243" s="15"/>
      <c r="Z1243" s="11"/>
    </row>
    <row r="1244" spans="1:26" x14ac:dyDescent="0.25">
      <c r="A1244" s="11"/>
      <c r="B1244" s="11"/>
      <c r="C1244" s="11"/>
      <c r="D1244" s="11"/>
      <c r="E1244" s="12"/>
      <c r="F1244" s="13"/>
      <c r="G1244" s="13"/>
      <c r="H1244" s="13"/>
      <c r="I1244" s="11"/>
      <c r="J1244" s="11"/>
      <c r="K1244" s="11"/>
      <c r="L1244" s="11"/>
      <c r="M1244" s="15"/>
      <c r="N1244" s="15"/>
      <c r="O1244" s="15"/>
      <c r="P1244" s="15"/>
      <c r="Q1244" s="16"/>
      <c r="R1244" s="16"/>
      <c r="S1244" s="16"/>
      <c r="T1244" s="17"/>
      <c r="U1244" s="11"/>
      <c r="V1244" s="16"/>
      <c r="W1244" s="11"/>
      <c r="X1244" s="11"/>
      <c r="Y1244" s="15"/>
      <c r="Z1244" s="11"/>
    </row>
    <row r="1245" spans="1:26" x14ac:dyDescent="0.25">
      <c r="A1245" s="11"/>
      <c r="B1245" s="11"/>
      <c r="C1245" s="11"/>
      <c r="D1245" s="11"/>
      <c r="E1245" s="12"/>
      <c r="F1245" s="13"/>
      <c r="G1245" s="13"/>
      <c r="H1245" s="13"/>
      <c r="I1245" s="11"/>
      <c r="J1245" s="11"/>
      <c r="K1245" s="11"/>
      <c r="L1245" s="11"/>
      <c r="M1245" s="15"/>
      <c r="N1245" s="15"/>
      <c r="O1245" s="15"/>
      <c r="P1245" s="15"/>
      <c r="Q1245" s="16"/>
      <c r="R1245" s="16"/>
      <c r="S1245" s="16"/>
      <c r="T1245" s="17"/>
      <c r="U1245" s="11"/>
      <c r="V1245" s="16"/>
      <c r="W1245" s="11"/>
      <c r="X1245" s="11"/>
      <c r="Y1245" s="15"/>
      <c r="Z1245" s="11"/>
    </row>
    <row r="1246" spans="1:26" x14ac:dyDescent="0.25">
      <c r="A1246" s="11"/>
      <c r="B1246" s="11"/>
      <c r="C1246" s="11"/>
      <c r="D1246" s="11"/>
      <c r="E1246" s="12"/>
      <c r="F1246" s="13"/>
      <c r="G1246" s="13"/>
      <c r="H1246" s="13"/>
      <c r="I1246" s="11"/>
      <c r="J1246" s="11"/>
      <c r="K1246" s="11"/>
      <c r="L1246" s="11"/>
      <c r="M1246" s="15"/>
      <c r="N1246" s="15"/>
      <c r="O1246" s="15"/>
      <c r="P1246" s="15"/>
      <c r="Q1246" s="16"/>
      <c r="R1246" s="16"/>
      <c r="S1246" s="16"/>
      <c r="T1246" s="17"/>
      <c r="U1246" s="11"/>
      <c r="V1246" s="16"/>
      <c r="W1246" s="11"/>
      <c r="X1246" s="11"/>
      <c r="Y1246" s="15"/>
      <c r="Z1246" s="11"/>
    </row>
    <row r="1247" spans="1:26" x14ac:dyDescent="0.25">
      <c r="A1247" s="11"/>
      <c r="B1247" s="11"/>
      <c r="C1247" s="11"/>
      <c r="D1247" s="11"/>
      <c r="E1247" s="12"/>
      <c r="F1247" s="13"/>
      <c r="G1247" s="13"/>
      <c r="H1247" s="13"/>
      <c r="I1247" s="11"/>
      <c r="J1247" s="11"/>
      <c r="K1247" s="11"/>
      <c r="L1247" s="11"/>
      <c r="M1247" s="15"/>
      <c r="N1247" s="15"/>
      <c r="O1247" s="15"/>
      <c r="P1247" s="15"/>
      <c r="Q1247" s="16"/>
      <c r="R1247" s="16"/>
      <c r="S1247" s="16"/>
      <c r="T1247" s="17"/>
      <c r="U1247" s="11"/>
      <c r="V1247" s="16"/>
      <c r="W1247" s="11"/>
      <c r="X1247" s="11"/>
      <c r="Y1247" s="15"/>
      <c r="Z1247" s="11"/>
    </row>
    <row r="1248" spans="1:26" x14ac:dyDescent="0.25">
      <c r="A1248" s="11"/>
      <c r="B1248" s="11"/>
      <c r="C1248" s="11"/>
      <c r="D1248" s="11"/>
      <c r="E1248" s="12"/>
      <c r="F1248" s="13"/>
      <c r="G1248" s="13"/>
      <c r="H1248" s="13"/>
      <c r="I1248" s="11"/>
      <c r="J1248" s="11"/>
      <c r="K1248" s="11"/>
      <c r="L1248" s="11"/>
      <c r="M1248" s="15"/>
      <c r="N1248" s="15"/>
      <c r="O1248" s="15"/>
      <c r="P1248" s="15"/>
      <c r="Q1248" s="16"/>
      <c r="R1248" s="16"/>
      <c r="S1248" s="16"/>
      <c r="T1248" s="17"/>
      <c r="U1248" s="11"/>
      <c r="V1248" s="16"/>
      <c r="W1248" s="11"/>
      <c r="X1248" s="11"/>
      <c r="Y1248" s="15"/>
      <c r="Z1248" s="11"/>
    </row>
    <row r="1249" spans="1:26" x14ac:dyDescent="0.25">
      <c r="A1249" s="18"/>
      <c r="B1249" s="18"/>
      <c r="C1249" s="18"/>
      <c r="D1249" s="18"/>
      <c r="E1249" s="19"/>
      <c r="F1249" s="20"/>
      <c r="G1249" s="13"/>
      <c r="H1249" s="20"/>
      <c r="I1249" s="18"/>
      <c r="J1249" s="18"/>
      <c r="K1249" s="18"/>
      <c r="L1249" s="18"/>
      <c r="M1249" s="21"/>
      <c r="N1249" s="21"/>
      <c r="O1249" s="21"/>
      <c r="P1249" s="21"/>
      <c r="Q1249" s="22"/>
      <c r="R1249" s="19"/>
      <c r="S1249" s="22"/>
      <c r="T1249" s="23"/>
      <c r="U1249" s="18"/>
      <c r="V1249" s="22"/>
      <c r="W1249" s="18"/>
      <c r="X1249" s="18"/>
      <c r="Y1249" s="21"/>
      <c r="Z1249" s="18"/>
    </row>
    <row r="1250" spans="1:26" x14ac:dyDescent="0.25">
      <c r="A1250" s="18"/>
      <c r="B1250" s="18"/>
      <c r="C1250" s="18"/>
      <c r="D1250" s="18"/>
      <c r="E1250" s="19"/>
      <c r="F1250" s="20"/>
      <c r="G1250" s="13"/>
      <c r="H1250" s="20"/>
      <c r="I1250" s="18"/>
      <c r="J1250" s="18"/>
      <c r="K1250" s="18"/>
      <c r="L1250" s="18"/>
      <c r="M1250" s="21"/>
      <c r="N1250" s="21"/>
      <c r="O1250" s="21"/>
      <c r="P1250" s="21"/>
      <c r="Q1250" s="22"/>
      <c r="R1250" s="19"/>
      <c r="S1250" s="22"/>
      <c r="T1250" s="23"/>
      <c r="U1250" s="18"/>
      <c r="V1250" s="22"/>
      <c r="W1250" s="18"/>
      <c r="X1250" s="18"/>
      <c r="Y1250" s="21"/>
      <c r="Z1250" s="18"/>
    </row>
    <row r="1251" spans="1:26" x14ac:dyDescent="0.25">
      <c r="A1251" s="18"/>
      <c r="B1251" s="18"/>
      <c r="C1251" s="18"/>
      <c r="D1251" s="18"/>
      <c r="E1251" s="19"/>
      <c r="F1251" s="20"/>
      <c r="G1251" s="13"/>
      <c r="H1251" s="20"/>
      <c r="I1251" s="18"/>
      <c r="J1251" s="18"/>
      <c r="K1251" s="18"/>
      <c r="L1251" s="18"/>
      <c r="M1251" s="21"/>
      <c r="N1251" s="21"/>
      <c r="O1251" s="21"/>
      <c r="P1251" s="21"/>
      <c r="Q1251" s="22"/>
      <c r="R1251" s="19"/>
      <c r="S1251" s="22"/>
      <c r="T1251" s="23"/>
      <c r="U1251" s="18"/>
      <c r="V1251" s="22"/>
      <c r="W1251" s="18"/>
      <c r="X1251" s="18"/>
      <c r="Y1251" s="21"/>
      <c r="Z1251" s="18"/>
    </row>
    <row r="1252" spans="1:26" x14ac:dyDescent="0.25">
      <c r="A1252" s="19"/>
      <c r="B1252" s="19"/>
      <c r="C1252" s="19"/>
      <c r="D1252" s="19"/>
      <c r="E1252" s="19"/>
      <c r="F1252" s="20"/>
      <c r="G1252" s="13"/>
      <c r="H1252" s="20"/>
      <c r="I1252" s="19"/>
      <c r="J1252" s="19"/>
      <c r="K1252" s="19"/>
      <c r="L1252" s="19"/>
      <c r="M1252" s="21"/>
      <c r="N1252" s="21"/>
      <c r="O1252" s="21"/>
      <c r="P1252" s="21"/>
      <c r="Q1252" s="22"/>
      <c r="R1252" s="19"/>
      <c r="S1252" s="22"/>
      <c r="T1252" s="23"/>
      <c r="U1252" s="19"/>
      <c r="V1252" s="22"/>
      <c r="W1252" s="19"/>
      <c r="X1252" s="19"/>
      <c r="Y1252" s="21"/>
      <c r="Z1252" s="19"/>
    </row>
    <row r="1253" spans="1:26" x14ac:dyDescent="0.25">
      <c r="A1253" s="19"/>
      <c r="B1253" s="19"/>
      <c r="C1253" s="19"/>
      <c r="D1253" s="19"/>
      <c r="E1253" s="19"/>
      <c r="F1253" s="20"/>
      <c r="G1253" s="13"/>
      <c r="H1253" s="20"/>
      <c r="I1253" s="19"/>
      <c r="J1253" s="19"/>
      <c r="K1253" s="19"/>
      <c r="L1253" s="19"/>
      <c r="M1253" s="21"/>
      <c r="N1253" s="21"/>
      <c r="O1253" s="21"/>
      <c r="P1253" s="21"/>
      <c r="Q1253" s="22"/>
      <c r="R1253" s="19"/>
      <c r="S1253" s="22"/>
      <c r="T1253" s="23"/>
      <c r="U1253" s="19"/>
      <c r="V1253" s="22"/>
      <c r="W1253" s="19"/>
      <c r="X1253" s="19"/>
      <c r="Y1253" s="21"/>
      <c r="Z1253" s="19"/>
    </row>
    <row r="1254" spans="1:26" x14ac:dyDescent="0.25">
      <c r="A1254" s="19"/>
      <c r="B1254" s="19"/>
      <c r="C1254" s="19"/>
      <c r="D1254" s="19"/>
      <c r="E1254" s="19"/>
      <c r="F1254" s="20"/>
      <c r="G1254" s="13"/>
      <c r="H1254" s="20"/>
      <c r="I1254" s="19"/>
      <c r="J1254" s="19"/>
      <c r="K1254" s="19"/>
      <c r="L1254" s="19"/>
      <c r="M1254" s="21"/>
      <c r="N1254" s="21"/>
      <c r="O1254" s="21"/>
      <c r="P1254" s="21"/>
      <c r="Q1254" s="22"/>
      <c r="R1254" s="19"/>
      <c r="S1254" s="22"/>
      <c r="T1254" s="23"/>
      <c r="U1254" s="19"/>
      <c r="V1254" s="22"/>
      <c r="W1254" s="19"/>
      <c r="X1254" s="19"/>
      <c r="Y1254" s="21"/>
      <c r="Z1254" s="19"/>
    </row>
    <row r="1255" spans="1:26" x14ac:dyDescent="0.25">
      <c r="A1255" s="11"/>
      <c r="B1255" s="11"/>
      <c r="C1255" s="11"/>
      <c r="D1255" s="11"/>
      <c r="E1255" s="12"/>
      <c r="F1255" s="13"/>
      <c r="G1255" s="13"/>
      <c r="H1255" s="13"/>
      <c r="I1255" s="11"/>
      <c r="J1255" s="11"/>
      <c r="K1255" s="11"/>
      <c r="L1255" s="11"/>
      <c r="M1255" s="15"/>
      <c r="N1255" s="15"/>
      <c r="O1255" s="15"/>
      <c r="P1255" s="15"/>
      <c r="Q1255" s="16"/>
      <c r="R1255" s="16"/>
      <c r="S1255" s="16"/>
      <c r="T1255" s="17"/>
      <c r="U1255" s="11"/>
      <c r="V1255" s="16"/>
      <c r="W1255" s="11"/>
      <c r="X1255" s="11"/>
      <c r="Y1255" s="15"/>
      <c r="Z1255" s="11"/>
    </row>
    <row r="1256" spans="1:26" x14ac:dyDescent="0.25">
      <c r="A1256" s="11"/>
      <c r="B1256" s="11"/>
      <c r="C1256" s="11"/>
      <c r="D1256" s="11"/>
      <c r="E1256" s="12"/>
      <c r="F1256" s="13"/>
      <c r="G1256" s="13"/>
      <c r="H1256" s="13"/>
      <c r="I1256" s="11"/>
      <c r="J1256" s="11"/>
      <c r="K1256" s="11"/>
      <c r="L1256" s="11"/>
      <c r="M1256" s="15"/>
      <c r="N1256" s="15"/>
      <c r="O1256" s="15"/>
      <c r="P1256" s="15"/>
      <c r="Q1256" s="16"/>
      <c r="R1256" s="16"/>
      <c r="S1256" s="16"/>
      <c r="T1256" s="17"/>
      <c r="U1256" s="11"/>
      <c r="V1256" s="16"/>
      <c r="W1256" s="11"/>
      <c r="X1256" s="11"/>
      <c r="Y1256" s="15"/>
      <c r="Z1256" s="11"/>
    </row>
    <row r="1257" spans="1:26" x14ac:dyDescent="0.25">
      <c r="A1257" s="11"/>
      <c r="B1257" s="11"/>
      <c r="C1257" s="11"/>
      <c r="D1257" s="11"/>
      <c r="E1257" s="12"/>
      <c r="F1257" s="13"/>
      <c r="G1257" s="13"/>
      <c r="H1257" s="13"/>
      <c r="I1257" s="11"/>
      <c r="J1257" s="11"/>
      <c r="K1257" s="11"/>
      <c r="L1257" s="11"/>
      <c r="M1257" s="15"/>
      <c r="N1257" s="15"/>
      <c r="O1257" s="15"/>
      <c r="P1257" s="15"/>
      <c r="Q1257" s="16"/>
      <c r="R1257" s="16"/>
      <c r="S1257" s="16"/>
      <c r="T1257" s="17"/>
      <c r="U1257" s="11"/>
      <c r="V1257" s="16"/>
      <c r="W1257" s="11"/>
      <c r="X1257" s="11"/>
      <c r="Y1257" s="15"/>
      <c r="Z1257" s="11"/>
    </row>
    <row r="1258" spans="1:26" x14ac:dyDescent="0.25">
      <c r="A1258" s="11"/>
      <c r="B1258" s="11"/>
      <c r="C1258" s="11"/>
      <c r="D1258" s="11"/>
      <c r="E1258" s="12"/>
      <c r="F1258" s="13"/>
      <c r="G1258" s="13"/>
      <c r="H1258" s="13"/>
      <c r="I1258" s="11"/>
      <c r="J1258" s="11"/>
      <c r="K1258" s="11"/>
      <c r="L1258" s="11"/>
      <c r="M1258" s="15"/>
      <c r="N1258" s="15"/>
      <c r="O1258" s="15"/>
      <c r="P1258" s="15"/>
      <c r="Q1258" s="16"/>
      <c r="R1258" s="16"/>
      <c r="S1258" s="16"/>
      <c r="T1258" s="17"/>
      <c r="U1258" s="11"/>
      <c r="V1258" s="16"/>
      <c r="W1258" s="11"/>
      <c r="X1258" s="11"/>
      <c r="Y1258" s="15"/>
      <c r="Z1258" s="11"/>
    </row>
    <row r="1259" spans="1:26" x14ac:dyDescent="0.25">
      <c r="A1259" s="11"/>
      <c r="B1259" s="11"/>
      <c r="C1259" s="11"/>
      <c r="D1259" s="11"/>
      <c r="E1259" s="12"/>
      <c r="F1259" s="13"/>
      <c r="G1259" s="13"/>
      <c r="H1259" s="13"/>
      <c r="I1259" s="11"/>
      <c r="J1259" s="11"/>
      <c r="K1259" s="11"/>
      <c r="L1259" s="11"/>
      <c r="M1259" s="15"/>
      <c r="N1259" s="15"/>
      <c r="O1259" s="15"/>
      <c r="P1259" s="15"/>
      <c r="Q1259" s="16"/>
      <c r="R1259" s="16"/>
      <c r="S1259" s="16"/>
      <c r="T1259" s="17"/>
      <c r="U1259" s="11"/>
      <c r="V1259" s="16"/>
      <c r="W1259" s="11"/>
      <c r="X1259" s="11"/>
      <c r="Y1259" s="15"/>
      <c r="Z1259" s="11"/>
    </row>
    <row r="1260" spans="1:26" x14ac:dyDescent="0.25">
      <c r="A1260" s="11"/>
      <c r="B1260" s="11"/>
      <c r="C1260" s="11"/>
      <c r="D1260" s="11"/>
      <c r="E1260" s="12"/>
      <c r="F1260" s="13"/>
      <c r="G1260" s="13"/>
      <c r="H1260" s="13"/>
      <c r="I1260" s="11"/>
      <c r="J1260" s="11"/>
      <c r="K1260" s="11"/>
      <c r="L1260" s="11"/>
      <c r="M1260" s="15"/>
      <c r="N1260" s="15"/>
      <c r="O1260" s="15"/>
      <c r="P1260" s="15"/>
      <c r="Q1260" s="16"/>
      <c r="R1260" s="16"/>
      <c r="S1260" s="16"/>
      <c r="T1260" s="17"/>
      <c r="U1260" s="11"/>
      <c r="V1260" s="16"/>
      <c r="W1260" s="11"/>
      <c r="X1260" s="11"/>
      <c r="Y1260" s="15"/>
      <c r="Z1260" s="11"/>
    </row>
    <row r="1261" spans="1:26" x14ac:dyDescent="0.25">
      <c r="A1261" s="11"/>
      <c r="B1261" s="11"/>
      <c r="C1261" s="11"/>
      <c r="D1261" s="11"/>
      <c r="E1261" s="12"/>
      <c r="F1261" s="13"/>
      <c r="G1261" s="13"/>
      <c r="H1261" s="13"/>
      <c r="I1261" s="11"/>
      <c r="J1261" s="11"/>
      <c r="K1261" s="11"/>
      <c r="L1261" s="11"/>
      <c r="M1261" s="15"/>
      <c r="N1261" s="15"/>
      <c r="O1261" s="15"/>
      <c r="P1261" s="15"/>
      <c r="Q1261" s="16"/>
      <c r="R1261" s="16"/>
      <c r="S1261" s="16"/>
      <c r="T1261" s="17"/>
      <c r="U1261" s="11"/>
      <c r="V1261" s="16"/>
      <c r="W1261" s="11"/>
      <c r="X1261" s="11"/>
      <c r="Y1261" s="15"/>
      <c r="Z1261" s="11"/>
    </row>
    <row r="1262" spans="1:26" x14ac:dyDescent="0.25">
      <c r="A1262" s="11"/>
      <c r="B1262" s="11"/>
      <c r="C1262" s="11"/>
      <c r="D1262" s="11"/>
      <c r="E1262" s="12"/>
      <c r="F1262" s="13"/>
      <c r="G1262" s="13"/>
      <c r="H1262" s="13"/>
      <c r="I1262" s="11"/>
      <c r="J1262" s="11"/>
      <c r="K1262" s="11"/>
      <c r="L1262" s="11"/>
      <c r="M1262" s="15"/>
      <c r="N1262" s="15"/>
      <c r="O1262" s="15"/>
      <c r="P1262" s="15"/>
      <c r="Q1262" s="16"/>
      <c r="R1262" s="16"/>
      <c r="S1262" s="16"/>
      <c r="T1262" s="17"/>
      <c r="U1262" s="11"/>
      <c r="V1262" s="16"/>
      <c r="W1262" s="11"/>
      <c r="X1262" s="11"/>
      <c r="Y1262" s="15"/>
      <c r="Z1262" s="11"/>
    </row>
    <row r="1263" spans="1:26" x14ac:dyDescent="0.25">
      <c r="A1263" s="11"/>
      <c r="B1263" s="11"/>
      <c r="C1263" s="11"/>
      <c r="D1263" s="11"/>
      <c r="E1263" s="12"/>
      <c r="F1263" s="13"/>
      <c r="G1263" s="13"/>
      <c r="H1263" s="13"/>
      <c r="I1263" s="11"/>
      <c r="J1263" s="11"/>
      <c r="K1263" s="11"/>
      <c r="L1263" s="11"/>
      <c r="M1263" s="15"/>
      <c r="N1263" s="15"/>
      <c r="O1263" s="15"/>
      <c r="P1263" s="15"/>
      <c r="Q1263" s="16"/>
      <c r="R1263" s="16"/>
      <c r="S1263" s="16"/>
      <c r="T1263" s="17"/>
      <c r="U1263" s="11"/>
      <c r="V1263" s="16"/>
      <c r="W1263" s="11"/>
      <c r="X1263" s="11"/>
      <c r="Y1263" s="15"/>
      <c r="Z1263" s="11"/>
    </row>
    <row r="1264" spans="1:26" x14ac:dyDescent="0.25">
      <c r="A1264" s="11"/>
      <c r="B1264" s="11"/>
      <c r="C1264" s="11"/>
      <c r="D1264" s="11"/>
      <c r="E1264" s="12"/>
      <c r="F1264" s="13"/>
      <c r="G1264" s="13"/>
      <c r="H1264" s="13"/>
      <c r="I1264" s="11"/>
      <c r="J1264" s="11"/>
      <c r="K1264" s="11"/>
      <c r="L1264" s="11"/>
      <c r="M1264" s="15"/>
      <c r="N1264" s="15"/>
      <c r="O1264" s="15"/>
      <c r="P1264" s="15"/>
      <c r="Q1264" s="16"/>
      <c r="R1264" s="16"/>
      <c r="S1264" s="16"/>
      <c r="T1264" s="17"/>
      <c r="U1264" s="11"/>
      <c r="V1264" s="16"/>
      <c r="W1264" s="11"/>
      <c r="X1264" s="11"/>
      <c r="Y1264" s="15"/>
      <c r="Z1264" s="11"/>
    </row>
    <row r="1265" spans="1:26" x14ac:dyDescent="0.25">
      <c r="A1265" s="11"/>
      <c r="B1265" s="11"/>
      <c r="C1265" s="11"/>
      <c r="D1265" s="11"/>
      <c r="E1265" s="12"/>
      <c r="F1265" s="13"/>
      <c r="G1265" s="13"/>
      <c r="H1265" s="13"/>
      <c r="I1265" s="11"/>
      <c r="J1265" s="11"/>
      <c r="K1265" s="11"/>
      <c r="L1265" s="11"/>
      <c r="M1265" s="15"/>
      <c r="N1265" s="15"/>
      <c r="O1265" s="15"/>
      <c r="P1265" s="15"/>
      <c r="Q1265" s="16"/>
      <c r="R1265" s="16"/>
      <c r="S1265" s="16"/>
      <c r="T1265" s="17"/>
      <c r="U1265" s="11"/>
      <c r="V1265" s="16"/>
      <c r="W1265" s="11"/>
      <c r="X1265" s="11"/>
      <c r="Y1265" s="15"/>
      <c r="Z1265" s="11"/>
    </row>
    <row r="1266" spans="1:26" x14ac:dyDescent="0.25">
      <c r="A1266" s="11"/>
      <c r="B1266" s="11"/>
      <c r="C1266" s="11"/>
      <c r="D1266" s="11"/>
      <c r="E1266" s="12"/>
      <c r="F1266" s="13"/>
      <c r="G1266" s="13"/>
      <c r="H1266" s="13"/>
      <c r="I1266" s="11"/>
      <c r="J1266" s="11"/>
      <c r="K1266" s="11"/>
      <c r="L1266" s="11"/>
      <c r="M1266" s="15"/>
      <c r="N1266" s="15"/>
      <c r="O1266" s="15"/>
      <c r="P1266" s="15"/>
      <c r="Q1266" s="16"/>
      <c r="R1266" s="16"/>
      <c r="S1266" s="16"/>
      <c r="T1266" s="17"/>
      <c r="U1266" s="11"/>
      <c r="V1266" s="16"/>
      <c r="W1266" s="11"/>
      <c r="X1266" s="11"/>
      <c r="Y1266" s="15"/>
      <c r="Z1266" s="11"/>
    </row>
    <row r="1267" spans="1:26" x14ac:dyDescent="0.25">
      <c r="A1267" s="11"/>
      <c r="B1267" s="11"/>
      <c r="C1267" s="11"/>
      <c r="D1267" s="11"/>
      <c r="E1267" s="12"/>
      <c r="F1267" s="13"/>
      <c r="G1267" s="13"/>
      <c r="H1267" s="13"/>
      <c r="I1267" s="11"/>
      <c r="J1267" s="11"/>
      <c r="K1267" s="11"/>
      <c r="L1267" s="11"/>
      <c r="M1267" s="15"/>
      <c r="N1267" s="15"/>
      <c r="O1267" s="15"/>
      <c r="P1267" s="15"/>
      <c r="Q1267" s="16"/>
      <c r="R1267" s="16"/>
      <c r="S1267" s="16"/>
      <c r="T1267" s="17"/>
      <c r="U1267" s="11"/>
      <c r="V1267" s="16"/>
      <c r="W1267" s="11"/>
      <c r="X1267" s="11"/>
      <c r="Y1267" s="15"/>
      <c r="Z1267" s="11"/>
    </row>
    <row r="1268" spans="1:26" x14ac:dyDescent="0.25">
      <c r="A1268" s="11"/>
      <c r="B1268" s="11"/>
      <c r="C1268" s="11"/>
      <c r="D1268" s="11"/>
      <c r="E1268" s="12"/>
      <c r="F1268" s="13"/>
      <c r="G1268" s="13"/>
      <c r="H1268" s="13"/>
      <c r="I1268" s="11"/>
      <c r="J1268" s="11"/>
      <c r="K1268" s="11"/>
      <c r="L1268" s="11"/>
      <c r="M1268" s="15"/>
      <c r="N1268" s="15"/>
      <c r="O1268" s="15"/>
      <c r="P1268" s="15"/>
      <c r="Q1268" s="16"/>
      <c r="R1268" s="16"/>
      <c r="S1268" s="16"/>
      <c r="T1268" s="17"/>
      <c r="U1268" s="11"/>
      <c r="V1268" s="16"/>
      <c r="W1268" s="11"/>
      <c r="X1268" s="11"/>
      <c r="Y1268" s="15"/>
      <c r="Z1268" s="11"/>
    </row>
    <row r="1269" spans="1:26" x14ac:dyDescent="0.25">
      <c r="A1269" s="11"/>
      <c r="B1269" s="11"/>
      <c r="C1269" s="11"/>
      <c r="D1269" s="11"/>
      <c r="E1269" s="12"/>
      <c r="F1269" s="13"/>
      <c r="G1269" s="13"/>
      <c r="H1269" s="13"/>
      <c r="I1269" s="11"/>
      <c r="J1269" s="11"/>
      <c r="K1269" s="11"/>
      <c r="L1269" s="11"/>
      <c r="M1269" s="15"/>
      <c r="N1269" s="15"/>
      <c r="O1269" s="15"/>
      <c r="P1269" s="15"/>
      <c r="Q1269" s="16"/>
      <c r="R1269" s="16"/>
      <c r="S1269" s="16"/>
      <c r="T1269" s="17"/>
      <c r="U1269" s="11"/>
      <c r="V1269" s="16"/>
      <c r="W1269" s="11"/>
      <c r="X1269" s="11"/>
      <c r="Y1269" s="15"/>
      <c r="Z1269" s="11"/>
    </row>
    <row r="1270" spans="1:26" x14ac:dyDescent="0.25">
      <c r="A1270" s="11"/>
      <c r="B1270" s="11"/>
      <c r="C1270" s="11"/>
      <c r="D1270" s="11"/>
      <c r="E1270" s="12"/>
      <c r="F1270" s="13"/>
      <c r="G1270" s="13"/>
      <c r="H1270" s="13"/>
      <c r="I1270" s="11"/>
      <c r="J1270" s="11"/>
      <c r="K1270" s="11"/>
      <c r="L1270" s="11"/>
      <c r="M1270" s="15"/>
      <c r="N1270" s="15"/>
      <c r="O1270" s="15"/>
      <c r="P1270" s="15"/>
      <c r="Q1270" s="16"/>
      <c r="R1270" s="16"/>
      <c r="S1270" s="16"/>
      <c r="T1270" s="17"/>
      <c r="U1270" s="11"/>
      <c r="V1270" s="16"/>
      <c r="W1270" s="11"/>
      <c r="X1270" s="11"/>
      <c r="Y1270" s="15"/>
      <c r="Z1270" s="11"/>
    </row>
    <row r="1271" spans="1:26" x14ac:dyDescent="0.25">
      <c r="A1271" s="19"/>
      <c r="B1271" s="19"/>
      <c r="C1271" s="19"/>
      <c r="D1271" s="19"/>
      <c r="E1271" s="19"/>
      <c r="F1271" s="20"/>
      <c r="G1271" s="13"/>
      <c r="H1271" s="20"/>
      <c r="I1271" s="19"/>
      <c r="J1271" s="19"/>
      <c r="K1271" s="19"/>
      <c r="L1271" s="19"/>
      <c r="M1271" s="21"/>
      <c r="N1271" s="21"/>
      <c r="O1271" s="21"/>
      <c r="P1271" s="21"/>
      <c r="Q1271" s="22"/>
      <c r="R1271" s="19"/>
      <c r="S1271" s="22"/>
      <c r="T1271" s="23"/>
      <c r="U1271" s="19"/>
      <c r="V1271" s="22"/>
      <c r="W1271" s="19"/>
      <c r="X1271" s="19"/>
      <c r="Y1271" s="21"/>
      <c r="Z1271" s="19"/>
    </row>
    <row r="1272" spans="1:26" x14ac:dyDescent="0.25">
      <c r="A1272" s="11"/>
      <c r="B1272" s="11"/>
      <c r="C1272" s="11"/>
      <c r="D1272" s="11"/>
      <c r="E1272" s="12"/>
      <c r="F1272" s="13"/>
      <c r="G1272" s="13"/>
      <c r="H1272" s="13"/>
      <c r="I1272" s="11"/>
      <c r="J1272" s="11"/>
      <c r="K1272" s="11"/>
      <c r="L1272" s="11"/>
      <c r="M1272" s="15"/>
      <c r="N1272" s="15"/>
      <c r="O1272" s="15"/>
      <c r="P1272" s="15"/>
      <c r="Q1272" s="16"/>
      <c r="R1272" s="16"/>
      <c r="S1272" s="16"/>
      <c r="T1272" s="17"/>
      <c r="U1272" s="11"/>
      <c r="V1272" s="16"/>
      <c r="W1272" s="11"/>
      <c r="X1272" s="11"/>
      <c r="Y1272" s="15"/>
      <c r="Z1272" s="11"/>
    </row>
    <row r="1273" spans="1:26" x14ac:dyDescent="0.25">
      <c r="A1273" s="11"/>
      <c r="B1273" s="11"/>
      <c r="C1273" s="11"/>
      <c r="D1273" s="11"/>
      <c r="E1273" s="12"/>
      <c r="F1273" s="13"/>
      <c r="G1273" s="13"/>
      <c r="H1273" s="13"/>
      <c r="I1273" s="11"/>
      <c r="J1273" s="11"/>
      <c r="K1273" s="11"/>
      <c r="L1273" s="11"/>
      <c r="M1273" s="15"/>
      <c r="N1273" s="15"/>
      <c r="O1273" s="15"/>
      <c r="P1273" s="15"/>
      <c r="Q1273" s="16"/>
      <c r="R1273" s="16"/>
      <c r="S1273" s="16"/>
      <c r="T1273" s="17"/>
      <c r="U1273" s="11"/>
      <c r="V1273" s="16"/>
      <c r="W1273" s="11"/>
      <c r="X1273" s="11"/>
      <c r="Y1273" s="15"/>
      <c r="Z1273" s="11"/>
    </row>
    <row r="1274" spans="1:26" x14ac:dyDescent="0.25">
      <c r="A1274" s="11"/>
      <c r="B1274" s="11"/>
      <c r="C1274" s="11"/>
      <c r="D1274" s="11"/>
      <c r="E1274" s="12"/>
      <c r="F1274" s="13"/>
      <c r="G1274" s="13"/>
      <c r="H1274" s="13"/>
      <c r="I1274" s="11"/>
      <c r="J1274" s="11"/>
      <c r="K1274" s="11"/>
      <c r="L1274" s="11"/>
      <c r="M1274" s="15"/>
      <c r="N1274" s="15"/>
      <c r="O1274" s="15"/>
      <c r="P1274" s="15"/>
      <c r="Q1274" s="16"/>
      <c r="R1274" s="16"/>
      <c r="S1274" s="16"/>
      <c r="T1274" s="17"/>
      <c r="U1274" s="11"/>
      <c r="V1274" s="16"/>
      <c r="W1274" s="11"/>
      <c r="X1274" s="11"/>
      <c r="Y1274" s="15"/>
      <c r="Z1274" s="11"/>
    </row>
    <row r="1275" spans="1:26" x14ac:dyDescent="0.25">
      <c r="A1275" s="11"/>
      <c r="B1275" s="11"/>
      <c r="C1275" s="11"/>
      <c r="D1275" s="11"/>
      <c r="E1275" s="12"/>
      <c r="F1275" s="13"/>
      <c r="G1275" s="13"/>
      <c r="H1275" s="13"/>
      <c r="I1275" s="11"/>
      <c r="J1275" s="11"/>
      <c r="K1275" s="11"/>
      <c r="L1275" s="11"/>
      <c r="M1275" s="15"/>
      <c r="N1275" s="15"/>
      <c r="O1275" s="15"/>
      <c r="P1275" s="15"/>
      <c r="Q1275" s="16"/>
      <c r="R1275" s="16"/>
      <c r="S1275" s="16"/>
      <c r="T1275" s="17"/>
      <c r="U1275" s="11"/>
      <c r="V1275" s="16"/>
      <c r="W1275" s="11"/>
      <c r="X1275" s="11"/>
      <c r="Y1275" s="15"/>
      <c r="Z1275" s="11"/>
    </row>
    <row r="1276" spans="1:26" x14ac:dyDescent="0.25">
      <c r="A1276" s="11"/>
      <c r="B1276" s="11"/>
      <c r="C1276" s="11"/>
      <c r="D1276" s="11"/>
      <c r="E1276" s="12"/>
      <c r="F1276" s="13"/>
      <c r="G1276" s="13"/>
      <c r="H1276" s="13"/>
      <c r="I1276" s="11"/>
      <c r="J1276" s="11"/>
      <c r="K1276" s="11"/>
      <c r="L1276" s="11"/>
      <c r="M1276" s="15"/>
      <c r="N1276" s="15"/>
      <c r="O1276" s="15"/>
      <c r="P1276" s="15"/>
      <c r="Q1276" s="16"/>
      <c r="R1276" s="16"/>
      <c r="S1276" s="16"/>
      <c r="T1276" s="17"/>
      <c r="U1276" s="11"/>
      <c r="V1276" s="16"/>
      <c r="W1276" s="11"/>
      <c r="X1276" s="11"/>
      <c r="Y1276" s="15"/>
      <c r="Z1276" s="11"/>
    </row>
    <row r="1277" spans="1:26" x14ac:dyDescent="0.25">
      <c r="A1277" s="18"/>
      <c r="B1277" s="18"/>
      <c r="C1277" s="18"/>
      <c r="D1277" s="18"/>
      <c r="E1277" s="19"/>
      <c r="F1277" s="20"/>
      <c r="G1277" s="13"/>
      <c r="H1277" s="20"/>
      <c r="I1277" s="18"/>
      <c r="J1277" s="18"/>
      <c r="K1277" s="18"/>
      <c r="L1277" s="18"/>
      <c r="M1277" s="21"/>
      <c r="N1277" s="21"/>
      <c r="O1277" s="21"/>
      <c r="P1277" s="21"/>
      <c r="Q1277" s="22"/>
      <c r="R1277" s="19"/>
      <c r="S1277" s="22"/>
      <c r="T1277" s="23"/>
      <c r="U1277" s="18"/>
      <c r="V1277" s="22"/>
      <c r="W1277" s="18"/>
      <c r="X1277" s="18"/>
      <c r="Y1277" s="21"/>
      <c r="Z1277" s="18"/>
    </row>
    <row r="1278" spans="1:26" x14ac:dyDescent="0.25">
      <c r="A1278" s="11"/>
      <c r="B1278" s="11"/>
      <c r="C1278" s="11"/>
      <c r="D1278" s="11"/>
      <c r="E1278" s="12"/>
      <c r="F1278" s="13"/>
      <c r="G1278" s="13"/>
      <c r="H1278" s="13"/>
      <c r="I1278" s="11"/>
      <c r="J1278" s="11"/>
      <c r="K1278" s="11"/>
      <c r="L1278" s="11"/>
      <c r="M1278" s="15"/>
      <c r="N1278" s="15"/>
      <c r="O1278" s="15"/>
      <c r="P1278" s="15"/>
      <c r="Q1278" s="16"/>
      <c r="R1278" s="16"/>
      <c r="S1278" s="16"/>
      <c r="T1278" s="17"/>
      <c r="U1278" s="11"/>
      <c r="V1278" s="16"/>
      <c r="W1278" s="11"/>
      <c r="X1278" s="11"/>
      <c r="Y1278" s="15"/>
      <c r="Z1278" s="11"/>
    </row>
    <row r="1279" spans="1:26" x14ac:dyDescent="0.25">
      <c r="A1279" s="18"/>
      <c r="B1279" s="18"/>
      <c r="C1279" s="18"/>
      <c r="D1279" s="18"/>
      <c r="E1279" s="19"/>
      <c r="F1279" s="20"/>
      <c r="G1279" s="13"/>
      <c r="H1279" s="20"/>
      <c r="I1279" s="18"/>
      <c r="J1279" s="18"/>
      <c r="K1279" s="18"/>
      <c r="L1279" s="18"/>
      <c r="M1279" s="21"/>
      <c r="N1279" s="21"/>
      <c r="O1279" s="21"/>
      <c r="P1279" s="21"/>
      <c r="Q1279" s="22"/>
      <c r="R1279" s="19"/>
      <c r="S1279" s="22"/>
      <c r="T1279" s="23"/>
      <c r="U1279" s="18"/>
      <c r="V1279" s="22"/>
      <c r="W1279" s="18"/>
      <c r="X1279" s="18"/>
      <c r="Y1279" s="21"/>
      <c r="Z1279" s="18"/>
    </row>
    <row r="1280" spans="1:26" x14ac:dyDescent="0.25">
      <c r="A1280" s="11"/>
      <c r="B1280" s="11"/>
      <c r="C1280" s="11"/>
      <c r="D1280" s="11"/>
      <c r="E1280" s="12"/>
      <c r="F1280" s="13"/>
      <c r="G1280" s="13"/>
      <c r="H1280" s="13"/>
      <c r="I1280" s="11"/>
      <c r="J1280" s="11"/>
      <c r="K1280" s="11"/>
      <c r="L1280" s="11"/>
      <c r="M1280" s="15"/>
      <c r="N1280" s="15"/>
      <c r="O1280" s="15"/>
      <c r="P1280" s="15"/>
      <c r="Q1280" s="16"/>
      <c r="R1280" s="16"/>
      <c r="S1280" s="16"/>
      <c r="T1280" s="17"/>
      <c r="U1280" s="11"/>
      <c r="V1280" s="16"/>
      <c r="W1280" s="11"/>
      <c r="X1280" s="11"/>
      <c r="Y1280" s="15"/>
      <c r="Z1280" s="11"/>
    </row>
    <row r="1281" spans="1:26" x14ac:dyDescent="0.25">
      <c r="A1281" s="11"/>
      <c r="B1281" s="11"/>
      <c r="C1281" s="11"/>
      <c r="D1281" s="11"/>
      <c r="E1281" s="12"/>
      <c r="F1281" s="13"/>
      <c r="G1281" s="13"/>
      <c r="H1281" s="13"/>
      <c r="I1281" s="11"/>
      <c r="J1281" s="11"/>
      <c r="K1281" s="11"/>
      <c r="L1281" s="11"/>
      <c r="M1281" s="15"/>
      <c r="N1281" s="15"/>
      <c r="O1281" s="15"/>
      <c r="P1281" s="15"/>
      <c r="Q1281" s="16"/>
      <c r="R1281" s="16"/>
      <c r="S1281" s="16"/>
      <c r="T1281" s="17"/>
      <c r="U1281" s="11"/>
      <c r="V1281" s="16"/>
      <c r="W1281" s="11"/>
      <c r="X1281" s="11"/>
      <c r="Y1281" s="15"/>
      <c r="Z1281" s="11"/>
    </row>
    <row r="1282" spans="1:26" x14ac:dyDescent="0.25">
      <c r="A1282" s="18"/>
      <c r="B1282" s="18"/>
      <c r="C1282" s="18"/>
      <c r="D1282" s="18"/>
      <c r="E1282" s="19"/>
      <c r="F1282" s="20"/>
      <c r="G1282" s="13"/>
      <c r="H1282" s="20"/>
      <c r="I1282" s="18"/>
      <c r="J1282" s="18"/>
      <c r="K1282" s="18"/>
      <c r="L1282" s="18"/>
      <c r="M1282" s="21"/>
      <c r="N1282" s="21"/>
      <c r="O1282" s="21"/>
      <c r="P1282" s="21"/>
      <c r="Q1282" s="22"/>
      <c r="R1282" s="19"/>
      <c r="S1282" s="22"/>
      <c r="T1282" s="23"/>
      <c r="U1282" s="18"/>
      <c r="V1282" s="22"/>
      <c r="W1282" s="18"/>
      <c r="X1282" s="18"/>
      <c r="Y1282" s="21"/>
      <c r="Z1282" s="18"/>
    </row>
    <row r="1283" spans="1:26" x14ac:dyDescent="0.25">
      <c r="A1283" s="18"/>
      <c r="B1283" s="18"/>
      <c r="C1283" s="18"/>
      <c r="D1283" s="18"/>
      <c r="E1283" s="19"/>
      <c r="F1283" s="20"/>
      <c r="G1283" s="13"/>
      <c r="H1283" s="20"/>
      <c r="I1283" s="18"/>
      <c r="J1283" s="18"/>
      <c r="K1283" s="18"/>
      <c r="L1283" s="18"/>
      <c r="M1283" s="21"/>
      <c r="N1283" s="21"/>
      <c r="O1283" s="21"/>
      <c r="P1283" s="21"/>
      <c r="Q1283" s="22"/>
      <c r="R1283" s="19"/>
      <c r="S1283" s="22"/>
      <c r="T1283" s="23"/>
      <c r="U1283" s="18"/>
      <c r="V1283" s="22"/>
      <c r="W1283" s="18"/>
      <c r="X1283" s="18"/>
      <c r="Y1283" s="21"/>
      <c r="Z1283" s="18"/>
    </row>
    <row r="1284" spans="1:26" x14ac:dyDescent="0.25">
      <c r="A1284" s="11"/>
      <c r="B1284" s="11"/>
      <c r="C1284" s="11"/>
      <c r="D1284" s="11"/>
      <c r="E1284" s="12"/>
      <c r="F1284" s="13"/>
      <c r="G1284" s="13"/>
      <c r="H1284" s="13"/>
      <c r="I1284" s="11"/>
      <c r="J1284" s="11"/>
      <c r="K1284" s="11"/>
      <c r="L1284" s="11"/>
      <c r="M1284" s="15"/>
      <c r="N1284" s="15"/>
      <c r="O1284" s="15"/>
      <c r="P1284" s="15"/>
      <c r="Q1284" s="16"/>
      <c r="R1284" s="16"/>
      <c r="S1284" s="16"/>
      <c r="T1284" s="17"/>
      <c r="U1284" s="11"/>
      <c r="V1284" s="16"/>
      <c r="W1284" s="11"/>
      <c r="X1284" s="11"/>
      <c r="Y1284" s="15"/>
      <c r="Z1284" s="11"/>
    </row>
    <row r="1285" spans="1:26" x14ac:dyDescent="0.25">
      <c r="A1285" s="11"/>
      <c r="B1285" s="11"/>
      <c r="C1285" s="11"/>
      <c r="D1285" s="11"/>
      <c r="E1285" s="12"/>
      <c r="F1285" s="13"/>
      <c r="G1285" s="13"/>
      <c r="H1285" s="13"/>
      <c r="I1285" s="11"/>
      <c r="J1285" s="11"/>
      <c r="K1285" s="11"/>
      <c r="L1285" s="11"/>
      <c r="M1285" s="15"/>
      <c r="N1285" s="15"/>
      <c r="O1285" s="15"/>
      <c r="P1285" s="15"/>
      <c r="Q1285" s="16"/>
      <c r="R1285" s="16"/>
      <c r="S1285" s="16"/>
      <c r="T1285" s="17"/>
      <c r="U1285" s="11"/>
      <c r="V1285" s="16"/>
      <c r="W1285" s="11"/>
      <c r="X1285" s="11"/>
      <c r="Y1285" s="15"/>
      <c r="Z1285" s="11"/>
    </row>
    <row r="1286" spans="1:26" x14ac:dyDescent="0.25">
      <c r="A1286" s="11"/>
      <c r="B1286" s="11"/>
      <c r="C1286" s="11"/>
      <c r="D1286" s="11"/>
      <c r="E1286" s="12"/>
      <c r="F1286" s="13"/>
      <c r="G1286" s="13"/>
      <c r="H1286" s="13"/>
      <c r="I1286" s="11"/>
      <c r="J1286" s="11"/>
      <c r="K1286" s="11"/>
      <c r="L1286" s="11"/>
      <c r="M1286" s="15"/>
      <c r="N1286" s="15"/>
      <c r="O1286" s="15"/>
      <c r="P1286" s="15"/>
      <c r="Q1286" s="16"/>
      <c r="R1286" s="16"/>
      <c r="S1286" s="16"/>
      <c r="T1286" s="17"/>
      <c r="U1286" s="11"/>
      <c r="V1286" s="16"/>
      <c r="W1286" s="11"/>
      <c r="X1286" s="11"/>
      <c r="Y1286" s="15"/>
      <c r="Z1286" s="11"/>
    </row>
    <row r="1287" spans="1:26" x14ac:dyDescent="0.25">
      <c r="A1287" s="11"/>
      <c r="B1287" s="11"/>
      <c r="C1287" s="11"/>
      <c r="D1287" s="11"/>
      <c r="E1287" s="12"/>
      <c r="F1287" s="13"/>
      <c r="G1287" s="13"/>
      <c r="H1287" s="13"/>
      <c r="I1287" s="11"/>
      <c r="J1287" s="11"/>
      <c r="K1287" s="11"/>
      <c r="L1287" s="11"/>
      <c r="M1287" s="15"/>
      <c r="N1287" s="15"/>
      <c r="O1287" s="15"/>
      <c r="P1287" s="15"/>
      <c r="Q1287" s="16"/>
      <c r="R1287" s="16"/>
      <c r="S1287" s="16"/>
      <c r="T1287" s="17"/>
      <c r="U1287" s="11"/>
      <c r="V1287" s="16"/>
      <c r="W1287" s="11"/>
      <c r="X1287" s="11"/>
      <c r="Y1287" s="15"/>
      <c r="Z1287" s="11"/>
    </row>
    <row r="1288" spans="1:26" x14ac:dyDescent="0.25">
      <c r="A1288" s="11"/>
      <c r="B1288" s="11"/>
      <c r="C1288" s="11"/>
      <c r="D1288" s="11"/>
      <c r="E1288" s="12"/>
      <c r="F1288" s="13"/>
      <c r="G1288" s="13"/>
      <c r="H1288" s="13"/>
      <c r="I1288" s="11"/>
      <c r="J1288" s="11"/>
      <c r="K1288" s="11"/>
      <c r="L1288" s="11"/>
      <c r="M1288" s="15"/>
      <c r="N1288" s="15"/>
      <c r="O1288" s="15"/>
      <c r="P1288" s="15"/>
      <c r="Q1288" s="16"/>
      <c r="R1288" s="16"/>
      <c r="S1288" s="16"/>
      <c r="T1288" s="17"/>
      <c r="U1288" s="11"/>
      <c r="V1288" s="16"/>
      <c r="W1288" s="11"/>
      <c r="X1288" s="11"/>
      <c r="Y1288" s="15"/>
      <c r="Z1288" s="11"/>
    </row>
    <row r="1289" spans="1:26" x14ac:dyDescent="0.25">
      <c r="A1289" s="11"/>
      <c r="B1289" s="11"/>
      <c r="C1289" s="11"/>
      <c r="D1289" s="11"/>
      <c r="E1289" s="12"/>
      <c r="F1289" s="13"/>
      <c r="G1289" s="13"/>
      <c r="H1289" s="13"/>
      <c r="I1289" s="11"/>
      <c r="J1289" s="11"/>
      <c r="K1289" s="11"/>
      <c r="L1289" s="11"/>
      <c r="M1289" s="15"/>
      <c r="N1289" s="15"/>
      <c r="O1289" s="15"/>
      <c r="P1289" s="15"/>
      <c r="Q1289" s="16"/>
      <c r="R1289" s="16"/>
      <c r="S1289" s="16"/>
      <c r="T1289" s="17"/>
      <c r="U1289" s="11"/>
      <c r="V1289" s="16"/>
      <c r="W1289" s="11"/>
      <c r="X1289" s="11"/>
      <c r="Y1289" s="15"/>
      <c r="Z1289" s="11"/>
    </row>
    <row r="1290" spans="1:26" x14ac:dyDescent="0.25">
      <c r="A1290" s="11"/>
      <c r="B1290" s="11"/>
      <c r="C1290" s="11"/>
      <c r="D1290" s="11"/>
      <c r="E1290" s="12"/>
      <c r="F1290" s="13"/>
      <c r="G1290" s="13"/>
      <c r="H1290" s="13"/>
      <c r="I1290" s="11"/>
      <c r="J1290" s="11"/>
      <c r="K1290" s="11"/>
      <c r="L1290" s="11"/>
      <c r="M1290" s="15"/>
      <c r="N1290" s="15"/>
      <c r="O1290" s="15"/>
      <c r="P1290" s="15"/>
      <c r="Q1290" s="16"/>
      <c r="R1290" s="16"/>
      <c r="S1290" s="16"/>
      <c r="T1290" s="17"/>
      <c r="U1290" s="11"/>
      <c r="V1290" s="16"/>
      <c r="W1290" s="11"/>
      <c r="X1290" s="11"/>
      <c r="Y1290" s="15"/>
      <c r="Z1290" s="11"/>
    </row>
    <row r="1291" spans="1:26" x14ac:dyDescent="0.25">
      <c r="A1291" s="11"/>
      <c r="B1291" s="11"/>
      <c r="C1291" s="11"/>
      <c r="D1291" s="11"/>
      <c r="E1291" s="12"/>
      <c r="F1291" s="13"/>
      <c r="G1291" s="13"/>
      <c r="H1291" s="13"/>
      <c r="I1291" s="11"/>
      <c r="J1291" s="11"/>
      <c r="K1291" s="11"/>
      <c r="L1291" s="11"/>
      <c r="M1291" s="15"/>
      <c r="N1291" s="15"/>
      <c r="O1291" s="15"/>
      <c r="P1291" s="15"/>
      <c r="Q1291" s="16"/>
      <c r="R1291" s="16"/>
      <c r="S1291" s="16"/>
      <c r="T1291" s="17"/>
      <c r="U1291" s="11"/>
      <c r="V1291" s="16"/>
      <c r="W1291" s="11"/>
      <c r="X1291" s="11"/>
      <c r="Y1291" s="15"/>
      <c r="Z1291" s="11"/>
    </row>
    <row r="1292" spans="1:26" x14ac:dyDescent="0.25">
      <c r="A1292" s="11"/>
      <c r="B1292" s="11"/>
      <c r="C1292" s="11"/>
      <c r="D1292" s="11"/>
      <c r="E1292" s="12"/>
      <c r="F1292" s="13"/>
      <c r="G1292" s="13"/>
      <c r="H1292" s="13"/>
      <c r="I1292" s="11"/>
      <c r="J1292" s="11"/>
      <c r="K1292" s="11"/>
      <c r="L1292" s="11"/>
      <c r="M1292" s="15"/>
      <c r="N1292" s="15"/>
      <c r="O1292" s="15"/>
      <c r="P1292" s="15"/>
      <c r="Q1292" s="16"/>
      <c r="R1292" s="16"/>
      <c r="S1292" s="16"/>
      <c r="T1292" s="17"/>
      <c r="U1292" s="11"/>
      <c r="V1292" s="16"/>
      <c r="W1292" s="11"/>
      <c r="X1292" s="11"/>
      <c r="Y1292" s="15"/>
      <c r="Z1292" s="11"/>
    </row>
    <row r="1293" spans="1:26" x14ac:dyDescent="0.25">
      <c r="A1293" s="11"/>
      <c r="B1293" s="11"/>
      <c r="C1293" s="11"/>
      <c r="D1293" s="11"/>
      <c r="E1293" s="12"/>
      <c r="F1293" s="13"/>
      <c r="G1293" s="13"/>
      <c r="H1293" s="13"/>
      <c r="I1293" s="11"/>
      <c r="J1293" s="11"/>
      <c r="K1293" s="11"/>
      <c r="L1293" s="11"/>
      <c r="M1293" s="15"/>
      <c r="N1293" s="15"/>
      <c r="O1293" s="15"/>
      <c r="P1293" s="15"/>
      <c r="Q1293" s="16"/>
      <c r="R1293" s="16"/>
      <c r="S1293" s="16"/>
      <c r="T1293" s="17"/>
      <c r="U1293" s="11"/>
      <c r="V1293" s="16"/>
      <c r="W1293" s="11"/>
      <c r="X1293" s="11"/>
      <c r="Y1293" s="15"/>
      <c r="Z1293" s="11"/>
    </row>
    <row r="1294" spans="1:26" x14ac:dyDescent="0.25">
      <c r="A1294" s="11"/>
      <c r="B1294" s="11"/>
      <c r="C1294" s="11"/>
      <c r="D1294" s="11"/>
      <c r="E1294" s="12"/>
      <c r="F1294" s="13"/>
      <c r="G1294" s="13"/>
      <c r="H1294" s="13"/>
      <c r="I1294" s="11"/>
      <c r="J1294" s="11"/>
      <c r="K1294" s="11"/>
      <c r="L1294" s="11"/>
      <c r="M1294" s="15"/>
      <c r="N1294" s="15"/>
      <c r="O1294" s="15"/>
      <c r="P1294" s="15"/>
      <c r="Q1294" s="16"/>
      <c r="R1294" s="16"/>
      <c r="S1294" s="16"/>
      <c r="T1294" s="17"/>
      <c r="U1294" s="11"/>
      <c r="V1294" s="16"/>
      <c r="W1294" s="11"/>
      <c r="X1294" s="11"/>
      <c r="Y1294" s="15"/>
      <c r="Z1294" s="11"/>
    </row>
    <row r="1295" spans="1:26" x14ac:dyDescent="0.25">
      <c r="A1295" s="11"/>
      <c r="B1295" s="11"/>
      <c r="C1295" s="11"/>
      <c r="D1295" s="11"/>
      <c r="E1295" s="12"/>
      <c r="F1295" s="13"/>
      <c r="G1295" s="13"/>
      <c r="H1295" s="13"/>
      <c r="I1295" s="11"/>
      <c r="J1295" s="11"/>
      <c r="K1295" s="11"/>
      <c r="L1295" s="11"/>
      <c r="M1295" s="15"/>
      <c r="N1295" s="15"/>
      <c r="O1295" s="15"/>
      <c r="P1295" s="15"/>
      <c r="Q1295" s="16"/>
      <c r="R1295" s="16"/>
      <c r="S1295" s="16"/>
      <c r="T1295" s="17"/>
      <c r="U1295" s="11"/>
      <c r="V1295" s="16"/>
      <c r="W1295" s="11"/>
      <c r="X1295" s="11"/>
      <c r="Y1295" s="15"/>
      <c r="Z1295" s="11"/>
    </row>
    <row r="1296" spans="1:26" x14ac:dyDescent="0.25">
      <c r="A1296" s="11"/>
      <c r="B1296" s="11"/>
      <c r="C1296" s="11"/>
      <c r="D1296" s="11"/>
      <c r="E1296" s="12"/>
      <c r="F1296" s="13"/>
      <c r="G1296" s="13"/>
      <c r="H1296" s="13"/>
      <c r="I1296" s="11"/>
      <c r="J1296" s="11"/>
      <c r="K1296" s="11"/>
      <c r="L1296" s="11"/>
      <c r="M1296" s="15"/>
      <c r="N1296" s="15"/>
      <c r="O1296" s="15"/>
      <c r="P1296" s="15"/>
      <c r="Q1296" s="16"/>
      <c r="R1296" s="16"/>
      <c r="S1296" s="16"/>
      <c r="T1296" s="17"/>
      <c r="U1296" s="11"/>
      <c r="V1296" s="16"/>
      <c r="W1296" s="11"/>
      <c r="X1296" s="11"/>
      <c r="Y1296" s="15"/>
      <c r="Z1296" s="11"/>
    </row>
    <row r="1297" spans="1:26" x14ac:dyDescent="0.25">
      <c r="A1297" s="11"/>
      <c r="B1297" s="11"/>
      <c r="C1297" s="11"/>
      <c r="D1297" s="11"/>
      <c r="E1297" s="12"/>
      <c r="F1297" s="13"/>
      <c r="G1297" s="13"/>
      <c r="H1297" s="13"/>
      <c r="I1297" s="11"/>
      <c r="J1297" s="11"/>
      <c r="K1297" s="11"/>
      <c r="L1297" s="11"/>
      <c r="M1297" s="15"/>
      <c r="N1297" s="15"/>
      <c r="O1297" s="15"/>
      <c r="P1297" s="15"/>
      <c r="Q1297" s="16"/>
      <c r="R1297" s="16"/>
      <c r="S1297" s="16"/>
      <c r="T1297" s="17"/>
      <c r="U1297" s="11"/>
      <c r="V1297" s="16"/>
      <c r="W1297" s="11"/>
      <c r="X1297" s="11"/>
      <c r="Y1297" s="15"/>
      <c r="Z1297" s="11"/>
    </row>
    <row r="1298" spans="1:26" x14ac:dyDescent="0.25">
      <c r="A1298" s="11"/>
      <c r="B1298" s="11"/>
      <c r="C1298" s="11"/>
      <c r="D1298" s="11"/>
      <c r="E1298" s="12"/>
      <c r="F1298" s="13"/>
      <c r="G1298" s="13"/>
      <c r="H1298" s="13"/>
      <c r="I1298" s="11"/>
      <c r="J1298" s="11"/>
      <c r="K1298" s="11"/>
      <c r="L1298" s="11"/>
      <c r="M1298" s="15"/>
      <c r="N1298" s="15"/>
      <c r="O1298" s="15"/>
      <c r="P1298" s="15"/>
      <c r="Q1298" s="16"/>
      <c r="R1298" s="16"/>
      <c r="S1298" s="16"/>
      <c r="T1298" s="17"/>
      <c r="U1298" s="11"/>
      <c r="V1298" s="16"/>
      <c r="W1298" s="11"/>
      <c r="X1298" s="11"/>
      <c r="Y1298" s="15"/>
      <c r="Z1298" s="11"/>
    </row>
    <row r="1299" spans="1:26" x14ac:dyDescent="0.25">
      <c r="A1299" s="11"/>
      <c r="B1299" s="11"/>
      <c r="C1299" s="11"/>
      <c r="D1299" s="11"/>
      <c r="E1299" s="12"/>
      <c r="F1299" s="13"/>
      <c r="G1299" s="13"/>
      <c r="H1299" s="13"/>
      <c r="I1299" s="11"/>
      <c r="J1299" s="11"/>
      <c r="K1299" s="11"/>
      <c r="L1299" s="11"/>
      <c r="M1299" s="15"/>
      <c r="N1299" s="15"/>
      <c r="O1299" s="15"/>
      <c r="P1299" s="15"/>
      <c r="Q1299" s="16"/>
      <c r="R1299" s="16"/>
      <c r="S1299" s="16"/>
      <c r="T1299" s="17"/>
      <c r="U1299" s="11"/>
      <c r="V1299" s="16"/>
      <c r="W1299" s="11"/>
      <c r="X1299" s="11"/>
      <c r="Y1299" s="15"/>
      <c r="Z1299" s="11"/>
    </row>
    <row r="1300" spans="1:26" x14ac:dyDescent="0.25">
      <c r="A1300" s="11"/>
      <c r="B1300" s="11"/>
      <c r="C1300" s="11"/>
      <c r="D1300" s="11"/>
      <c r="E1300" s="12"/>
      <c r="F1300" s="13"/>
      <c r="G1300" s="13"/>
      <c r="H1300" s="13"/>
      <c r="I1300" s="11"/>
      <c r="J1300" s="11"/>
      <c r="K1300" s="11"/>
      <c r="L1300" s="11"/>
      <c r="M1300" s="15"/>
      <c r="N1300" s="15"/>
      <c r="O1300" s="15"/>
      <c r="P1300" s="15"/>
      <c r="Q1300" s="16"/>
      <c r="R1300" s="16"/>
      <c r="S1300" s="16"/>
      <c r="T1300" s="17"/>
      <c r="U1300" s="11"/>
      <c r="V1300" s="16"/>
      <c r="W1300" s="11"/>
      <c r="X1300" s="11"/>
      <c r="Y1300" s="15"/>
      <c r="Z1300" s="11"/>
    </row>
    <row r="1301" spans="1:26" x14ac:dyDescent="0.25">
      <c r="A1301" s="18"/>
      <c r="B1301" s="18"/>
      <c r="C1301" s="18"/>
      <c r="D1301" s="18"/>
      <c r="E1301" s="19"/>
      <c r="F1301" s="20"/>
      <c r="G1301" s="13"/>
      <c r="H1301" s="20"/>
      <c r="I1301" s="18"/>
      <c r="J1301" s="18"/>
      <c r="K1301" s="18"/>
      <c r="L1301" s="18"/>
      <c r="M1301" s="21"/>
      <c r="N1301" s="21"/>
      <c r="O1301" s="21"/>
      <c r="P1301" s="21"/>
      <c r="Q1301" s="22"/>
      <c r="R1301" s="19"/>
      <c r="S1301" s="22"/>
      <c r="T1301" s="23"/>
      <c r="U1301" s="18"/>
      <c r="V1301" s="22"/>
      <c r="W1301" s="18"/>
      <c r="X1301" s="18"/>
      <c r="Y1301" s="21"/>
      <c r="Z1301" s="18"/>
    </row>
    <row r="1302" spans="1:26" x14ac:dyDescent="0.25">
      <c r="A1302" s="18"/>
      <c r="B1302" s="18"/>
      <c r="C1302" s="18"/>
      <c r="D1302" s="18"/>
      <c r="E1302" s="19"/>
      <c r="F1302" s="20"/>
      <c r="G1302" s="13"/>
      <c r="H1302" s="20"/>
      <c r="I1302" s="18"/>
      <c r="J1302" s="18"/>
      <c r="K1302" s="18"/>
      <c r="L1302" s="18"/>
      <c r="M1302" s="21"/>
      <c r="N1302" s="21"/>
      <c r="O1302" s="21"/>
      <c r="P1302" s="21"/>
      <c r="Q1302" s="22"/>
      <c r="R1302" s="19"/>
      <c r="S1302" s="22"/>
      <c r="T1302" s="23"/>
      <c r="U1302" s="18"/>
      <c r="V1302" s="22"/>
      <c r="W1302" s="18"/>
      <c r="X1302" s="18"/>
      <c r="Y1302" s="21"/>
      <c r="Z1302" s="18"/>
    </row>
    <row r="1303" spans="1:26" x14ac:dyDescent="0.25">
      <c r="A1303" s="19"/>
      <c r="B1303" s="19"/>
      <c r="C1303" s="19"/>
      <c r="D1303" s="19"/>
      <c r="E1303" s="19"/>
      <c r="F1303" s="20"/>
      <c r="G1303" s="13"/>
      <c r="H1303" s="20"/>
      <c r="I1303" s="19"/>
      <c r="J1303" s="19"/>
      <c r="K1303" s="19"/>
      <c r="L1303" s="19"/>
      <c r="M1303" s="21"/>
      <c r="N1303" s="21"/>
      <c r="O1303" s="21"/>
      <c r="P1303" s="21"/>
      <c r="Q1303" s="22"/>
      <c r="R1303" s="19"/>
      <c r="S1303" s="22"/>
      <c r="T1303" s="23"/>
      <c r="U1303" s="19"/>
      <c r="V1303" s="22"/>
      <c r="W1303" s="19"/>
      <c r="X1303" s="19"/>
      <c r="Y1303" s="21"/>
      <c r="Z1303" s="19"/>
    </row>
    <row r="1304" spans="1:26" x14ac:dyDescent="0.25">
      <c r="A1304" s="19"/>
      <c r="B1304" s="19"/>
      <c r="C1304" s="19"/>
      <c r="D1304" s="19"/>
      <c r="E1304" s="19"/>
      <c r="F1304" s="20"/>
      <c r="G1304" s="13"/>
      <c r="H1304" s="20"/>
      <c r="I1304" s="19"/>
      <c r="J1304" s="19"/>
      <c r="K1304" s="19"/>
      <c r="L1304" s="19"/>
      <c r="M1304" s="21"/>
      <c r="N1304" s="21"/>
      <c r="O1304" s="21"/>
      <c r="P1304" s="21"/>
      <c r="Q1304" s="22"/>
      <c r="R1304" s="19"/>
      <c r="S1304" s="22"/>
      <c r="T1304" s="23"/>
      <c r="U1304" s="19"/>
      <c r="V1304" s="22"/>
      <c r="W1304" s="19"/>
      <c r="X1304" s="19"/>
      <c r="Y1304" s="21"/>
      <c r="Z1304" s="19"/>
    </row>
    <row r="1305" spans="1:26" x14ac:dyDescent="0.25">
      <c r="A1305" s="19"/>
      <c r="B1305" s="19"/>
      <c r="C1305" s="19"/>
      <c r="D1305" s="19"/>
      <c r="E1305" s="19"/>
      <c r="F1305" s="20"/>
      <c r="G1305" s="13"/>
      <c r="H1305" s="20"/>
      <c r="I1305" s="19"/>
      <c r="J1305" s="19"/>
      <c r="K1305" s="19"/>
      <c r="L1305" s="19"/>
      <c r="M1305" s="21"/>
      <c r="N1305" s="21"/>
      <c r="O1305" s="21"/>
      <c r="P1305" s="21"/>
      <c r="Q1305" s="22"/>
      <c r="R1305" s="19"/>
      <c r="S1305" s="22"/>
      <c r="T1305" s="23"/>
      <c r="U1305" s="19"/>
      <c r="V1305" s="22"/>
      <c r="W1305" s="19"/>
      <c r="X1305" s="19"/>
      <c r="Y1305" s="21"/>
      <c r="Z1305" s="19"/>
    </row>
    <row r="1306" spans="1:26" x14ac:dyDescent="0.25">
      <c r="A1306" s="11"/>
      <c r="B1306" s="11"/>
      <c r="C1306" s="11"/>
      <c r="D1306" s="11"/>
      <c r="E1306" s="12"/>
      <c r="F1306" s="13"/>
      <c r="G1306" s="13"/>
      <c r="H1306" s="13"/>
      <c r="I1306" s="11"/>
      <c r="J1306" s="11"/>
      <c r="K1306" s="11"/>
      <c r="L1306" s="11"/>
      <c r="M1306" s="15"/>
      <c r="N1306" s="15"/>
      <c r="O1306" s="15"/>
      <c r="P1306" s="15"/>
      <c r="Q1306" s="16"/>
      <c r="R1306" s="16"/>
      <c r="S1306" s="16"/>
      <c r="T1306" s="17"/>
      <c r="U1306" s="11"/>
      <c r="V1306" s="16"/>
      <c r="W1306" s="11"/>
      <c r="X1306" s="11"/>
      <c r="Y1306" s="15"/>
      <c r="Z1306" s="11"/>
    </row>
    <row r="1307" spans="1:26" x14ac:dyDescent="0.25">
      <c r="A1307" s="11"/>
      <c r="B1307" s="11"/>
      <c r="C1307" s="11"/>
      <c r="D1307" s="11"/>
      <c r="E1307" s="12"/>
      <c r="F1307" s="13"/>
      <c r="G1307" s="13"/>
      <c r="H1307" s="13"/>
      <c r="I1307" s="11"/>
      <c r="J1307" s="11"/>
      <c r="K1307" s="11"/>
      <c r="L1307" s="11"/>
      <c r="M1307" s="15"/>
      <c r="N1307" s="15"/>
      <c r="O1307" s="15"/>
      <c r="P1307" s="15"/>
      <c r="Q1307" s="16"/>
      <c r="R1307" s="16"/>
      <c r="S1307" s="16"/>
      <c r="T1307" s="17"/>
      <c r="U1307" s="11"/>
      <c r="V1307" s="16"/>
      <c r="W1307" s="11"/>
      <c r="X1307" s="11"/>
      <c r="Y1307" s="15"/>
      <c r="Z1307" s="11"/>
    </row>
    <row r="1308" spans="1:26" x14ac:dyDescent="0.25">
      <c r="A1308" s="11"/>
      <c r="B1308" s="11"/>
      <c r="C1308" s="11"/>
      <c r="D1308" s="11"/>
      <c r="E1308" s="12"/>
      <c r="F1308" s="13"/>
      <c r="G1308" s="13"/>
      <c r="H1308" s="13"/>
      <c r="I1308" s="11"/>
      <c r="J1308" s="11"/>
      <c r="K1308" s="11"/>
      <c r="L1308" s="11"/>
      <c r="M1308" s="15"/>
      <c r="N1308" s="15"/>
      <c r="O1308" s="15"/>
      <c r="P1308" s="15"/>
      <c r="Q1308" s="16"/>
      <c r="R1308" s="16"/>
      <c r="S1308" s="16"/>
      <c r="T1308" s="17"/>
      <c r="U1308" s="11"/>
      <c r="V1308" s="16"/>
      <c r="W1308" s="11"/>
      <c r="X1308" s="11"/>
      <c r="Y1308" s="15"/>
      <c r="Z1308" s="11"/>
    </row>
    <row r="1309" spans="1:26" x14ac:dyDescent="0.25">
      <c r="A1309" s="11"/>
      <c r="B1309" s="11"/>
      <c r="C1309" s="11"/>
      <c r="D1309" s="11"/>
      <c r="E1309" s="12"/>
      <c r="F1309" s="13"/>
      <c r="G1309" s="13"/>
      <c r="H1309" s="13"/>
      <c r="I1309" s="11"/>
      <c r="J1309" s="11"/>
      <c r="K1309" s="11"/>
      <c r="L1309" s="11"/>
      <c r="M1309" s="15"/>
      <c r="N1309" s="15"/>
      <c r="O1309" s="15"/>
      <c r="P1309" s="15"/>
      <c r="Q1309" s="16"/>
      <c r="R1309" s="16"/>
      <c r="S1309" s="16"/>
      <c r="T1309" s="17"/>
      <c r="U1309" s="11"/>
      <c r="V1309" s="16"/>
      <c r="W1309" s="11"/>
      <c r="X1309" s="11"/>
      <c r="Y1309" s="15"/>
      <c r="Z1309" s="11"/>
    </row>
    <row r="1310" spans="1:26" x14ac:dyDescent="0.25">
      <c r="A1310" s="11"/>
      <c r="B1310" s="11"/>
      <c r="C1310" s="11"/>
      <c r="D1310" s="11"/>
      <c r="E1310" s="12"/>
      <c r="F1310" s="13"/>
      <c r="G1310" s="13"/>
      <c r="H1310" s="13"/>
      <c r="I1310" s="11"/>
      <c r="J1310" s="11"/>
      <c r="K1310" s="11"/>
      <c r="L1310" s="11"/>
      <c r="M1310" s="15"/>
      <c r="N1310" s="15"/>
      <c r="O1310" s="15"/>
      <c r="P1310" s="15"/>
      <c r="Q1310" s="16"/>
      <c r="R1310" s="16"/>
      <c r="S1310" s="16"/>
      <c r="T1310" s="17"/>
      <c r="U1310" s="11"/>
      <c r="V1310" s="16"/>
      <c r="W1310" s="11"/>
      <c r="X1310" s="11"/>
      <c r="Y1310" s="15"/>
      <c r="Z1310" s="11"/>
    </row>
    <row r="1311" spans="1:26" x14ac:dyDescent="0.25">
      <c r="A1311" s="11"/>
      <c r="B1311" s="11"/>
      <c r="C1311" s="11"/>
      <c r="D1311" s="11"/>
      <c r="E1311" s="12"/>
      <c r="F1311" s="13"/>
      <c r="G1311" s="13"/>
      <c r="H1311" s="13"/>
      <c r="I1311" s="11"/>
      <c r="J1311" s="11"/>
      <c r="K1311" s="11"/>
      <c r="L1311" s="11"/>
      <c r="M1311" s="15"/>
      <c r="N1311" s="15"/>
      <c r="O1311" s="15"/>
      <c r="P1311" s="15"/>
      <c r="Q1311" s="16"/>
      <c r="R1311" s="16"/>
      <c r="S1311" s="16"/>
      <c r="T1311" s="17"/>
      <c r="U1311" s="11"/>
      <c r="V1311" s="16"/>
      <c r="W1311" s="11"/>
      <c r="X1311" s="11"/>
      <c r="Y1311" s="15"/>
      <c r="Z1311" s="11"/>
    </row>
    <row r="1312" spans="1:26" x14ac:dyDescent="0.25">
      <c r="A1312" s="19"/>
      <c r="B1312" s="19"/>
      <c r="C1312" s="19"/>
      <c r="D1312" s="19"/>
      <c r="E1312" s="19"/>
      <c r="F1312" s="20"/>
      <c r="G1312" s="13"/>
      <c r="H1312" s="20"/>
      <c r="I1312" s="19"/>
      <c r="J1312" s="19"/>
      <c r="K1312" s="19"/>
      <c r="L1312" s="19"/>
      <c r="M1312" s="21"/>
      <c r="N1312" s="21"/>
      <c r="O1312" s="21"/>
      <c r="P1312" s="21"/>
      <c r="Q1312" s="22"/>
      <c r="R1312" s="19"/>
      <c r="S1312" s="22"/>
      <c r="T1312" s="23"/>
      <c r="U1312" s="19"/>
      <c r="V1312" s="22"/>
      <c r="W1312" s="19"/>
      <c r="X1312" s="19"/>
      <c r="Y1312" s="21"/>
      <c r="Z1312" s="19"/>
    </row>
    <row r="1313" spans="1:26" x14ac:dyDescent="0.25">
      <c r="A1313" s="11"/>
      <c r="B1313" s="11"/>
      <c r="C1313" s="11"/>
      <c r="D1313" s="11"/>
      <c r="E1313" s="12"/>
      <c r="F1313" s="13"/>
      <c r="G1313" s="13"/>
      <c r="H1313" s="13"/>
      <c r="I1313" s="11"/>
      <c r="J1313" s="11"/>
      <c r="K1313" s="11"/>
      <c r="L1313" s="11"/>
      <c r="M1313" s="15"/>
      <c r="N1313" s="15"/>
      <c r="O1313" s="15"/>
      <c r="P1313" s="15"/>
      <c r="Q1313" s="16"/>
      <c r="R1313" s="16"/>
      <c r="S1313" s="16"/>
      <c r="T1313" s="17"/>
      <c r="U1313" s="11"/>
      <c r="V1313" s="16"/>
      <c r="W1313" s="11"/>
      <c r="X1313" s="11"/>
      <c r="Y1313" s="15"/>
      <c r="Z1313" s="11"/>
    </row>
    <row r="1314" spans="1:26" x14ac:dyDescent="0.25">
      <c r="A1314" s="11"/>
      <c r="B1314" s="11"/>
      <c r="C1314" s="11"/>
      <c r="D1314" s="11"/>
      <c r="E1314" s="12"/>
      <c r="F1314" s="13"/>
      <c r="G1314" s="13"/>
      <c r="H1314" s="13"/>
      <c r="I1314" s="11"/>
      <c r="J1314" s="11"/>
      <c r="K1314" s="11"/>
      <c r="L1314" s="11"/>
      <c r="M1314" s="15"/>
      <c r="N1314" s="15"/>
      <c r="O1314" s="15"/>
      <c r="P1314" s="15"/>
      <c r="Q1314" s="16"/>
      <c r="R1314" s="16"/>
      <c r="S1314" s="16"/>
      <c r="T1314" s="17"/>
      <c r="U1314" s="11"/>
      <c r="V1314" s="16"/>
      <c r="W1314" s="11"/>
      <c r="X1314" s="11"/>
      <c r="Y1314" s="15"/>
      <c r="Z1314" s="11"/>
    </row>
    <row r="1315" spans="1:26" x14ac:dyDescent="0.25">
      <c r="A1315" s="11"/>
      <c r="B1315" s="11"/>
      <c r="C1315" s="11"/>
      <c r="D1315" s="11"/>
      <c r="E1315" s="12"/>
      <c r="F1315" s="13"/>
      <c r="G1315" s="13"/>
      <c r="H1315" s="13"/>
      <c r="I1315" s="11"/>
      <c r="J1315" s="11"/>
      <c r="K1315" s="11"/>
      <c r="L1315" s="11"/>
      <c r="M1315" s="15"/>
      <c r="N1315" s="15"/>
      <c r="O1315" s="15"/>
      <c r="P1315" s="15"/>
      <c r="Q1315" s="16"/>
      <c r="R1315" s="16"/>
      <c r="S1315" s="16"/>
      <c r="T1315" s="17"/>
      <c r="U1315" s="11"/>
      <c r="V1315" s="16"/>
      <c r="W1315" s="11"/>
      <c r="X1315" s="11"/>
      <c r="Y1315" s="15"/>
      <c r="Z1315" s="11"/>
    </row>
    <row r="1316" spans="1:26" x14ac:dyDescent="0.25">
      <c r="A1316" s="11"/>
      <c r="B1316" s="11"/>
      <c r="C1316" s="11"/>
      <c r="D1316" s="11"/>
      <c r="E1316" s="12"/>
      <c r="F1316" s="13"/>
      <c r="G1316" s="13"/>
      <c r="H1316" s="13"/>
      <c r="I1316" s="11"/>
      <c r="J1316" s="11"/>
      <c r="K1316" s="11"/>
      <c r="L1316" s="11"/>
      <c r="M1316" s="15"/>
      <c r="N1316" s="15"/>
      <c r="O1316" s="15"/>
      <c r="P1316" s="15"/>
      <c r="Q1316" s="16"/>
      <c r="R1316" s="16"/>
      <c r="S1316" s="16"/>
      <c r="T1316" s="17"/>
      <c r="U1316" s="11"/>
      <c r="V1316" s="16"/>
      <c r="W1316" s="11"/>
      <c r="X1316" s="11"/>
      <c r="Y1316" s="15"/>
      <c r="Z1316" s="11"/>
    </row>
    <row r="1317" spans="1:26" x14ac:dyDescent="0.25">
      <c r="A1317" s="19"/>
      <c r="B1317" s="19"/>
      <c r="C1317" s="19"/>
      <c r="D1317" s="19"/>
      <c r="E1317" s="19"/>
      <c r="F1317" s="20"/>
      <c r="G1317" s="13"/>
      <c r="H1317" s="20"/>
      <c r="I1317" s="19"/>
      <c r="J1317" s="19"/>
      <c r="K1317" s="19"/>
      <c r="L1317" s="19"/>
      <c r="M1317" s="21"/>
      <c r="N1317" s="21"/>
      <c r="O1317" s="21"/>
      <c r="P1317" s="21"/>
      <c r="Q1317" s="22"/>
      <c r="R1317" s="19"/>
      <c r="S1317" s="22"/>
      <c r="T1317" s="23"/>
      <c r="U1317" s="19"/>
      <c r="V1317" s="22"/>
      <c r="W1317" s="19"/>
      <c r="X1317" s="19"/>
      <c r="Y1317" s="21"/>
      <c r="Z1317" s="19"/>
    </row>
    <row r="1318" spans="1:26" x14ac:dyDescent="0.25">
      <c r="A1318" s="11"/>
      <c r="B1318" s="11"/>
      <c r="C1318" s="11"/>
      <c r="D1318" s="11"/>
      <c r="E1318" s="12"/>
      <c r="F1318" s="13"/>
      <c r="G1318" s="13"/>
      <c r="H1318" s="13"/>
      <c r="I1318" s="11"/>
      <c r="J1318" s="11"/>
      <c r="K1318" s="11"/>
      <c r="L1318" s="11"/>
      <c r="M1318" s="15"/>
      <c r="N1318" s="15"/>
      <c r="O1318" s="15"/>
      <c r="P1318" s="15"/>
      <c r="Q1318" s="16"/>
      <c r="R1318" s="16"/>
      <c r="S1318" s="16"/>
      <c r="T1318" s="17"/>
      <c r="U1318" s="11"/>
      <c r="V1318" s="16"/>
      <c r="W1318" s="11"/>
      <c r="X1318" s="11"/>
      <c r="Y1318" s="15"/>
      <c r="Z1318" s="11"/>
    </row>
    <row r="1319" spans="1:26" x14ac:dyDescent="0.25">
      <c r="A1319" s="11"/>
      <c r="B1319" s="11"/>
      <c r="C1319" s="11"/>
      <c r="D1319" s="11"/>
      <c r="E1319" s="12"/>
      <c r="F1319" s="13"/>
      <c r="G1319" s="13"/>
      <c r="H1319" s="13"/>
      <c r="I1319" s="11"/>
      <c r="J1319" s="11"/>
      <c r="K1319" s="11"/>
      <c r="L1319" s="11"/>
      <c r="M1319" s="15"/>
      <c r="N1319" s="15"/>
      <c r="O1319" s="15"/>
      <c r="P1319" s="15"/>
      <c r="Q1319" s="16"/>
      <c r="R1319" s="16"/>
      <c r="S1319" s="16"/>
      <c r="T1319" s="17"/>
      <c r="U1319" s="11"/>
      <c r="V1319" s="16"/>
      <c r="W1319" s="11"/>
      <c r="X1319" s="11"/>
      <c r="Y1319" s="15"/>
      <c r="Z1319" s="11"/>
    </row>
    <row r="1320" spans="1:26" x14ac:dyDescent="0.25">
      <c r="A1320" s="11"/>
      <c r="B1320" s="11"/>
      <c r="C1320" s="11"/>
      <c r="D1320" s="11"/>
      <c r="E1320" s="12"/>
      <c r="F1320" s="13"/>
      <c r="G1320" s="13"/>
      <c r="H1320" s="13"/>
      <c r="I1320" s="11"/>
      <c r="J1320" s="11"/>
      <c r="K1320" s="11"/>
      <c r="L1320" s="11"/>
      <c r="M1320" s="15"/>
      <c r="N1320" s="15"/>
      <c r="O1320" s="15"/>
      <c r="P1320" s="15"/>
      <c r="Q1320" s="16"/>
      <c r="R1320" s="16"/>
      <c r="S1320" s="16"/>
      <c r="T1320" s="17"/>
      <c r="U1320" s="11"/>
      <c r="V1320" s="16"/>
      <c r="W1320" s="11"/>
      <c r="X1320" s="11"/>
      <c r="Y1320" s="15"/>
      <c r="Z1320" s="11"/>
    </row>
    <row r="1321" spans="1:26" x14ac:dyDescent="0.25">
      <c r="A1321" s="18"/>
      <c r="B1321" s="18"/>
      <c r="C1321" s="18"/>
      <c r="D1321" s="18"/>
      <c r="E1321" s="19"/>
      <c r="F1321" s="20"/>
      <c r="G1321" s="13"/>
      <c r="H1321" s="20"/>
      <c r="I1321" s="18"/>
      <c r="J1321" s="18"/>
      <c r="K1321" s="18"/>
      <c r="L1321" s="18"/>
      <c r="M1321" s="21"/>
      <c r="N1321" s="21"/>
      <c r="O1321" s="21"/>
      <c r="P1321" s="21"/>
      <c r="Q1321" s="22"/>
      <c r="R1321" s="19"/>
      <c r="S1321" s="22"/>
      <c r="T1321" s="23"/>
      <c r="U1321" s="18"/>
      <c r="V1321" s="22"/>
      <c r="W1321" s="18"/>
      <c r="X1321" s="18"/>
      <c r="Y1321" s="21"/>
      <c r="Z1321" s="18"/>
    </row>
    <row r="1322" spans="1:26" x14ac:dyDescent="0.25">
      <c r="A1322" s="19"/>
      <c r="B1322" s="19"/>
      <c r="C1322" s="19"/>
      <c r="D1322" s="19"/>
      <c r="E1322" s="19"/>
      <c r="F1322" s="20"/>
      <c r="G1322" s="13"/>
      <c r="H1322" s="20"/>
      <c r="I1322" s="19"/>
      <c r="J1322" s="19"/>
      <c r="K1322" s="19"/>
      <c r="L1322" s="19"/>
      <c r="M1322" s="21"/>
      <c r="N1322" s="21"/>
      <c r="O1322" s="21"/>
      <c r="P1322" s="21"/>
      <c r="Q1322" s="22"/>
      <c r="R1322" s="19"/>
      <c r="S1322" s="22"/>
      <c r="T1322" s="23"/>
      <c r="U1322" s="19"/>
      <c r="V1322" s="22"/>
      <c r="W1322" s="19"/>
      <c r="X1322" s="19"/>
      <c r="Y1322" s="21"/>
      <c r="Z1322" s="19"/>
    </row>
    <row r="1323" spans="1:26" x14ac:dyDescent="0.25">
      <c r="A1323" s="19"/>
      <c r="B1323" s="19"/>
      <c r="C1323" s="19"/>
      <c r="D1323" s="19"/>
      <c r="E1323" s="19"/>
      <c r="F1323" s="20"/>
      <c r="G1323" s="13"/>
      <c r="H1323" s="20"/>
      <c r="I1323" s="19"/>
      <c r="J1323" s="19"/>
      <c r="K1323" s="19"/>
      <c r="L1323" s="19"/>
      <c r="M1323" s="21"/>
      <c r="N1323" s="21"/>
      <c r="O1323" s="21"/>
      <c r="P1323" s="21"/>
      <c r="Q1323" s="22"/>
      <c r="R1323" s="19"/>
      <c r="S1323" s="22"/>
      <c r="T1323" s="23"/>
      <c r="U1323" s="19"/>
      <c r="V1323" s="22"/>
      <c r="W1323" s="19"/>
      <c r="X1323" s="19"/>
      <c r="Y1323" s="21"/>
      <c r="Z1323" s="19"/>
    </row>
    <row r="1324" spans="1:26" x14ac:dyDescent="0.25">
      <c r="A1324" s="11"/>
      <c r="B1324" s="11"/>
      <c r="C1324" s="11"/>
      <c r="D1324" s="11"/>
      <c r="E1324" s="12"/>
      <c r="F1324" s="13"/>
      <c r="G1324" s="13"/>
      <c r="H1324" s="13"/>
      <c r="I1324" s="11"/>
      <c r="J1324" s="11"/>
      <c r="K1324" s="11"/>
      <c r="L1324" s="11"/>
      <c r="M1324" s="15"/>
      <c r="N1324" s="15"/>
      <c r="O1324" s="15"/>
      <c r="P1324" s="15"/>
      <c r="Q1324" s="16"/>
      <c r="R1324" s="16"/>
      <c r="S1324" s="16"/>
      <c r="T1324" s="17"/>
      <c r="U1324" s="11"/>
      <c r="V1324" s="16"/>
      <c r="W1324" s="11"/>
      <c r="X1324" s="11"/>
      <c r="Y1324" s="15"/>
      <c r="Z1324" s="11"/>
    </row>
    <row r="1325" spans="1:26" x14ac:dyDescent="0.25">
      <c r="A1325" s="18"/>
      <c r="B1325" s="18"/>
      <c r="C1325" s="18"/>
      <c r="D1325" s="18"/>
      <c r="E1325" s="19"/>
      <c r="F1325" s="20"/>
      <c r="G1325" s="13"/>
      <c r="H1325" s="20"/>
      <c r="I1325" s="18"/>
      <c r="J1325" s="18"/>
      <c r="K1325" s="18"/>
      <c r="L1325" s="18"/>
      <c r="M1325" s="21"/>
      <c r="N1325" s="21"/>
      <c r="O1325" s="21"/>
      <c r="P1325" s="21"/>
      <c r="Q1325" s="22"/>
      <c r="R1325" s="19"/>
      <c r="S1325" s="22"/>
      <c r="T1325" s="23"/>
      <c r="U1325" s="18"/>
      <c r="V1325" s="22"/>
      <c r="W1325" s="18"/>
      <c r="X1325" s="18"/>
      <c r="Y1325" s="21"/>
      <c r="Z1325" s="18"/>
    </row>
    <row r="1326" spans="1:26" x14ac:dyDescent="0.25">
      <c r="A1326" s="11"/>
      <c r="B1326" s="11"/>
      <c r="C1326" s="11"/>
      <c r="D1326" s="11"/>
      <c r="E1326" s="12"/>
      <c r="F1326" s="13"/>
      <c r="G1326" s="13"/>
      <c r="H1326" s="13"/>
      <c r="I1326" s="11"/>
      <c r="J1326" s="11"/>
      <c r="K1326" s="11"/>
      <c r="L1326" s="11"/>
      <c r="M1326" s="15"/>
      <c r="N1326" s="15"/>
      <c r="O1326" s="15"/>
      <c r="P1326" s="15"/>
      <c r="Q1326" s="16"/>
      <c r="R1326" s="16"/>
      <c r="S1326" s="16"/>
      <c r="T1326" s="17"/>
      <c r="U1326" s="11"/>
      <c r="V1326" s="16"/>
      <c r="W1326" s="11"/>
      <c r="X1326" s="11"/>
      <c r="Y1326" s="15"/>
      <c r="Z1326" s="11"/>
    </row>
    <row r="1327" spans="1:26" x14ac:dyDescent="0.25">
      <c r="A1327" s="11"/>
      <c r="B1327" s="11"/>
      <c r="C1327" s="11"/>
      <c r="D1327" s="11"/>
      <c r="E1327" s="12"/>
      <c r="F1327" s="13"/>
      <c r="G1327" s="13"/>
      <c r="H1327" s="13"/>
      <c r="I1327" s="11"/>
      <c r="J1327" s="11"/>
      <c r="K1327" s="11"/>
      <c r="L1327" s="11"/>
      <c r="M1327" s="15"/>
      <c r="N1327" s="15"/>
      <c r="O1327" s="15"/>
      <c r="P1327" s="15"/>
      <c r="Q1327" s="16"/>
      <c r="R1327" s="16"/>
      <c r="S1327" s="16"/>
      <c r="T1327" s="17"/>
      <c r="U1327" s="11"/>
      <c r="V1327" s="16"/>
      <c r="W1327" s="11"/>
      <c r="X1327" s="11"/>
      <c r="Y1327" s="15"/>
      <c r="Z1327" s="11"/>
    </row>
    <row r="1328" spans="1:26" x14ac:dyDescent="0.25">
      <c r="A1328" s="11"/>
      <c r="B1328" s="11"/>
      <c r="C1328" s="11"/>
      <c r="D1328" s="11"/>
      <c r="E1328" s="12"/>
      <c r="F1328" s="13"/>
      <c r="G1328" s="13"/>
      <c r="H1328" s="13"/>
      <c r="I1328" s="11"/>
      <c r="J1328" s="11"/>
      <c r="K1328" s="11"/>
      <c r="L1328" s="11"/>
      <c r="M1328" s="15"/>
      <c r="N1328" s="15"/>
      <c r="O1328" s="15"/>
      <c r="P1328" s="15"/>
      <c r="Q1328" s="16"/>
      <c r="R1328" s="16"/>
      <c r="S1328" s="16"/>
      <c r="T1328" s="17"/>
      <c r="U1328" s="11"/>
      <c r="V1328" s="16"/>
      <c r="W1328" s="11"/>
      <c r="X1328" s="11"/>
      <c r="Y1328" s="15"/>
      <c r="Z1328" s="11"/>
    </row>
    <row r="1329" spans="1:26" x14ac:dyDescent="0.25">
      <c r="A1329" s="11"/>
      <c r="B1329" s="11"/>
      <c r="C1329" s="11"/>
      <c r="D1329" s="11"/>
      <c r="E1329" s="12"/>
      <c r="F1329" s="13"/>
      <c r="G1329" s="13"/>
      <c r="H1329" s="13"/>
      <c r="I1329" s="11"/>
      <c r="J1329" s="11"/>
      <c r="K1329" s="11"/>
      <c r="L1329" s="11"/>
      <c r="M1329" s="15"/>
      <c r="N1329" s="15"/>
      <c r="O1329" s="15"/>
      <c r="P1329" s="15"/>
      <c r="Q1329" s="16"/>
      <c r="R1329" s="16"/>
      <c r="S1329" s="16"/>
      <c r="T1329" s="17"/>
      <c r="U1329" s="11"/>
      <c r="V1329" s="16"/>
      <c r="W1329" s="11"/>
      <c r="X1329" s="11"/>
      <c r="Y1329" s="15"/>
      <c r="Z1329" s="11"/>
    </row>
    <row r="1330" spans="1:26" x14ac:dyDescent="0.25">
      <c r="A1330" s="11"/>
      <c r="B1330" s="11"/>
      <c r="C1330" s="11"/>
      <c r="D1330" s="11"/>
      <c r="E1330" s="12"/>
      <c r="F1330" s="13"/>
      <c r="G1330" s="13"/>
      <c r="H1330" s="13"/>
      <c r="I1330" s="11"/>
      <c r="J1330" s="11"/>
      <c r="K1330" s="11"/>
      <c r="L1330" s="11"/>
      <c r="M1330" s="15"/>
      <c r="N1330" s="15"/>
      <c r="O1330" s="15"/>
      <c r="P1330" s="15"/>
      <c r="Q1330" s="16"/>
      <c r="R1330" s="16"/>
      <c r="S1330" s="16"/>
      <c r="T1330" s="17"/>
      <c r="U1330" s="11"/>
      <c r="V1330" s="16"/>
      <c r="W1330" s="11"/>
      <c r="X1330" s="11"/>
      <c r="Y1330" s="15"/>
      <c r="Z1330" s="11"/>
    </row>
    <row r="1331" spans="1:26" x14ac:dyDescent="0.25">
      <c r="A1331" s="18"/>
      <c r="B1331" s="18"/>
      <c r="C1331" s="18"/>
      <c r="D1331" s="18"/>
      <c r="E1331" s="19"/>
      <c r="F1331" s="20"/>
      <c r="G1331" s="13"/>
      <c r="H1331" s="20"/>
      <c r="I1331" s="18"/>
      <c r="J1331" s="18"/>
      <c r="K1331" s="18"/>
      <c r="L1331" s="18"/>
      <c r="M1331" s="21"/>
      <c r="N1331" s="21"/>
      <c r="O1331" s="21"/>
      <c r="P1331" s="21"/>
      <c r="Q1331" s="22"/>
      <c r="R1331" s="19"/>
      <c r="S1331" s="22"/>
      <c r="T1331" s="23"/>
      <c r="U1331" s="18"/>
      <c r="V1331" s="22"/>
      <c r="W1331" s="18"/>
      <c r="X1331" s="18"/>
      <c r="Y1331" s="21"/>
      <c r="Z1331" s="18"/>
    </row>
    <row r="1332" spans="1:26" x14ac:dyDescent="0.25">
      <c r="A1332" s="19"/>
      <c r="B1332" s="19"/>
      <c r="C1332" s="19"/>
      <c r="D1332" s="19"/>
      <c r="E1332" s="19"/>
      <c r="F1332" s="20"/>
      <c r="G1332" s="13"/>
      <c r="H1332" s="20"/>
      <c r="I1332" s="19"/>
      <c r="J1332" s="19"/>
      <c r="K1332" s="19"/>
      <c r="L1332" s="19"/>
      <c r="M1332" s="21"/>
      <c r="N1332" s="21"/>
      <c r="O1332" s="21"/>
      <c r="P1332" s="21"/>
      <c r="Q1332" s="22"/>
      <c r="R1332" s="19"/>
      <c r="S1332" s="22"/>
      <c r="T1332" s="23"/>
      <c r="U1332" s="19"/>
      <c r="V1332" s="22"/>
      <c r="W1332" s="19"/>
      <c r="X1332" s="19"/>
      <c r="Y1332" s="21"/>
      <c r="Z1332" s="19"/>
    </row>
    <row r="1333" spans="1:26" x14ac:dyDescent="0.25">
      <c r="A1333" s="19"/>
      <c r="B1333" s="19"/>
      <c r="C1333" s="19"/>
      <c r="D1333" s="19"/>
      <c r="E1333" s="19"/>
      <c r="F1333" s="20"/>
      <c r="G1333" s="13"/>
      <c r="H1333" s="20"/>
      <c r="I1333" s="19"/>
      <c r="J1333" s="19"/>
      <c r="K1333" s="19"/>
      <c r="L1333" s="19"/>
      <c r="M1333" s="21"/>
      <c r="N1333" s="21"/>
      <c r="O1333" s="21"/>
      <c r="P1333" s="21"/>
      <c r="Q1333" s="22"/>
      <c r="R1333" s="19"/>
      <c r="S1333" s="22"/>
      <c r="T1333" s="23"/>
      <c r="U1333" s="19"/>
      <c r="V1333" s="22"/>
      <c r="W1333" s="19"/>
      <c r="X1333" s="19"/>
      <c r="Y1333" s="21"/>
      <c r="Z1333" s="19"/>
    </row>
    <row r="1334" spans="1:26" x14ac:dyDescent="0.25">
      <c r="A1334" s="11"/>
      <c r="B1334" s="11"/>
      <c r="C1334" s="11"/>
      <c r="D1334" s="11"/>
      <c r="E1334" s="12"/>
      <c r="F1334" s="13"/>
      <c r="G1334" s="13"/>
      <c r="H1334" s="13"/>
      <c r="I1334" s="11"/>
      <c r="J1334" s="11"/>
      <c r="K1334" s="11"/>
      <c r="L1334" s="11"/>
      <c r="M1334" s="15"/>
      <c r="N1334" s="15"/>
      <c r="O1334" s="15"/>
      <c r="P1334" s="15"/>
      <c r="Q1334" s="16"/>
      <c r="R1334" s="16"/>
      <c r="S1334" s="16"/>
      <c r="T1334" s="17"/>
      <c r="U1334" s="11"/>
      <c r="V1334" s="16"/>
      <c r="W1334" s="11"/>
      <c r="X1334" s="11"/>
      <c r="Y1334" s="15"/>
      <c r="Z1334" s="11"/>
    </row>
    <row r="1335" spans="1:26" x14ac:dyDescent="0.25">
      <c r="A1335" s="11"/>
      <c r="B1335" s="11"/>
      <c r="C1335" s="11"/>
      <c r="D1335" s="11"/>
      <c r="E1335" s="12"/>
      <c r="F1335" s="13"/>
      <c r="G1335" s="13"/>
      <c r="H1335" s="13"/>
      <c r="I1335" s="11"/>
      <c r="J1335" s="11"/>
      <c r="K1335" s="11"/>
      <c r="L1335" s="11"/>
      <c r="M1335" s="15"/>
      <c r="N1335" s="15"/>
      <c r="O1335" s="15"/>
      <c r="P1335" s="15"/>
      <c r="Q1335" s="16"/>
      <c r="R1335" s="16"/>
      <c r="S1335" s="16"/>
      <c r="T1335" s="17"/>
      <c r="U1335" s="11"/>
      <c r="V1335" s="16"/>
      <c r="W1335" s="11"/>
      <c r="X1335" s="11"/>
      <c r="Y1335" s="15"/>
      <c r="Z1335" s="11"/>
    </row>
    <row r="1336" spans="1:26" x14ac:dyDescent="0.25">
      <c r="A1336" s="18"/>
      <c r="B1336" s="18"/>
      <c r="C1336" s="18"/>
      <c r="D1336" s="18"/>
      <c r="E1336" s="19"/>
      <c r="F1336" s="20"/>
      <c r="G1336" s="13"/>
      <c r="H1336" s="20"/>
      <c r="I1336" s="18"/>
      <c r="J1336" s="18"/>
      <c r="K1336" s="18"/>
      <c r="L1336" s="18"/>
      <c r="M1336" s="21"/>
      <c r="N1336" s="21"/>
      <c r="O1336" s="21"/>
      <c r="P1336" s="21"/>
      <c r="Q1336" s="22"/>
      <c r="R1336" s="19"/>
      <c r="S1336" s="22"/>
      <c r="T1336" s="23"/>
      <c r="U1336" s="18"/>
      <c r="V1336" s="22"/>
      <c r="W1336" s="18"/>
      <c r="X1336" s="18"/>
      <c r="Y1336" s="21"/>
      <c r="Z1336" s="18"/>
    </row>
    <row r="1337" spans="1:26" x14ac:dyDescent="0.25">
      <c r="A1337" s="11"/>
      <c r="B1337" s="11"/>
      <c r="C1337" s="11"/>
      <c r="D1337" s="11"/>
      <c r="E1337" s="12"/>
      <c r="F1337" s="13"/>
      <c r="G1337" s="13"/>
      <c r="H1337" s="13"/>
      <c r="I1337" s="11"/>
      <c r="J1337" s="11"/>
      <c r="K1337" s="11"/>
      <c r="L1337" s="11"/>
      <c r="M1337" s="15"/>
      <c r="N1337" s="15"/>
      <c r="O1337" s="15"/>
      <c r="P1337" s="15"/>
      <c r="Q1337" s="16"/>
      <c r="R1337" s="16"/>
      <c r="S1337" s="16"/>
      <c r="T1337" s="17"/>
      <c r="U1337" s="11"/>
      <c r="V1337" s="16"/>
      <c r="W1337" s="11"/>
      <c r="X1337" s="11"/>
      <c r="Y1337" s="15"/>
      <c r="Z1337" s="11"/>
    </row>
    <row r="1338" spans="1:26" x14ac:dyDescent="0.25">
      <c r="A1338" s="11"/>
      <c r="B1338" s="11"/>
      <c r="C1338" s="11"/>
      <c r="D1338" s="11"/>
      <c r="E1338" s="12"/>
      <c r="F1338" s="13"/>
      <c r="G1338" s="13"/>
      <c r="H1338" s="13"/>
      <c r="I1338" s="11"/>
      <c r="J1338" s="11"/>
      <c r="K1338" s="11"/>
      <c r="L1338" s="11"/>
      <c r="M1338" s="15"/>
      <c r="N1338" s="15"/>
      <c r="O1338" s="15"/>
      <c r="P1338" s="15"/>
      <c r="Q1338" s="16"/>
      <c r="R1338" s="16"/>
      <c r="S1338" s="16"/>
      <c r="T1338" s="17"/>
      <c r="U1338" s="11"/>
      <c r="V1338" s="16"/>
      <c r="W1338" s="11"/>
      <c r="X1338" s="11"/>
      <c r="Y1338" s="15"/>
      <c r="Z1338" s="11"/>
    </row>
    <row r="1339" spans="1:26" x14ac:dyDescent="0.25">
      <c r="A1339" s="11"/>
      <c r="B1339" s="11"/>
      <c r="C1339" s="11"/>
      <c r="D1339" s="11"/>
      <c r="E1339" s="12"/>
      <c r="F1339" s="13"/>
      <c r="G1339" s="13"/>
      <c r="H1339" s="13"/>
      <c r="I1339" s="11"/>
      <c r="J1339" s="11"/>
      <c r="K1339" s="11"/>
      <c r="L1339" s="11"/>
      <c r="M1339" s="15"/>
      <c r="N1339" s="15"/>
      <c r="O1339" s="15"/>
      <c r="P1339" s="15"/>
      <c r="Q1339" s="16"/>
      <c r="R1339" s="16"/>
      <c r="S1339" s="16"/>
      <c r="T1339" s="17"/>
      <c r="U1339" s="11"/>
      <c r="V1339" s="16"/>
      <c r="W1339" s="11"/>
      <c r="X1339" s="11"/>
      <c r="Y1339" s="15"/>
      <c r="Z1339" s="11"/>
    </row>
    <row r="1340" spans="1:26" x14ac:dyDescent="0.25">
      <c r="A1340" s="11"/>
      <c r="B1340" s="11"/>
      <c r="C1340" s="11"/>
      <c r="D1340" s="11"/>
      <c r="E1340" s="12"/>
      <c r="F1340" s="13"/>
      <c r="G1340" s="13"/>
      <c r="H1340" s="13"/>
      <c r="I1340" s="11"/>
      <c r="J1340" s="11"/>
      <c r="K1340" s="11"/>
      <c r="L1340" s="11"/>
      <c r="M1340" s="15"/>
      <c r="N1340" s="15"/>
      <c r="O1340" s="15"/>
      <c r="P1340" s="15"/>
      <c r="Q1340" s="16"/>
      <c r="R1340" s="16"/>
      <c r="S1340" s="16"/>
      <c r="T1340" s="17"/>
      <c r="U1340" s="11"/>
      <c r="V1340" s="16"/>
      <c r="W1340" s="11"/>
      <c r="X1340" s="11"/>
      <c r="Y1340" s="15"/>
      <c r="Z1340" s="11"/>
    </row>
    <row r="1341" spans="1:26" x14ac:dyDescent="0.25">
      <c r="A1341" s="11"/>
      <c r="B1341" s="11"/>
      <c r="C1341" s="11"/>
      <c r="D1341" s="11"/>
      <c r="E1341" s="12"/>
      <c r="F1341" s="13"/>
      <c r="G1341" s="13"/>
      <c r="H1341" s="13"/>
      <c r="I1341" s="11"/>
      <c r="J1341" s="11"/>
      <c r="K1341" s="11"/>
      <c r="L1341" s="11"/>
      <c r="M1341" s="15"/>
      <c r="N1341" s="15"/>
      <c r="O1341" s="15"/>
      <c r="P1341" s="15"/>
      <c r="Q1341" s="16"/>
      <c r="R1341" s="16"/>
      <c r="S1341" s="16"/>
      <c r="T1341" s="17"/>
      <c r="U1341" s="11"/>
      <c r="V1341" s="16"/>
      <c r="W1341" s="11"/>
      <c r="X1341" s="11"/>
      <c r="Y1341" s="15"/>
      <c r="Z1341" s="11"/>
    </row>
    <row r="1342" spans="1:26" x14ac:dyDescent="0.25">
      <c r="A1342" s="11"/>
      <c r="B1342" s="11"/>
      <c r="C1342" s="11"/>
      <c r="D1342" s="11"/>
      <c r="E1342" s="12"/>
      <c r="F1342" s="13"/>
      <c r="G1342" s="13"/>
      <c r="H1342" s="13"/>
      <c r="I1342" s="11"/>
      <c r="J1342" s="11"/>
      <c r="K1342" s="11"/>
      <c r="L1342" s="11"/>
      <c r="M1342" s="15"/>
      <c r="N1342" s="15"/>
      <c r="O1342" s="15"/>
      <c r="P1342" s="15"/>
      <c r="Q1342" s="16"/>
      <c r="R1342" s="16"/>
      <c r="S1342" s="16"/>
      <c r="T1342" s="17"/>
      <c r="U1342" s="11"/>
      <c r="V1342" s="16"/>
      <c r="W1342" s="11"/>
      <c r="X1342" s="11"/>
      <c r="Y1342" s="15"/>
      <c r="Z1342" s="11"/>
    </row>
    <row r="1343" spans="1:26" x14ac:dyDescent="0.25">
      <c r="A1343" s="11"/>
      <c r="B1343" s="11"/>
      <c r="C1343" s="11"/>
      <c r="D1343" s="11"/>
      <c r="E1343" s="12"/>
      <c r="F1343" s="13"/>
      <c r="G1343" s="13"/>
      <c r="H1343" s="13"/>
      <c r="I1343" s="11"/>
      <c r="J1343" s="11"/>
      <c r="K1343" s="11"/>
      <c r="L1343" s="11"/>
      <c r="M1343" s="15"/>
      <c r="N1343" s="15"/>
      <c r="O1343" s="15"/>
      <c r="P1343" s="15"/>
      <c r="Q1343" s="16"/>
      <c r="R1343" s="16"/>
      <c r="S1343" s="16"/>
      <c r="T1343" s="17"/>
      <c r="U1343" s="11"/>
      <c r="V1343" s="16"/>
      <c r="W1343" s="11"/>
      <c r="X1343" s="11"/>
      <c r="Y1343" s="15"/>
      <c r="Z1343" s="11"/>
    </row>
    <row r="1344" spans="1:26" x14ac:dyDescent="0.25">
      <c r="A1344" s="11"/>
      <c r="B1344" s="11"/>
      <c r="C1344" s="11"/>
      <c r="D1344" s="11"/>
      <c r="E1344" s="12"/>
      <c r="F1344" s="13"/>
      <c r="G1344" s="13"/>
      <c r="H1344" s="13"/>
      <c r="I1344" s="11"/>
      <c r="J1344" s="11"/>
      <c r="K1344" s="11"/>
      <c r="L1344" s="11"/>
      <c r="M1344" s="15"/>
      <c r="N1344" s="15"/>
      <c r="O1344" s="15"/>
      <c r="P1344" s="15"/>
      <c r="Q1344" s="16"/>
      <c r="R1344" s="16"/>
      <c r="S1344" s="16"/>
      <c r="T1344" s="17"/>
      <c r="U1344" s="11"/>
      <c r="V1344" s="16"/>
      <c r="W1344" s="11"/>
      <c r="X1344" s="11"/>
      <c r="Y1344" s="15"/>
      <c r="Z1344" s="11"/>
    </row>
    <row r="1345" spans="1:26" x14ac:dyDescent="0.25">
      <c r="A1345" s="11"/>
      <c r="B1345" s="11"/>
      <c r="C1345" s="11"/>
      <c r="D1345" s="11"/>
      <c r="E1345" s="12"/>
      <c r="F1345" s="13"/>
      <c r="G1345" s="13"/>
      <c r="H1345" s="13"/>
      <c r="I1345" s="11"/>
      <c r="J1345" s="11"/>
      <c r="K1345" s="11"/>
      <c r="L1345" s="11"/>
      <c r="M1345" s="15"/>
      <c r="N1345" s="15"/>
      <c r="O1345" s="15"/>
      <c r="P1345" s="15"/>
      <c r="Q1345" s="16"/>
      <c r="R1345" s="16"/>
      <c r="S1345" s="16"/>
      <c r="T1345" s="17"/>
      <c r="U1345" s="11"/>
      <c r="V1345" s="16"/>
      <c r="W1345" s="11"/>
      <c r="X1345" s="11"/>
      <c r="Y1345" s="15"/>
      <c r="Z1345" s="11"/>
    </row>
    <row r="1346" spans="1:26" x14ac:dyDescent="0.25">
      <c r="A1346" s="11"/>
      <c r="B1346" s="11"/>
      <c r="C1346" s="11"/>
      <c r="D1346" s="11"/>
      <c r="E1346" s="12"/>
      <c r="F1346" s="13"/>
      <c r="G1346" s="13"/>
      <c r="H1346" s="13"/>
      <c r="I1346" s="11"/>
      <c r="J1346" s="11"/>
      <c r="K1346" s="11"/>
      <c r="L1346" s="11"/>
      <c r="M1346" s="15"/>
      <c r="N1346" s="15"/>
      <c r="O1346" s="15"/>
      <c r="P1346" s="15"/>
      <c r="Q1346" s="16"/>
      <c r="R1346" s="16"/>
      <c r="S1346" s="16"/>
      <c r="T1346" s="17"/>
      <c r="U1346" s="11"/>
      <c r="V1346" s="16"/>
      <c r="W1346" s="11"/>
      <c r="X1346" s="11"/>
      <c r="Y1346" s="15"/>
      <c r="Z1346" s="11"/>
    </row>
    <row r="1347" spans="1:26" x14ac:dyDescent="0.25">
      <c r="A1347" s="11"/>
      <c r="B1347" s="11"/>
      <c r="C1347" s="11"/>
      <c r="D1347" s="11"/>
      <c r="E1347" s="12"/>
      <c r="F1347" s="13"/>
      <c r="G1347" s="13"/>
      <c r="H1347" s="13"/>
      <c r="I1347" s="11"/>
      <c r="J1347" s="11"/>
      <c r="K1347" s="11"/>
      <c r="L1347" s="11"/>
      <c r="M1347" s="15"/>
      <c r="N1347" s="15"/>
      <c r="O1347" s="15"/>
      <c r="P1347" s="15"/>
      <c r="Q1347" s="16"/>
      <c r="R1347" s="16"/>
      <c r="S1347" s="16"/>
      <c r="T1347" s="17"/>
      <c r="U1347" s="11"/>
      <c r="V1347" s="16"/>
      <c r="W1347" s="11"/>
      <c r="X1347" s="11"/>
      <c r="Y1347" s="15"/>
      <c r="Z1347" s="11"/>
    </row>
    <row r="1348" spans="1:26" x14ac:dyDescent="0.25">
      <c r="A1348" s="11"/>
      <c r="B1348" s="11"/>
      <c r="C1348" s="11"/>
      <c r="D1348" s="11"/>
      <c r="E1348" s="12"/>
      <c r="F1348" s="13"/>
      <c r="G1348" s="13"/>
      <c r="H1348" s="13"/>
      <c r="I1348" s="11"/>
      <c r="J1348" s="11"/>
      <c r="K1348" s="11"/>
      <c r="L1348" s="11"/>
      <c r="M1348" s="15"/>
      <c r="N1348" s="15"/>
      <c r="O1348" s="15"/>
      <c r="P1348" s="15"/>
      <c r="Q1348" s="16"/>
      <c r="R1348" s="16"/>
      <c r="S1348" s="16"/>
      <c r="T1348" s="17"/>
      <c r="U1348" s="11"/>
      <c r="V1348" s="16"/>
      <c r="W1348" s="11"/>
      <c r="X1348" s="11"/>
      <c r="Y1348" s="15"/>
      <c r="Z1348" s="11"/>
    </row>
    <row r="1349" spans="1:26" x14ac:dyDescent="0.25">
      <c r="A1349" s="11"/>
      <c r="B1349" s="11"/>
      <c r="C1349" s="11"/>
      <c r="D1349" s="11"/>
      <c r="E1349" s="12"/>
      <c r="F1349" s="13"/>
      <c r="G1349" s="13"/>
      <c r="H1349" s="13"/>
      <c r="I1349" s="11"/>
      <c r="J1349" s="11"/>
      <c r="K1349" s="11"/>
      <c r="L1349" s="11"/>
      <c r="M1349" s="15"/>
      <c r="N1349" s="15"/>
      <c r="O1349" s="15"/>
      <c r="P1349" s="15"/>
      <c r="Q1349" s="16"/>
      <c r="R1349" s="16"/>
      <c r="S1349" s="16"/>
      <c r="T1349" s="17"/>
      <c r="U1349" s="11"/>
      <c r="V1349" s="16"/>
      <c r="W1349" s="11"/>
      <c r="X1349" s="11"/>
      <c r="Y1349" s="15"/>
      <c r="Z1349" s="11"/>
    </row>
    <row r="1350" spans="1:26" x14ac:dyDescent="0.25">
      <c r="A1350" s="11"/>
      <c r="B1350" s="11"/>
      <c r="C1350" s="11"/>
      <c r="D1350" s="11"/>
      <c r="E1350" s="12"/>
      <c r="F1350" s="13"/>
      <c r="G1350" s="13"/>
      <c r="H1350" s="13"/>
      <c r="I1350" s="11"/>
      <c r="J1350" s="11"/>
      <c r="K1350" s="11"/>
      <c r="L1350" s="11"/>
      <c r="M1350" s="15"/>
      <c r="N1350" s="15"/>
      <c r="O1350" s="15"/>
      <c r="P1350" s="15"/>
      <c r="Q1350" s="16"/>
      <c r="R1350" s="16"/>
      <c r="S1350" s="16"/>
      <c r="T1350" s="17"/>
      <c r="U1350" s="11"/>
      <c r="V1350" s="16"/>
      <c r="W1350" s="11"/>
      <c r="X1350" s="11"/>
      <c r="Y1350" s="15"/>
      <c r="Z1350" s="11"/>
    </row>
    <row r="1351" spans="1:26" x14ac:dyDescent="0.25">
      <c r="A1351" s="11"/>
      <c r="B1351" s="11"/>
      <c r="C1351" s="11"/>
      <c r="D1351" s="11"/>
      <c r="E1351" s="12"/>
      <c r="F1351" s="13"/>
      <c r="G1351" s="13"/>
      <c r="H1351" s="13"/>
      <c r="I1351" s="11"/>
      <c r="J1351" s="11"/>
      <c r="K1351" s="11"/>
      <c r="L1351" s="11"/>
      <c r="M1351" s="15"/>
      <c r="N1351" s="15"/>
      <c r="O1351" s="15"/>
      <c r="P1351" s="15"/>
      <c r="Q1351" s="16"/>
      <c r="R1351" s="16"/>
      <c r="S1351" s="16"/>
      <c r="T1351" s="17"/>
      <c r="U1351" s="11"/>
      <c r="V1351" s="16"/>
      <c r="W1351" s="11"/>
      <c r="X1351" s="11"/>
      <c r="Y1351" s="15"/>
      <c r="Z1351" s="11"/>
    </row>
    <row r="1352" spans="1:26" x14ac:dyDescent="0.25">
      <c r="A1352" s="11"/>
      <c r="B1352" s="11"/>
      <c r="C1352" s="11"/>
      <c r="D1352" s="11"/>
      <c r="E1352" s="12"/>
      <c r="F1352" s="13"/>
      <c r="G1352" s="13"/>
      <c r="H1352" s="13"/>
      <c r="I1352" s="11"/>
      <c r="J1352" s="11"/>
      <c r="K1352" s="11"/>
      <c r="L1352" s="11"/>
      <c r="M1352" s="15"/>
      <c r="N1352" s="15"/>
      <c r="O1352" s="15"/>
      <c r="P1352" s="15"/>
      <c r="Q1352" s="16"/>
      <c r="R1352" s="16"/>
      <c r="S1352" s="16"/>
      <c r="T1352" s="17"/>
      <c r="U1352" s="11"/>
      <c r="V1352" s="16"/>
      <c r="W1352" s="11"/>
      <c r="X1352" s="11"/>
      <c r="Y1352" s="15"/>
      <c r="Z1352" s="11"/>
    </row>
    <row r="1353" spans="1:26" x14ac:dyDescent="0.25">
      <c r="A1353" s="11"/>
      <c r="B1353" s="11"/>
      <c r="C1353" s="11"/>
      <c r="D1353" s="11"/>
      <c r="E1353" s="12"/>
      <c r="F1353" s="13"/>
      <c r="G1353" s="13"/>
      <c r="H1353" s="13"/>
      <c r="I1353" s="11"/>
      <c r="J1353" s="11"/>
      <c r="K1353" s="11"/>
      <c r="L1353" s="11"/>
      <c r="M1353" s="15"/>
      <c r="N1353" s="15"/>
      <c r="O1353" s="15"/>
      <c r="P1353" s="15"/>
      <c r="Q1353" s="16"/>
      <c r="R1353" s="16"/>
      <c r="S1353" s="16"/>
      <c r="T1353" s="17"/>
      <c r="U1353" s="11"/>
      <c r="V1353" s="16"/>
      <c r="W1353" s="11"/>
      <c r="X1353" s="11"/>
      <c r="Y1353" s="15"/>
      <c r="Z1353" s="11"/>
    </row>
    <row r="1354" spans="1:26" x14ac:dyDescent="0.25">
      <c r="A1354" s="11"/>
      <c r="B1354" s="11"/>
      <c r="C1354" s="11"/>
      <c r="D1354" s="11"/>
      <c r="E1354" s="12"/>
      <c r="F1354" s="13"/>
      <c r="G1354" s="13"/>
      <c r="H1354" s="13"/>
      <c r="I1354" s="11"/>
      <c r="J1354" s="11"/>
      <c r="K1354" s="11"/>
      <c r="L1354" s="11"/>
      <c r="M1354" s="15"/>
      <c r="N1354" s="15"/>
      <c r="O1354" s="15"/>
      <c r="P1354" s="15"/>
      <c r="Q1354" s="16"/>
      <c r="R1354" s="16"/>
      <c r="S1354" s="16"/>
      <c r="T1354" s="17"/>
      <c r="U1354" s="11"/>
      <c r="V1354" s="16"/>
      <c r="W1354" s="11"/>
      <c r="X1354" s="11"/>
      <c r="Y1354" s="15"/>
      <c r="Z1354" s="11"/>
    </row>
    <row r="1355" spans="1:26" x14ac:dyDescent="0.25">
      <c r="A1355" s="11"/>
      <c r="B1355" s="11"/>
      <c r="C1355" s="11"/>
      <c r="D1355" s="11"/>
      <c r="E1355" s="12"/>
      <c r="F1355" s="13"/>
      <c r="G1355" s="13"/>
      <c r="H1355" s="13"/>
      <c r="I1355" s="11"/>
      <c r="J1355" s="11"/>
      <c r="K1355" s="11"/>
      <c r="L1355" s="11"/>
      <c r="M1355" s="15"/>
      <c r="N1355" s="15"/>
      <c r="O1355" s="15"/>
      <c r="P1355" s="15"/>
      <c r="Q1355" s="16"/>
      <c r="R1355" s="16"/>
      <c r="S1355" s="16"/>
      <c r="T1355" s="17"/>
      <c r="U1355" s="11"/>
      <c r="V1355" s="16"/>
      <c r="W1355" s="11"/>
      <c r="X1355" s="11"/>
      <c r="Y1355" s="15"/>
      <c r="Z1355" s="11"/>
    </row>
    <row r="1356" spans="1:26" x14ac:dyDescent="0.25">
      <c r="A1356" s="11"/>
      <c r="B1356" s="11"/>
      <c r="C1356" s="11"/>
      <c r="D1356" s="11"/>
      <c r="E1356" s="12"/>
      <c r="F1356" s="13"/>
      <c r="G1356" s="13"/>
      <c r="H1356" s="13"/>
      <c r="I1356" s="11"/>
      <c r="J1356" s="11"/>
      <c r="K1356" s="11"/>
      <c r="L1356" s="11"/>
      <c r="M1356" s="15"/>
      <c r="N1356" s="15"/>
      <c r="O1356" s="15"/>
      <c r="P1356" s="15"/>
      <c r="Q1356" s="16"/>
      <c r="R1356" s="16"/>
      <c r="S1356" s="16"/>
      <c r="T1356" s="17"/>
      <c r="U1356" s="11"/>
      <c r="V1356" s="16"/>
      <c r="W1356" s="11"/>
      <c r="X1356" s="11"/>
      <c r="Y1356" s="15"/>
      <c r="Z1356" s="11"/>
    </row>
    <row r="1357" spans="1:26" x14ac:dyDescent="0.25">
      <c r="A1357" s="11"/>
      <c r="B1357" s="11"/>
      <c r="C1357" s="11"/>
      <c r="D1357" s="11"/>
      <c r="E1357" s="12"/>
      <c r="F1357" s="13"/>
      <c r="G1357" s="13"/>
      <c r="H1357" s="13"/>
      <c r="I1357" s="11"/>
      <c r="J1357" s="11"/>
      <c r="K1357" s="11"/>
      <c r="L1357" s="11"/>
      <c r="M1357" s="15"/>
      <c r="N1357" s="15"/>
      <c r="O1357" s="15"/>
      <c r="P1357" s="15"/>
      <c r="Q1357" s="16"/>
      <c r="R1357" s="16"/>
      <c r="S1357" s="16"/>
      <c r="T1357" s="17"/>
      <c r="U1357" s="11"/>
      <c r="V1357" s="16"/>
      <c r="W1357" s="11"/>
      <c r="X1357" s="11"/>
      <c r="Y1357" s="15"/>
      <c r="Z1357" s="11"/>
    </row>
    <row r="1358" spans="1:26" x14ac:dyDescent="0.25">
      <c r="A1358" s="11"/>
      <c r="B1358" s="11"/>
      <c r="C1358" s="11"/>
      <c r="D1358" s="11"/>
      <c r="E1358" s="12"/>
      <c r="F1358" s="13"/>
      <c r="G1358" s="13"/>
      <c r="H1358" s="13"/>
      <c r="I1358" s="11"/>
      <c r="J1358" s="11"/>
      <c r="K1358" s="11"/>
      <c r="L1358" s="11"/>
      <c r="M1358" s="15"/>
      <c r="N1358" s="15"/>
      <c r="O1358" s="15"/>
      <c r="P1358" s="15"/>
      <c r="Q1358" s="16"/>
      <c r="R1358" s="16"/>
      <c r="S1358" s="16"/>
      <c r="T1358" s="17"/>
      <c r="U1358" s="11"/>
      <c r="V1358" s="16"/>
      <c r="W1358" s="11"/>
      <c r="X1358" s="11"/>
      <c r="Y1358" s="15"/>
      <c r="Z1358" s="11"/>
    </row>
    <row r="1359" spans="1:26" x14ac:dyDescent="0.25">
      <c r="A1359" s="11"/>
      <c r="B1359" s="11"/>
      <c r="C1359" s="11"/>
      <c r="D1359" s="11"/>
      <c r="E1359" s="12"/>
      <c r="F1359" s="13"/>
      <c r="G1359" s="13"/>
      <c r="H1359" s="13"/>
      <c r="I1359" s="11"/>
      <c r="J1359" s="11"/>
      <c r="K1359" s="11"/>
      <c r="L1359" s="11"/>
      <c r="M1359" s="15"/>
      <c r="N1359" s="15"/>
      <c r="O1359" s="15"/>
      <c r="P1359" s="15"/>
      <c r="Q1359" s="16"/>
      <c r="R1359" s="16"/>
      <c r="S1359" s="16"/>
      <c r="T1359" s="17"/>
      <c r="U1359" s="11"/>
      <c r="V1359" s="16"/>
      <c r="W1359" s="11"/>
      <c r="X1359" s="11"/>
      <c r="Y1359" s="15"/>
      <c r="Z1359" s="11"/>
    </row>
    <row r="1360" spans="1:26" x14ac:dyDescent="0.25">
      <c r="A1360" s="11"/>
      <c r="B1360" s="11"/>
      <c r="C1360" s="11"/>
      <c r="D1360" s="11"/>
      <c r="E1360" s="12"/>
      <c r="F1360" s="13"/>
      <c r="G1360" s="13"/>
      <c r="H1360" s="13"/>
      <c r="I1360" s="11"/>
      <c r="J1360" s="11"/>
      <c r="K1360" s="11"/>
      <c r="L1360" s="11"/>
      <c r="M1360" s="15"/>
      <c r="N1360" s="15"/>
      <c r="O1360" s="15"/>
      <c r="P1360" s="15"/>
      <c r="Q1360" s="16"/>
      <c r="R1360" s="16"/>
      <c r="S1360" s="16"/>
      <c r="T1360" s="17"/>
      <c r="U1360" s="11"/>
      <c r="V1360" s="16"/>
      <c r="W1360" s="11"/>
      <c r="X1360" s="11"/>
      <c r="Y1360" s="15"/>
      <c r="Z1360" s="11"/>
    </row>
    <row r="1361" spans="1:26" x14ac:dyDescent="0.25">
      <c r="A1361" s="18"/>
      <c r="B1361" s="18"/>
      <c r="C1361" s="18"/>
      <c r="D1361" s="18"/>
      <c r="E1361" s="19"/>
      <c r="F1361" s="20"/>
      <c r="G1361" s="13"/>
      <c r="H1361" s="20"/>
      <c r="I1361" s="18"/>
      <c r="J1361" s="18"/>
      <c r="K1361" s="18"/>
      <c r="L1361" s="18"/>
      <c r="M1361" s="21"/>
      <c r="N1361" s="21"/>
      <c r="O1361" s="21"/>
      <c r="P1361" s="21"/>
      <c r="Q1361" s="22"/>
      <c r="R1361" s="19"/>
      <c r="S1361" s="22"/>
      <c r="T1361" s="23"/>
      <c r="U1361" s="18"/>
      <c r="V1361" s="22"/>
      <c r="W1361" s="18"/>
      <c r="X1361" s="18"/>
      <c r="Y1361" s="21"/>
      <c r="Z1361" s="18"/>
    </row>
    <row r="1362" spans="1:26" x14ac:dyDescent="0.25">
      <c r="A1362" s="18"/>
      <c r="B1362" s="18"/>
      <c r="C1362" s="18"/>
      <c r="D1362" s="18"/>
      <c r="E1362" s="19"/>
      <c r="F1362" s="20"/>
      <c r="G1362" s="13"/>
      <c r="H1362" s="20"/>
      <c r="I1362" s="18"/>
      <c r="J1362" s="18"/>
      <c r="K1362" s="18"/>
      <c r="L1362" s="18"/>
      <c r="M1362" s="21"/>
      <c r="N1362" s="21"/>
      <c r="O1362" s="21"/>
      <c r="P1362" s="21"/>
      <c r="Q1362" s="22"/>
      <c r="R1362" s="19"/>
      <c r="S1362" s="22"/>
      <c r="T1362" s="23"/>
      <c r="U1362" s="18"/>
      <c r="V1362" s="22"/>
      <c r="W1362" s="18"/>
      <c r="X1362" s="18"/>
      <c r="Y1362" s="21"/>
      <c r="Z1362" s="18"/>
    </row>
    <row r="1363" spans="1:26" x14ac:dyDescent="0.25">
      <c r="A1363" s="18"/>
      <c r="B1363" s="18"/>
      <c r="C1363" s="18"/>
      <c r="D1363" s="18"/>
      <c r="E1363" s="19"/>
      <c r="F1363" s="20"/>
      <c r="G1363" s="13"/>
      <c r="H1363" s="20"/>
      <c r="I1363" s="18"/>
      <c r="J1363" s="18"/>
      <c r="K1363" s="18"/>
      <c r="L1363" s="18"/>
      <c r="M1363" s="21"/>
      <c r="N1363" s="21"/>
      <c r="O1363" s="21"/>
      <c r="P1363" s="21"/>
      <c r="Q1363" s="22"/>
      <c r="R1363" s="19"/>
      <c r="S1363" s="22"/>
      <c r="T1363" s="23"/>
      <c r="U1363" s="18"/>
      <c r="V1363" s="22"/>
      <c r="W1363" s="18"/>
      <c r="X1363" s="18"/>
      <c r="Y1363" s="21"/>
      <c r="Z1363" s="18"/>
    </row>
    <row r="1364" spans="1:26" x14ac:dyDescent="0.25">
      <c r="A1364" s="18"/>
      <c r="B1364" s="18"/>
      <c r="C1364" s="18"/>
      <c r="D1364" s="18"/>
      <c r="E1364" s="19"/>
      <c r="F1364" s="20"/>
      <c r="G1364" s="13"/>
      <c r="H1364" s="20"/>
      <c r="I1364" s="18"/>
      <c r="J1364" s="18"/>
      <c r="K1364" s="18"/>
      <c r="L1364" s="18"/>
      <c r="M1364" s="21"/>
      <c r="N1364" s="21"/>
      <c r="O1364" s="21"/>
      <c r="P1364" s="21"/>
      <c r="Q1364" s="22"/>
      <c r="R1364" s="19"/>
      <c r="S1364" s="22"/>
      <c r="T1364" s="23"/>
      <c r="U1364" s="18"/>
      <c r="V1364" s="22"/>
      <c r="W1364" s="18"/>
      <c r="X1364" s="18"/>
      <c r="Y1364" s="21"/>
      <c r="Z1364" s="18"/>
    </row>
    <row r="1365" spans="1:26" x14ac:dyDescent="0.25">
      <c r="A1365" s="18"/>
      <c r="B1365" s="18"/>
      <c r="C1365" s="18"/>
      <c r="D1365" s="18"/>
      <c r="E1365" s="19"/>
      <c r="F1365" s="20"/>
      <c r="G1365" s="13"/>
      <c r="H1365" s="20"/>
      <c r="I1365" s="18"/>
      <c r="J1365" s="18"/>
      <c r="K1365" s="18"/>
      <c r="L1365" s="18"/>
      <c r="M1365" s="21"/>
      <c r="N1365" s="21"/>
      <c r="O1365" s="21"/>
      <c r="P1365" s="21"/>
      <c r="Q1365" s="22"/>
      <c r="R1365" s="19"/>
      <c r="S1365" s="22"/>
      <c r="T1365" s="23"/>
      <c r="U1365" s="18"/>
      <c r="V1365" s="22"/>
      <c r="W1365" s="18"/>
      <c r="X1365" s="18"/>
      <c r="Y1365" s="21"/>
      <c r="Z1365" s="18"/>
    </row>
    <row r="1366" spans="1:26" x14ac:dyDescent="0.25">
      <c r="A1366" s="19"/>
      <c r="B1366" s="19"/>
      <c r="C1366" s="19"/>
      <c r="D1366" s="19"/>
      <c r="E1366" s="19"/>
      <c r="F1366" s="20"/>
      <c r="G1366" s="13"/>
      <c r="H1366" s="20"/>
      <c r="I1366" s="19"/>
      <c r="J1366" s="19"/>
      <c r="K1366" s="19"/>
      <c r="L1366" s="19"/>
      <c r="M1366" s="21"/>
      <c r="N1366" s="21"/>
      <c r="O1366" s="21"/>
      <c r="P1366" s="21"/>
      <c r="Q1366" s="22"/>
      <c r="R1366" s="19"/>
      <c r="S1366" s="22"/>
      <c r="T1366" s="23"/>
      <c r="U1366" s="19"/>
      <c r="V1366" s="22"/>
      <c r="W1366" s="19"/>
      <c r="X1366" s="19"/>
      <c r="Y1366" s="21"/>
      <c r="Z1366" s="19"/>
    </row>
    <row r="1367" spans="1:26" x14ac:dyDescent="0.25">
      <c r="A1367" s="19"/>
      <c r="B1367" s="19"/>
      <c r="C1367" s="19"/>
      <c r="D1367" s="19"/>
      <c r="E1367" s="19"/>
      <c r="F1367" s="20"/>
      <c r="G1367" s="13"/>
      <c r="H1367" s="20"/>
      <c r="I1367" s="19"/>
      <c r="J1367" s="19"/>
      <c r="K1367" s="19"/>
      <c r="L1367" s="19"/>
      <c r="M1367" s="21"/>
      <c r="N1367" s="21"/>
      <c r="O1367" s="21"/>
      <c r="P1367" s="21"/>
      <c r="Q1367" s="22"/>
      <c r="R1367" s="19"/>
      <c r="S1367" s="22"/>
      <c r="T1367" s="23"/>
      <c r="U1367" s="19"/>
      <c r="V1367" s="22"/>
      <c r="W1367" s="19"/>
      <c r="X1367" s="19"/>
      <c r="Y1367" s="21"/>
      <c r="Z1367" s="19"/>
    </row>
    <row r="1368" spans="1:26" x14ac:dyDescent="0.25">
      <c r="A1368" s="19"/>
      <c r="B1368" s="19"/>
      <c r="C1368" s="19"/>
      <c r="D1368" s="19"/>
      <c r="E1368" s="19"/>
      <c r="F1368" s="20"/>
      <c r="G1368" s="13"/>
      <c r="H1368" s="20"/>
      <c r="I1368" s="19"/>
      <c r="J1368" s="19"/>
      <c r="K1368" s="19"/>
      <c r="L1368" s="19"/>
      <c r="M1368" s="21"/>
      <c r="N1368" s="21"/>
      <c r="O1368" s="21"/>
      <c r="P1368" s="21"/>
      <c r="Q1368" s="22"/>
      <c r="R1368" s="19"/>
      <c r="S1368" s="22"/>
      <c r="T1368" s="23"/>
      <c r="U1368" s="19"/>
      <c r="V1368" s="22"/>
      <c r="W1368" s="19"/>
      <c r="X1368" s="19"/>
      <c r="Y1368" s="21"/>
      <c r="Z1368" s="19"/>
    </row>
    <row r="1369" spans="1:26" x14ac:dyDescent="0.25">
      <c r="A1369" s="11"/>
      <c r="B1369" s="11"/>
      <c r="C1369" s="11"/>
      <c r="D1369" s="11"/>
      <c r="E1369" s="12"/>
      <c r="F1369" s="13"/>
      <c r="G1369" s="13"/>
      <c r="H1369" s="13"/>
      <c r="I1369" s="11"/>
      <c r="J1369" s="11"/>
      <c r="K1369" s="11"/>
      <c r="L1369" s="11"/>
      <c r="M1369" s="15"/>
      <c r="N1369" s="15"/>
      <c r="O1369" s="15"/>
      <c r="P1369" s="15"/>
      <c r="Q1369" s="16"/>
      <c r="R1369" s="16"/>
      <c r="S1369" s="16"/>
      <c r="T1369" s="17"/>
      <c r="U1369" s="11"/>
      <c r="V1369" s="16"/>
      <c r="W1369" s="11"/>
      <c r="X1369" s="11"/>
      <c r="Y1369" s="15"/>
      <c r="Z1369" s="11"/>
    </row>
    <row r="1370" spans="1:26" x14ac:dyDescent="0.25">
      <c r="A1370" s="11"/>
      <c r="B1370" s="11"/>
      <c r="C1370" s="11"/>
      <c r="D1370" s="11"/>
      <c r="E1370" s="12"/>
      <c r="F1370" s="13"/>
      <c r="G1370" s="13"/>
      <c r="H1370" s="13"/>
      <c r="I1370" s="11"/>
      <c r="J1370" s="11"/>
      <c r="K1370" s="11"/>
      <c r="L1370" s="11"/>
      <c r="M1370" s="15"/>
      <c r="N1370" s="15"/>
      <c r="O1370" s="15"/>
      <c r="P1370" s="15"/>
      <c r="Q1370" s="16"/>
      <c r="R1370" s="16"/>
      <c r="S1370" s="16"/>
      <c r="T1370" s="17"/>
      <c r="U1370" s="11"/>
      <c r="V1370" s="16"/>
      <c r="W1370" s="11"/>
      <c r="X1370" s="11"/>
      <c r="Y1370" s="15"/>
      <c r="Z1370" s="11"/>
    </row>
    <row r="1371" spans="1:26" x14ac:dyDescent="0.25">
      <c r="A1371" s="11"/>
      <c r="B1371" s="11"/>
      <c r="C1371" s="11"/>
      <c r="D1371" s="11"/>
      <c r="E1371" s="12"/>
      <c r="F1371" s="13"/>
      <c r="G1371" s="13"/>
      <c r="H1371" s="13"/>
      <c r="I1371" s="11"/>
      <c r="J1371" s="11"/>
      <c r="K1371" s="11"/>
      <c r="L1371" s="11"/>
      <c r="M1371" s="15"/>
      <c r="N1371" s="15"/>
      <c r="O1371" s="15"/>
      <c r="P1371" s="15"/>
      <c r="Q1371" s="16"/>
      <c r="R1371" s="16"/>
      <c r="S1371" s="16"/>
      <c r="T1371" s="17"/>
      <c r="U1371" s="11"/>
      <c r="V1371" s="16"/>
      <c r="W1371" s="11"/>
      <c r="X1371" s="11"/>
      <c r="Y1371" s="15"/>
      <c r="Z1371" s="11"/>
    </row>
    <row r="1372" spans="1:26" x14ac:dyDescent="0.25">
      <c r="A1372" s="11"/>
      <c r="B1372" s="11"/>
      <c r="C1372" s="11"/>
      <c r="D1372" s="11"/>
      <c r="E1372" s="12"/>
      <c r="F1372" s="13"/>
      <c r="G1372" s="13"/>
      <c r="H1372" s="13"/>
      <c r="I1372" s="11"/>
      <c r="J1372" s="11"/>
      <c r="K1372" s="11"/>
      <c r="L1372" s="11"/>
      <c r="M1372" s="15"/>
      <c r="N1372" s="15"/>
      <c r="O1372" s="15"/>
      <c r="P1372" s="15"/>
      <c r="Q1372" s="16"/>
      <c r="R1372" s="16"/>
      <c r="S1372" s="16"/>
      <c r="T1372" s="17"/>
      <c r="U1372" s="11"/>
      <c r="V1372" s="16"/>
      <c r="W1372" s="11"/>
      <c r="X1372" s="11"/>
      <c r="Y1372" s="15"/>
      <c r="Z1372" s="11"/>
    </row>
    <row r="1373" spans="1:26" x14ac:dyDescent="0.25">
      <c r="A1373" s="11"/>
      <c r="B1373" s="11"/>
      <c r="C1373" s="11"/>
      <c r="D1373" s="11"/>
      <c r="E1373" s="12"/>
      <c r="F1373" s="13"/>
      <c r="G1373" s="13"/>
      <c r="H1373" s="13"/>
      <c r="I1373" s="11"/>
      <c r="J1373" s="11"/>
      <c r="K1373" s="11"/>
      <c r="L1373" s="11"/>
      <c r="M1373" s="15"/>
      <c r="N1373" s="15"/>
      <c r="O1373" s="15"/>
      <c r="P1373" s="15"/>
      <c r="Q1373" s="16"/>
      <c r="R1373" s="16"/>
      <c r="S1373" s="16"/>
      <c r="T1373" s="17"/>
      <c r="U1373" s="11"/>
      <c r="V1373" s="16"/>
      <c r="W1373" s="11"/>
      <c r="X1373" s="11"/>
      <c r="Y1373" s="15"/>
      <c r="Z1373" s="11"/>
    </row>
    <row r="1374" spans="1:26" x14ac:dyDescent="0.25">
      <c r="A1374" s="11"/>
      <c r="B1374" s="11"/>
      <c r="C1374" s="11"/>
      <c r="D1374" s="11"/>
      <c r="E1374" s="12"/>
      <c r="F1374" s="13"/>
      <c r="G1374" s="13"/>
      <c r="H1374" s="13"/>
      <c r="I1374" s="11"/>
      <c r="J1374" s="11"/>
      <c r="K1374" s="11"/>
      <c r="L1374" s="11"/>
      <c r="M1374" s="15"/>
      <c r="N1374" s="15"/>
      <c r="O1374" s="15"/>
      <c r="P1374" s="15"/>
      <c r="Q1374" s="16"/>
      <c r="R1374" s="16"/>
      <c r="S1374" s="16"/>
      <c r="T1374" s="17"/>
      <c r="U1374" s="11"/>
      <c r="V1374" s="16"/>
      <c r="W1374" s="11"/>
      <c r="X1374" s="11"/>
      <c r="Y1374" s="15"/>
      <c r="Z1374" s="11"/>
    </row>
    <row r="1375" spans="1:26" x14ac:dyDescent="0.25">
      <c r="A1375" s="11"/>
      <c r="B1375" s="11"/>
      <c r="C1375" s="11"/>
      <c r="D1375" s="11"/>
      <c r="E1375" s="12"/>
      <c r="F1375" s="13"/>
      <c r="G1375" s="13"/>
      <c r="H1375" s="13"/>
      <c r="I1375" s="11"/>
      <c r="J1375" s="11"/>
      <c r="K1375" s="11"/>
      <c r="L1375" s="11"/>
      <c r="M1375" s="15"/>
      <c r="N1375" s="15"/>
      <c r="O1375" s="15"/>
      <c r="P1375" s="15"/>
      <c r="Q1375" s="16"/>
      <c r="R1375" s="16"/>
      <c r="S1375" s="16"/>
      <c r="T1375" s="17"/>
      <c r="U1375" s="11"/>
      <c r="V1375" s="16"/>
      <c r="W1375" s="11"/>
      <c r="X1375" s="11"/>
      <c r="Y1375" s="15"/>
      <c r="Z1375" s="11"/>
    </row>
    <row r="1376" spans="1:26" x14ac:dyDescent="0.25">
      <c r="A1376" s="11"/>
      <c r="B1376" s="11"/>
      <c r="C1376" s="11"/>
      <c r="D1376" s="11"/>
      <c r="E1376" s="12"/>
      <c r="F1376" s="13"/>
      <c r="G1376" s="13"/>
      <c r="H1376" s="13"/>
      <c r="I1376" s="11"/>
      <c r="J1376" s="11"/>
      <c r="K1376" s="11"/>
      <c r="L1376" s="11"/>
      <c r="M1376" s="15"/>
      <c r="N1376" s="15"/>
      <c r="O1376" s="15"/>
      <c r="P1376" s="15"/>
      <c r="Q1376" s="16"/>
      <c r="R1376" s="16"/>
      <c r="S1376" s="16"/>
      <c r="T1376" s="17"/>
      <c r="U1376" s="11"/>
      <c r="V1376" s="16"/>
      <c r="W1376" s="11"/>
      <c r="X1376" s="11"/>
      <c r="Y1376" s="15"/>
      <c r="Z1376" s="11"/>
    </row>
    <row r="1377" spans="1:26" x14ac:dyDescent="0.25">
      <c r="A1377" s="19"/>
      <c r="B1377" s="19"/>
      <c r="C1377" s="19"/>
      <c r="D1377" s="19"/>
      <c r="E1377" s="19"/>
      <c r="F1377" s="20"/>
      <c r="G1377" s="13"/>
      <c r="H1377" s="20"/>
      <c r="I1377" s="19"/>
      <c r="J1377" s="19"/>
      <c r="K1377" s="19"/>
      <c r="L1377" s="19"/>
      <c r="M1377" s="21"/>
      <c r="N1377" s="21"/>
      <c r="O1377" s="21"/>
      <c r="P1377" s="21"/>
      <c r="Q1377" s="22"/>
      <c r="R1377" s="19"/>
      <c r="S1377" s="22"/>
      <c r="T1377" s="23"/>
      <c r="U1377" s="19"/>
      <c r="V1377" s="22"/>
      <c r="W1377" s="19"/>
      <c r="X1377" s="19"/>
      <c r="Y1377" s="21"/>
      <c r="Z1377" s="19"/>
    </row>
    <row r="1378" spans="1:26" x14ac:dyDescent="0.25">
      <c r="A1378" s="11"/>
      <c r="B1378" s="11"/>
      <c r="C1378" s="11"/>
      <c r="D1378" s="11"/>
      <c r="E1378" s="12"/>
      <c r="F1378" s="13"/>
      <c r="G1378" s="13"/>
      <c r="H1378" s="13"/>
      <c r="I1378" s="11"/>
      <c r="J1378" s="11"/>
      <c r="K1378" s="11"/>
      <c r="L1378" s="11"/>
      <c r="M1378" s="15"/>
      <c r="N1378" s="15"/>
      <c r="O1378" s="15"/>
      <c r="P1378" s="15"/>
      <c r="Q1378" s="16"/>
      <c r="R1378" s="16"/>
      <c r="S1378" s="16"/>
      <c r="T1378" s="17"/>
      <c r="U1378" s="11"/>
      <c r="V1378" s="16"/>
      <c r="W1378" s="11"/>
      <c r="X1378" s="11"/>
      <c r="Y1378" s="15"/>
      <c r="Z1378" s="11"/>
    </row>
    <row r="1379" spans="1:26" x14ac:dyDescent="0.25">
      <c r="A1379" s="11"/>
      <c r="B1379" s="11"/>
      <c r="C1379" s="11"/>
      <c r="D1379" s="11"/>
      <c r="E1379" s="12"/>
      <c r="F1379" s="13"/>
      <c r="G1379" s="13"/>
      <c r="H1379" s="13"/>
      <c r="I1379" s="11"/>
      <c r="J1379" s="11"/>
      <c r="K1379" s="11"/>
      <c r="L1379" s="11"/>
      <c r="M1379" s="15"/>
      <c r="N1379" s="15"/>
      <c r="O1379" s="15"/>
      <c r="P1379" s="15"/>
      <c r="Q1379" s="16"/>
      <c r="R1379" s="16"/>
      <c r="S1379" s="16"/>
      <c r="T1379" s="17"/>
      <c r="U1379" s="11"/>
      <c r="V1379" s="16"/>
      <c r="W1379" s="11"/>
      <c r="X1379" s="11"/>
      <c r="Y1379" s="15"/>
      <c r="Z1379" s="11"/>
    </row>
    <row r="1380" spans="1:26" x14ac:dyDescent="0.25">
      <c r="A1380" s="11"/>
      <c r="B1380" s="11"/>
      <c r="C1380" s="11"/>
      <c r="D1380" s="11"/>
      <c r="E1380" s="12"/>
      <c r="F1380" s="13"/>
      <c r="G1380" s="13"/>
      <c r="H1380" s="13"/>
      <c r="I1380" s="11"/>
      <c r="J1380" s="11"/>
      <c r="K1380" s="11"/>
      <c r="L1380" s="11"/>
      <c r="M1380" s="15"/>
      <c r="N1380" s="15"/>
      <c r="O1380" s="15"/>
      <c r="P1380" s="15"/>
      <c r="Q1380" s="16"/>
      <c r="R1380" s="16"/>
      <c r="S1380" s="16"/>
      <c r="T1380" s="17"/>
      <c r="U1380" s="11"/>
      <c r="V1380" s="16"/>
      <c r="W1380" s="11"/>
      <c r="X1380" s="11"/>
      <c r="Y1380" s="15"/>
      <c r="Z1380" s="11"/>
    </row>
    <row r="1381" spans="1:26" x14ac:dyDescent="0.25">
      <c r="A1381" s="19"/>
      <c r="B1381" s="19"/>
      <c r="C1381" s="19"/>
      <c r="D1381" s="19"/>
      <c r="E1381" s="19"/>
      <c r="F1381" s="20"/>
      <c r="G1381" s="13"/>
      <c r="H1381" s="20"/>
      <c r="I1381" s="19"/>
      <c r="J1381" s="19"/>
      <c r="K1381" s="19"/>
      <c r="L1381" s="19"/>
      <c r="M1381" s="21"/>
      <c r="N1381" s="21"/>
      <c r="O1381" s="21"/>
      <c r="P1381" s="21"/>
      <c r="Q1381" s="22"/>
      <c r="R1381" s="19"/>
      <c r="S1381" s="22"/>
      <c r="T1381" s="23"/>
      <c r="U1381" s="19"/>
      <c r="V1381" s="22"/>
      <c r="W1381" s="19"/>
      <c r="X1381" s="19"/>
      <c r="Y1381" s="21"/>
      <c r="Z1381" s="19"/>
    </row>
    <row r="1382" spans="1:26" x14ac:dyDescent="0.25">
      <c r="A1382" s="11"/>
      <c r="B1382" s="11"/>
      <c r="C1382" s="11"/>
      <c r="D1382" s="11"/>
      <c r="E1382" s="12"/>
      <c r="F1382" s="13"/>
      <c r="G1382" s="13"/>
      <c r="H1382" s="13"/>
      <c r="I1382" s="11"/>
      <c r="J1382" s="11"/>
      <c r="K1382" s="11"/>
      <c r="L1382" s="11"/>
      <c r="M1382" s="15"/>
      <c r="N1382" s="15"/>
      <c r="O1382" s="15"/>
      <c r="P1382" s="15"/>
      <c r="Q1382" s="16"/>
      <c r="R1382" s="16"/>
      <c r="S1382" s="16"/>
      <c r="T1382" s="17"/>
      <c r="U1382" s="11"/>
      <c r="V1382" s="16"/>
      <c r="W1382" s="11"/>
      <c r="X1382" s="11"/>
      <c r="Y1382" s="15"/>
      <c r="Z1382" s="11"/>
    </row>
    <row r="1383" spans="1:26" x14ac:dyDescent="0.25">
      <c r="A1383" s="19"/>
      <c r="B1383" s="19"/>
      <c r="C1383" s="19"/>
      <c r="D1383" s="19"/>
      <c r="E1383" s="19"/>
      <c r="F1383" s="20"/>
      <c r="G1383" s="13"/>
      <c r="H1383" s="20"/>
      <c r="I1383" s="19"/>
      <c r="J1383" s="19"/>
      <c r="K1383" s="19"/>
      <c r="L1383" s="19"/>
      <c r="M1383" s="21"/>
      <c r="N1383" s="21"/>
      <c r="O1383" s="21"/>
      <c r="P1383" s="21"/>
      <c r="Q1383" s="22"/>
      <c r="R1383" s="19"/>
      <c r="S1383" s="22"/>
      <c r="T1383" s="23"/>
      <c r="U1383" s="19"/>
      <c r="V1383" s="22"/>
      <c r="W1383" s="19"/>
      <c r="X1383" s="19"/>
      <c r="Y1383" s="21"/>
      <c r="Z1383" s="19"/>
    </row>
    <row r="1384" spans="1:26" x14ac:dyDescent="0.25">
      <c r="A1384" s="11"/>
      <c r="B1384" s="11"/>
      <c r="C1384" s="11"/>
      <c r="D1384" s="11"/>
      <c r="E1384" s="12"/>
      <c r="F1384" s="13"/>
      <c r="G1384" s="13"/>
      <c r="H1384" s="13"/>
      <c r="I1384" s="11"/>
      <c r="J1384" s="11"/>
      <c r="K1384" s="11"/>
      <c r="L1384" s="11"/>
      <c r="M1384" s="15"/>
      <c r="N1384" s="15"/>
      <c r="O1384" s="15"/>
      <c r="P1384" s="15"/>
      <c r="Q1384" s="16"/>
      <c r="R1384" s="16"/>
      <c r="S1384" s="16"/>
      <c r="T1384" s="17"/>
      <c r="U1384" s="11"/>
      <c r="V1384" s="16"/>
      <c r="W1384" s="11"/>
      <c r="X1384" s="11"/>
      <c r="Y1384" s="15"/>
      <c r="Z1384" s="11"/>
    </row>
    <row r="1385" spans="1:26" x14ac:dyDescent="0.25">
      <c r="A1385" s="11"/>
      <c r="B1385" s="11"/>
      <c r="C1385" s="11"/>
      <c r="D1385" s="11"/>
      <c r="E1385" s="12"/>
      <c r="F1385" s="13"/>
      <c r="G1385" s="13"/>
      <c r="H1385" s="13"/>
      <c r="I1385" s="11"/>
      <c r="J1385" s="11"/>
      <c r="K1385" s="11"/>
      <c r="L1385" s="11"/>
      <c r="M1385" s="15"/>
      <c r="N1385" s="15"/>
      <c r="O1385" s="15"/>
      <c r="P1385" s="15"/>
      <c r="Q1385" s="16"/>
      <c r="R1385" s="16"/>
      <c r="S1385" s="16"/>
      <c r="T1385" s="17"/>
      <c r="U1385" s="11"/>
      <c r="V1385" s="16"/>
      <c r="W1385" s="11"/>
      <c r="X1385" s="11"/>
      <c r="Y1385" s="15"/>
      <c r="Z1385" s="11"/>
    </row>
    <row r="1386" spans="1:26" x14ac:dyDescent="0.25">
      <c r="A1386" s="11"/>
      <c r="B1386" s="11"/>
      <c r="C1386" s="11"/>
      <c r="D1386" s="11"/>
      <c r="E1386" s="12"/>
      <c r="F1386" s="13"/>
      <c r="G1386" s="13"/>
      <c r="H1386" s="13"/>
      <c r="I1386" s="11"/>
      <c r="J1386" s="11"/>
      <c r="K1386" s="11"/>
      <c r="L1386" s="11"/>
      <c r="M1386" s="15"/>
      <c r="N1386" s="15"/>
      <c r="O1386" s="15"/>
      <c r="P1386" s="15"/>
      <c r="Q1386" s="16"/>
      <c r="R1386" s="16"/>
      <c r="S1386" s="16"/>
      <c r="T1386" s="17"/>
      <c r="U1386" s="11"/>
      <c r="V1386" s="16"/>
      <c r="W1386" s="11"/>
      <c r="X1386" s="11"/>
      <c r="Y1386" s="15"/>
      <c r="Z1386" s="11"/>
    </row>
    <row r="1387" spans="1:26" x14ac:dyDescent="0.25">
      <c r="A1387" s="11"/>
      <c r="B1387" s="11"/>
      <c r="C1387" s="11"/>
      <c r="D1387" s="11"/>
      <c r="E1387" s="12"/>
      <c r="F1387" s="13"/>
      <c r="G1387" s="13"/>
      <c r="H1387" s="13"/>
      <c r="I1387" s="11"/>
      <c r="J1387" s="11"/>
      <c r="K1387" s="11"/>
      <c r="L1387" s="11"/>
      <c r="M1387" s="15"/>
      <c r="N1387" s="15"/>
      <c r="O1387" s="15"/>
      <c r="P1387" s="15"/>
      <c r="Q1387" s="16"/>
      <c r="R1387" s="16"/>
      <c r="S1387" s="16"/>
      <c r="T1387" s="17"/>
      <c r="U1387" s="11"/>
      <c r="V1387" s="16"/>
      <c r="W1387" s="11"/>
      <c r="X1387" s="11"/>
      <c r="Y1387" s="15"/>
      <c r="Z1387" s="11"/>
    </row>
    <row r="1388" spans="1:26" x14ac:dyDescent="0.25">
      <c r="A1388" s="11"/>
      <c r="B1388" s="11"/>
      <c r="C1388" s="11"/>
      <c r="D1388" s="11"/>
      <c r="E1388" s="12"/>
      <c r="F1388" s="13"/>
      <c r="G1388" s="13"/>
      <c r="H1388" s="13"/>
      <c r="I1388" s="11"/>
      <c r="J1388" s="11"/>
      <c r="K1388" s="11"/>
      <c r="L1388" s="11"/>
      <c r="M1388" s="15"/>
      <c r="N1388" s="15"/>
      <c r="O1388" s="15"/>
      <c r="P1388" s="15"/>
      <c r="Q1388" s="16"/>
      <c r="R1388" s="16"/>
      <c r="S1388" s="16"/>
      <c r="T1388" s="17"/>
      <c r="U1388" s="11"/>
      <c r="V1388" s="16"/>
      <c r="W1388" s="11"/>
      <c r="X1388" s="11"/>
      <c r="Y1388" s="15"/>
      <c r="Z1388" s="11"/>
    </row>
    <row r="1389" spans="1:26" x14ac:dyDescent="0.25">
      <c r="A1389" s="11"/>
      <c r="B1389" s="11"/>
      <c r="C1389" s="11"/>
      <c r="D1389" s="11"/>
      <c r="E1389" s="12"/>
      <c r="F1389" s="13"/>
      <c r="G1389" s="13"/>
      <c r="H1389" s="13"/>
      <c r="I1389" s="11"/>
      <c r="J1389" s="11"/>
      <c r="K1389" s="11"/>
      <c r="L1389" s="11"/>
      <c r="M1389" s="15"/>
      <c r="N1389" s="15"/>
      <c r="O1389" s="15"/>
      <c r="P1389" s="15"/>
      <c r="Q1389" s="16"/>
      <c r="R1389" s="16"/>
      <c r="S1389" s="16"/>
      <c r="T1389" s="17"/>
      <c r="U1389" s="11"/>
      <c r="V1389" s="16"/>
      <c r="W1389" s="11"/>
      <c r="X1389" s="11"/>
      <c r="Y1389" s="15"/>
      <c r="Z1389" s="11"/>
    </row>
    <row r="1390" spans="1:26" x14ac:dyDescent="0.25">
      <c r="A1390" s="11"/>
      <c r="B1390" s="11"/>
      <c r="C1390" s="11"/>
      <c r="D1390" s="11"/>
      <c r="E1390" s="12"/>
      <c r="F1390" s="13"/>
      <c r="G1390" s="13"/>
      <c r="H1390" s="13"/>
      <c r="I1390" s="11"/>
      <c r="J1390" s="11"/>
      <c r="K1390" s="11"/>
      <c r="L1390" s="11"/>
      <c r="M1390" s="15"/>
      <c r="N1390" s="15"/>
      <c r="O1390" s="15"/>
      <c r="P1390" s="15"/>
      <c r="Q1390" s="16"/>
      <c r="R1390" s="16"/>
      <c r="S1390" s="16"/>
      <c r="T1390" s="17"/>
      <c r="U1390" s="11"/>
      <c r="V1390" s="16"/>
      <c r="W1390" s="11"/>
      <c r="X1390" s="11"/>
      <c r="Y1390" s="15"/>
      <c r="Z1390" s="11"/>
    </row>
    <row r="1391" spans="1:26" x14ac:dyDescent="0.25">
      <c r="A1391" s="11"/>
      <c r="B1391" s="11"/>
      <c r="C1391" s="11"/>
      <c r="D1391" s="11"/>
      <c r="E1391" s="12"/>
      <c r="F1391" s="13"/>
      <c r="G1391" s="13"/>
      <c r="H1391" s="13"/>
      <c r="I1391" s="11"/>
      <c r="J1391" s="11"/>
      <c r="K1391" s="11"/>
      <c r="L1391" s="11"/>
      <c r="M1391" s="15"/>
      <c r="N1391" s="15"/>
      <c r="O1391" s="15"/>
      <c r="P1391" s="15"/>
      <c r="Q1391" s="16"/>
      <c r="R1391" s="16"/>
      <c r="S1391" s="16"/>
      <c r="T1391" s="17"/>
      <c r="U1391" s="11"/>
      <c r="V1391" s="16"/>
      <c r="W1391" s="11"/>
      <c r="X1391" s="11"/>
      <c r="Y1391" s="15"/>
      <c r="Z1391" s="11"/>
    </row>
    <row r="1392" spans="1:26" x14ac:dyDescent="0.25">
      <c r="A1392" s="11"/>
      <c r="B1392" s="11"/>
      <c r="C1392" s="11"/>
      <c r="D1392" s="11"/>
      <c r="E1392" s="12"/>
      <c r="F1392" s="13"/>
      <c r="G1392" s="13"/>
      <c r="H1392" s="13"/>
      <c r="I1392" s="11"/>
      <c r="J1392" s="11"/>
      <c r="K1392" s="11"/>
      <c r="L1392" s="11"/>
      <c r="M1392" s="15"/>
      <c r="N1392" s="15"/>
      <c r="O1392" s="15"/>
      <c r="P1392" s="15"/>
      <c r="Q1392" s="16"/>
      <c r="R1392" s="16"/>
      <c r="S1392" s="16"/>
      <c r="T1392" s="17"/>
      <c r="U1392" s="11"/>
      <c r="V1392" s="16"/>
      <c r="W1392" s="11"/>
      <c r="X1392" s="11"/>
      <c r="Y1392" s="15"/>
      <c r="Z1392" s="11"/>
    </row>
    <row r="1393" spans="1:26" x14ac:dyDescent="0.25">
      <c r="A1393" s="11"/>
      <c r="B1393" s="11"/>
      <c r="C1393" s="11"/>
      <c r="D1393" s="11"/>
      <c r="E1393" s="12"/>
      <c r="F1393" s="13"/>
      <c r="G1393" s="13"/>
      <c r="H1393" s="13"/>
      <c r="I1393" s="11"/>
      <c r="J1393" s="11"/>
      <c r="K1393" s="11"/>
      <c r="L1393" s="11"/>
      <c r="M1393" s="15"/>
      <c r="N1393" s="15"/>
      <c r="O1393" s="15"/>
      <c r="P1393" s="15"/>
      <c r="Q1393" s="16"/>
      <c r="R1393" s="16"/>
      <c r="S1393" s="16"/>
      <c r="T1393" s="17"/>
      <c r="U1393" s="11"/>
      <c r="V1393" s="16"/>
      <c r="W1393" s="11"/>
      <c r="X1393" s="11"/>
      <c r="Y1393" s="15"/>
      <c r="Z1393" s="11"/>
    </row>
    <row r="1394" spans="1:26" x14ac:dyDescent="0.25">
      <c r="A1394" s="11"/>
      <c r="B1394" s="11"/>
      <c r="C1394" s="11"/>
      <c r="D1394" s="11"/>
      <c r="E1394" s="12"/>
      <c r="F1394" s="13"/>
      <c r="G1394" s="13"/>
      <c r="H1394" s="13"/>
      <c r="I1394" s="11"/>
      <c r="J1394" s="11"/>
      <c r="K1394" s="11"/>
      <c r="L1394" s="11"/>
      <c r="M1394" s="15"/>
      <c r="N1394" s="15"/>
      <c r="O1394" s="15"/>
      <c r="P1394" s="15"/>
      <c r="Q1394" s="16"/>
      <c r="R1394" s="16"/>
      <c r="S1394" s="16"/>
      <c r="T1394" s="17"/>
      <c r="U1394" s="11"/>
      <c r="V1394" s="16"/>
      <c r="W1394" s="11"/>
      <c r="X1394" s="11"/>
      <c r="Y1394" s="15"/>
      <c r="Z1394" s="11"/>
    </row>
    <row r="1395" spans="1:26" x14ac:dyDescent="0.25">
      <c r="A1395" s="18"/>
      <c r="B1395" s="18"/>
      <c r="C1395" s="18"/>
      <c r="D1395" s="18"/>
      <c r="E1395" s="19"/>
      <c r="F1395" s="20"/>
      <c r="G1395" s="13"/>
      <c r="H1395" s="20"/>
      <c r="I1395" s="18"/>
      <c r="J1395" s="18"/>
      <c r="K1395" s="18"/>
      <c r="L1395" s="18"/>
      <c r="M1395" s="21"/>
      <c r="N1395" s="21"/>
      <c r="O1395" s="21"/>
      <c r="P1395" s="21"/>
      <c r="Q1395" s="22"/>
      <c r="R1395" s="19"/>
      <c r="S1395" s="22"/>
      <c r="T1395" s="23"/>
      <c r="U1395" s="18"/>
      <c r="V1395" s="22"/>
      <c r="W1395" s="18"/>
      <c r="X1395" s="18"/>
      <c r="Y1395" s="21"/>
      <c r="Z1395" s="18"/>
    </row>
    <row r="1396" spans="1:26" x14ac:dyDescent="0.25">
      <c r="A1396" s="18"/>
      <c r="B1396" s="18"/>
      <c r="C1396" s="18"/>
      <c r="D1396" s="18"/>
      <c r="E1396" s="19"/>
      <c r="F1396" s="20"/>
      <c r="G1396" s="13"/>
      <c r="H1396" s="20"/>
      <c r="I1396" s="18"/>
      <c r="J1396" s="18"/>
      <c r="K1396" s="18"/>
      <c r="L1396" s="18"/>
      <c r="M1396" s="21"/>
      <c r="N1396" s="21"/>
      <c r="O1396" s="21"/>
      <c r="P1396" s="21"/>
      <c r="Q1396" s="22"/>
      <c r="R1396" s="19"/>
      <c r="S1396" s="22"/>
      <c r="T1396" s="23"/>
      <c r="U1396" s="18"/>
      <c r="V1396" s="22"/>
      <c r="W1396" s="18"/>
      <c r="X1396" s="18"/>
      <c r="Y1396" s="21"/>
      <c r="Z1396" s="18"/>
    </row>
    <row r="1397" spans="1:26" x14ac:dyDescent="0.25">
      <c r="A1397" s="19"/>
      <c r="B1397" s="19"/>
      <c r="C1397" s="19"/>
      <c r="D1397" s="19"/>
      <c r="E1397" s="19"/>
      <c r="F1397" s="20"/>
      <c r="G1397" s="13"/>
      <c r="H1397" s="20"/>
      <c r="I1397" s="19"/>
      <c r="J1397" s="19"/>
      <c r="K1397" s="19"/>
      <c r="L1397" s="19"/>
      <c r="M1397" s="21"/>
      <c r="N1397" s="21"/>
      <c r="O1397" s="21"/>
      <c r="P1397" s="21"/>
      <c r="Q1397" s="22"/>
      <c r="R1397" s="19"/>
      <c r="S1397" s="22"/>
      <c r="T1397" s="23"/>
      <c r="U1397" s="19"/>
      <c r="V1397" s="22"/>
      <c r="W1397" s="19"/>
      <c r="X1397" s="19"/>
      <c r="Y1397" s="21"/>
      <c r="Z1397" s="19"/>
    </row>
    <row r="1398" spans="1:26" x14ac:dyDescent="0.25">
      <c r="A1398" s="11"/>
      <c r="B1398" s="11"/>
      <c r="C1398" s="11"/>
      <c r="D1398" s="11"/>
      <c r="E1398" s="12"/>
      <c r="F1398" s="13"/>
      <c r="G1398" s="13"/>
      <c r="H1398" s="13"/>
      <c r="I1398" s="11"/>
      <c r="J1398" s="11"/>
      <c r="K1398" s="11"/>
      <c r="L1398" s="11"/>
      <c r="M1398" s="15"/>
      <c r="N1398" s="15"/>
      <c r="O1398" s="15"/>
      <c r="P1398" s="15"/>
      <c r="Q1398" s="16"/>
      <c r="R1398" s="16"/>
      <c r="S1398" s="16"/>
      <c r="T1398" s="17"/>
      <c r="U1398" s="11"/>
      <c r="V1398" s="16"/>
      <c r="W1398" s="11"/>
      <c r="X1398" s="11"/>
      <c r="Y1398" s="15"/>
      <c r="Z1398" s="11"/>
    </row>
    <row r="1399" spans="1:26" x14ac:dyDescent="0.25">
      <c r="A1399" s="11"/>
      <c r="B1399" s="11"/>
      <c r="C1399" s="11"/>
      <c r="D1399" s="11"/>
      <c r="E1399" s="12"/>
      <c r="F1399" s="13"/>
      <c r="G1399" s="13"/>
      <c r="H1399" s="13"/>
      <c r="I1399" s="11"/>
      <c r="J1399" s="11"/>
      <c r="K1399" s="11"/>
      <c r="L1399" s="11"/>
      <c r="M1399" s="15"/>
      <c r="N1399" s="15"/>
      <c r="O1399" s="15"/>
      <c r="P1399" s="15"/>
      <c r="Q1399" s="16"/>
      <c r="R1399" s="16"/>
      <c r="S1399" s="16"/>
      <c r="T1399" s="17"/>
      <c r="U1399" s="11"/>
      <c r="V1399" s="16"/>
      <c r="W1399" s="11"/>
      <c r="X1399" s="11"/>
      <c r="Y1399" s="15"/>
      <c r="Z1399" s="11"/>
    </row>
    <row r="1400" spans="1:26" x14ac:dyDescent="0.25">
      <c r="A1400" s="11"/>
      <c r="B1400" s="11"/>
      <c r="C1400" s="11"/>
      <c r="D1400" s="11"/>
      <c r="E1400" s="12"/>
      <c r="F1400" s="13"/>
      <c r="G1400" s="13"/>
      <c r="H1400" s="13"/>
      <c r="I1400" s="11"/>
      <c r="J1400" s="11"/>
      <c r="K1400" s="11"/>
      <c r="L1400" s="11"/>
      <c r="M1400" s="15"/>
      <c r="N1400" s="15"/>
      <c r="O1400" s="15"/>
      <c r="P1400" s="15"/>
      <c r="Q1400" s="16"/>
      <c r="R1400" s="16"/>
      <c r="S1400" s="16"/>
      <c r="T1400" s="17"/>
      <c r="U1400" s="11"/>
      <c r="V1400" s="16"/>
      <c r="W1400" s="11"/>
      <c r="X1400" s="11"/>
      <c r="Y1400" s="15"/>
      <c r="Z1400" s="11"/>
    </row>
    <row r="1401" spans="1:26" x14ac:dyDescent="0.25">
      <c r="A1401" s="11"/>
      <c r="B1401" s="11"/>
      <c r="C1401" s="11"/>
      <c r="D1401" s="11"/>
      <c r="E1401" s="12"/>
      <c r="F1401" s="13"/>
      <c r="G1401" s="13"/>
      <c r="H1401" s="13"/>
      <c r="I1401" s="11"/>
      <c r="J1401" s="11"/>
      <c r="K1401" s="11"/>
      <c r="L1401" s="11"/>
      <c r="M1401" s="15"/>
      <c r="N1401" s="15"/>
      <c r="O1401" s="15"/>
      <c r="P1401" s="15"/>
      <c r="Q1401" s="16"/>
      <c r="R1401" s="16"/>
      <c r="S1401" s="16"/>
      <c r="T1401" s="17"/>
      <c r="U1401" s="11"/>
      <c r="V1401" s="16"/>
      <c r="W1401" s="11"/>
      <c r="X1401" s="11"/>
      <c r="Y1401" s="15"/>
      <c r="Z1401" s="11"/>
    </row>
    <row r="1402" spans="1:26" x14ac:dyDescent="0.25">
      <c r="A1402" s="11"/>
      <c r="B1402" s="11"/>
      <c r="C1402" s="11"/>
      <c r="D1402" s="11"/>
      <c r="E1402" s="12"/>
      <c r="F1402" s="13"/>
      <c r="G1402" s="13"/>
      <c r="H1402" s="13"/>
      <c r="I1402" s="11"/>
      <c r="J1402" s="11"/>
      <c r="K1402" s="11"/>
      <c r="L1402" s="11"/>
      <c r="M1402" s="15"/>
      <c r="N1402" s="15"/>
      <c r="O1402" s="15"/>
      <c r="P1402" s="15"/>
      <c r="Q1402" s="16"/>
      <c r="R1402" s="16"/>
      <c r="S1402" s="16"/>
      <c r="T1402" s="17"/>
      <c r="U1402" s="11"/>
      <c r="V1402" s="16"/>
      <c r="W1402" s="11"/>
      <c r="X1402" s="11"/>
      <c r="Y1402" s="15"/>
      <c r="Z1402" s="11"/>
    </row>
    <row r="1403" spans="1:26" x14ac:dyDescent="0.25">
      <c r="A1403" s="11"/>
      <c r="B1403" s="11"/>
      <c r="C1403" s="11"/>
      <c r="D1403" s="11"/>
      <c r="E1403" s="12"/>
      <c r="F1403" s="13"/>
      <c r="G1403" s="13"/>
      <c r="H1403" s="13"/>
      <c r="I1403" s="11"/>
      <c r="J1403" s="11"/>
      <c r="K1403" s="11"/>
      <c r="L1403" s="11"/>
      <c r="M1403" s="15"/>
      <c r="N1403" s="15"/>
      <c r="O1403" s="15"/>
      <c r="P1403" s="15"/>
      <c r="Q1403" s="16"/>
      <c r="R1403" s="16"/>
      <c r="S1403" s="16"/>
      <c r="T1403" s="17"/>
      <c r="U1403" s="11"/>
      <c r="V1403" s="16"/>
      <c r="W1403" s="11"/>
      <c r="X1403" s="11"/>
      <c r="Y1403" s="15"/>
      <c r="Z1403" s="11"/>
    </row>
    <row r="1404" spans="1:26" x14ac:dyDescent="0.25">
      <c r="A1404" s="11"/>
      <c r="B1404" s="11"/>
      <c r="C1404" s="11"/>
      <c r="D1404" s="11"/>
      <c r="E1404" s="12"/>
      <c r="F1404" s="13"/>
      <c r="G1404" s="13"/>
      <c r="H1404" s="13"/>
      <c r="I1404" s="11"/>
      <c r="J1404" s="11"/>
      <c r="K1404" s="11"/>
      <c r="L1404" s="11"/>
      <c r="M1404" s="15"/>
      <c r="N1404" s="15"/>
      <c r="O1404" s="15"/>
      <c r="P1404" s="15"/>
      <c r="Q1404" s="16"/>
      <c r="R1404" s="16"/>
      <c r="S1404" s="16"/>
      <c r="T1404" s="17"/>
      <c r="U1404" s="11"/>
      <c r="V1404" s="16"/>
      <c r="W1404" s="11"/>
      <c r="X1404" s="11"/>
      <c r="Y1404" s="15"/>
      <c r="Z1404" s="11"/>
    </row>
    <row r="1405" spans="1:26" x14ac:dyDescent="0.25">
      <c r="A1405" s="11"/>
      <c r="B1405" s="11"/>
      <c r="C1405" s="11"/>
      <c r="D1405" s="11"/>
      <c r="E1405" s="12"/>
      <c r="F1405" s="13"/>
      <c r="G1405" s="13"/>
      <c r="H1405" s="13"/>
      <c r="I1405" s="11"/>
      <c r="J1405" s="11"/>
      <c r="K1405" s="11"/>
      <c r="L1405" s="11"/>
      <c r="M1405" s="15"/>
      <c r="N1405" s="15"/>
      <c r="O1405" s="15"/>
      <c r="P1405" s="15"/>
      <c r="Q1405" s="16"/>
      <c r="R1405" s="16"/>
      <c r="S1405" s="16"/>
      <c r="T1405" s="17"/>
      <c r="U1405" s="11"/>
      <c r="V1405" s="16"/>
      <c r="W1405" s="11"/>
      <c r="X1405" s="11"/>
      <c r="Y1405" s="15"/>
      <c r="Z1405" s="11"/>
    </row>
    <row r="1406" spans="1:26" x14ac:dyDescent="0.25">
      <c r="A1406" s="11"/>
      <c r="B1406" s="11"/>
      <c r="C1406" s="11"/>
      <c r="D1406" s="11"/>
      <c r="E1406" s="12"/>
      <c r="F1406" s="13"/>
      <c r="G1406" s="13"/>
      <c r="H1406" s="13"/>
      <c r="I1406" s="11"/>
      <c r="J1406" s="11"/>
      <c r="K1406" s="11"/>
      <c r="L1406" s="11"/>
      <c r="M1406" s="15"/>
      <c r="N1406" s="15"/>
      <c r="O1406" s="15"/>
      <c r="P1406" s="15"/>
      <c r="Q1406" s="16"/>
      <c r="R1406" s="16"/>
      <c r="S1406" s="16"/>
      <c r="T1406" s="17"/>
      <c r="U1406" s="11"/>
      <c r="V1406" s="16"/>
      <c r="W1406" s="11"/>
      <c r="X1406" s="11"/>
      <c r="Y1406" s="15"/>
      <c r="Z1406" s="11"/>
    </row>
    <row r="1407" spans="1:26" x14ac:dyDescent="0.25">
      <c r="A1407" s="11"/>
      <c r="B1407" s="11"/>
      <c r="C1407" s="11"/>
      <c r="D1407" s="11"/>
      <c r="E1407" s="12"/>
      <c r="F1407" s="13"/>
      <c r="G1407" s="13"/>
      <c r="H1407" s="13"/>
      <c r="I1407" s="11"/>
      <c r="J1407" s="11"/>
      <c r="K1407" s="11"/>
      <c r="L1407" s="11"/>
      <c r="M1407" s="15"/>
      <c r="N1407" s="15"/>
      <c r="O1407" s="15"/>
      <c r="P1407" s="15"/>
      <c r="Q1407" s="16"/>
      <c r="R1407" s="16"/>
      <c r="S1407" s="16"/>
      <c r="T1407" s="17"/>
      <c r="U1407" s="11"/>
      <c r="V1407" s="16"/>
      <c r="W1407" s="11"/>
      <c r="X1407" s="11"/>
      <c r="Y1407" s="15"/>
      <c r="Z1407" s="11"/>
    </row>
    <row r="1408" spans="1:26" x14ac:dyDescent="0.25">
      <c r="A1408" s="11"/>
      <c r="B1408" s="11"/>
      <c r="C1408" s="11"/>
      <c r="D1408" s="11"/>
      <c r="E1408" s="12"/>
      <c r="F1408" s="13"/>
      <c r="G1408" s="13"/>
      <c r="H1408" s="13"/>
      <c r="I1408" s="11"/>
      <c r="J1408" s="11"/>
      <c r="K1408" s="11"/>
      <c r="L1408" s="11"/>
      <c r="M1408" s="15"/>
      <c r="N1408" s="15"/>
      <c r="O1408" s="15"/>
      <c r="P1408" s="15"/>
      <c r="Q1408" s="16"/>
      <c r="R1408" s="16"/>
      <c r="S1408" s="16"/>
      <c r="T1408" s="17"/>
      <c r="U1408" s="11"/>
      <c r="V1408" s="16"/>
      <c r="W1408" s="11"/>
      <c r="X1408" s="11"/>
      <c r="Y1408" s="15"/>
      <c r="Z1408" s="11"/>
    </row>
    <row r="1409" spans="1:26" x14ac:dyDescent="0.25">
      <c r="A1409" s="18"/>
      <c r="B1409" s="18"/>
      <c r="C1409" s="18"/>
      <c r="D1409" s="18"/>
      <c r="E1409" s="19"/>
      <c r="F1409" s="20"/>
      <c r="G1409" s="13"/>
      <c r="H1409" s="20"/>
      <c r="I1409" s="18"/>
      <c r="J1409" s="18"/>
      <c r="K1409" s="18"/>
      <c r="L1409" s="18"/>
      <c r="M1409" s="21"/>
      <c r="N1409" s="21"/>
      <c r="O1409" s="21"/>
      <c r="P1409" s="21"/>
      <c r="Q1409" s="22"/>
      <c r="R1409" s="19"/>
      <c r="S1409" s="22"/>
      <c r="T1409" s="23"/>
      <c r="U1409" s="18"/>
      <c r="V1409" s="22"/>
      <c r="W1409" s="18"/>
      <c r="X1409" s="18"/>
      <c r="Y1409" s="21"/>
      <c r="Z1409" s="18"/>
    </row>
    <row r="1410" spans="1:26" x14ac:dyDescent="0.25">
      <c r="A1410" s="11"/>
      <c r="B1410" s="11"/>
      <c r="C1410" s="11"/>
      <c r="D1410" s="11"/>
      <c r="E1410" s="12"/>
      <c r="F1410" s="13"/>
      <c r="G1410" s="13"/>
      <c r="H1410" s="13"/>
      <c r="I1410" s="11"/>
      <c r="J1410" s="11"/>
      <c r="K1410" s="11"/>
      <c r="L1410" s="11"/>
      <c r="M1410" s="15"/>
      <c r="N1410" s="15"/>
      <c r="O1410" s="15"/>
      <c r="P1410" s="15"/>
      <c r="Q1410" s="16"/>
      <c r="R1410" s="16"/>
      <c r="S1410" s="16"/>
      <c r="T1410" s="17"/>
      <c r="U1410" s="11"/>
      <c r="V1410" s="16"/>
      <c r="W1410" s="11"/>
      <c r="X1410" s="11"/>
      <c r="Y1410" s="15"/>
      <c r="Z1410" s="11"/>
    </row>
    <row r="1411" spans="1:26" x14ac:dyDescent="0.25">
      <c r="A1411" s="11"/>
      <c r="B1411" s="11"/>
      <c r="C1411" s="11"/>
      <c r="D1411" s="11"/>
      <c r="E1411" s="12"/>
      <c r="F1411" s="13"/>
      <c r="G1411" s="13"/>
      <c r="H1411" s="13"/>
      <c r="I1411" s="11"/>
      <c r="J1411" s="11"/>
      <c r="K1411" s="11"/>
      <c r="L1411" s="11"/>
      <c r="M1411" s="15"/>
      <c r="N1411" s="15"/>
      <c r="O1411" s="15"/>
      <c r="P1411" s="15"/>
      <c r="Q1411" s="16"/>
      <c r="R1411" s="16"/>
      <c r="S1411" s="16"/>
      <c r="T1411" s="17"/>
      <c r="U1411" s="11"/>
      <c r="V1411" s="16"/>
      <c r="W1411" s="11"/>
      <c r="X1411" s="11"/>
      <c r="Y1411" s="15"/>
      <c r="Z1411" s="11"/>
    </row>
    <row r="1412" spans="1:26" x14ac:dyDescent="0.25">
      <c r="A1412" s="11"/>
      <c r="B1412" s="11"/>
      <c r="C1412" s="11"/>
      <c r="D1412" s="11"/>
      <c r="E1412" s="12"/>
      <c r="F1412" s="13"/>
      <c r="G1412" s="13"/>
      <c r="H1412" s="13"/>
      <c r="I1412" s="11"/>
      <c r="J1412" s="11"/>
      <c r="K1412" s="11"/>
      <c r="L1412" s="11"/>
      <c r="M1412" s="15"/>
      <c r="N1412" s="15"/>
      <c r="O1412" s="15"/>
      <c r="P1412" s="15"/>
      <c r="Q1412" s="16"/>
      <c r="R1412" s="16"/>
      <c r="S1412" s="16"/>
      <c r="T1412" s="17"/>
      <c r="U1412" s="11"/>
      <c r="V1412" s="16"/>
      <c r="W1412" s="11"/>
      <c r="X1412" s="11"/>
      <c r="Y1412" s="15"/>
      <c r="Z1412" s="11"/>
    </row>
    <row r="1413" spans="1:26" x14ac:dyDescent="0.25">
      <c r="A1413" s="11"/>
      <c r="B1413" s="11"/>
      <c r="C1413" s="11"/>
      <c r="D1413" s="11"/>
      <c r="E1413" s="12"/>
      <c r="F1413" s="13"/>
      <c r="G1413" s="13"/>
      <c r="H1413" s="13"/>
      <c r="I1413" s="11"/>
      <c r="J1413" s="11"/>
      <c r="K1413" s="11"/>
      <c r="L1413" s="11"/>
      <c r="M1413" s="15"/>
      <c r="N1413" s="15"/>
      <c r="O1413" s="15"/>
      <c r="P1413" s="15"/>
      <c r="Q1413" s="16"/>
      <c r="R1413" s="16"/>
      <c r="S1413" s="16"/>
      <c r="T1413" s="17"/>
      <c r="U1413" s="11"/>
      <c r="V1413" s="16"/>
      <c r="W1413" s="11"/>
      <c r="X1413" s="11"/>
      <c r="Y1413" s="15"/>
      <c r="Z1413" s="11"/>
    </row>
    <row r="1414" spans="1:26" x14ac:dyDescent="0.25">
      <c r="A1414" s="11"/>
      <c r="B1414" s="11"/>
      <c r="C1414" s="11"/>
      <c r="D1414" s="11"/>
      <c r="E1414" s="12"/>
      <c r="F1414" s="13"/>
      <c r="G1414" s="13"/>
      <c r="H1414" s="13"/>
      <c r="I1414" s="11"/>
      <c r="J1414" s="11"/>
      <c r="K1414" s="11"/>
      <c r="L1414" s="11"/>
      <c r="M1414" s="15"/>
      <c r="N1414" s="15"/>
      <c r="O1414" s="15"/>
      <c r="P1414" s="15"/>
      <c r="Q1414" s="16"/>
      <c r="R1414" s="16"/>
      <c r="S1414" s="16"/>
      <c r="T1414" s="17"/>
      <c r="U1414" s="11"/>
      <c r="V1414" s="16"/>
      <c r="W1414" s="11"/>
      <c r="X1414" s="11"/>
      <c r="Y1414" s="15"/>
      <c r="Z1414" s="11"/>
    </row>
    <row r="1415" spans="1:26" x14ac:dyDescent="0.25">
      <c r="A1415" s="11"/>
      <c r="B1415" s="11"/>
      <c r="C1415" s="11"/>
      <c r="D1415" s="11"/>
      <c r="E1415" s="12"/>
      <c r="F1415" s="13"/>
      <c r="G1415" s="13"/>
      <c r="H1415" s="13"/>
      <c r="I1415" s="11"/>
      <c r="J1415" s="11"/>
      <c r="K1415" s="11"/>
      <c r="L1415" s="11"/>
      <c r="M1415" s="15"/>
      <c r="N1415" s="15"/>
      <c r="O1415" s="15"/>
      <c r="P1415" s="15"/>
      <c r="Q1415" s="16"/>
      <c r="R1415" s="16"/>
      <c r="S1415" s="16"/>
      <c r="T1415" s="17"/>
      <c r="U1415" s="11"/>
      <c r="V1415" s="16"/>
      <c r="W1415" s="11"/>
      <c r="X1415" s="11"/>
      <c r="Y1415" s="15"/>
      <c r="Z1415" s="11"/>
    </row>
    <row r="1416" spans="1:26" x14ac:dyDescent="0.25">
      <c r="A1416" s="11"/>
      <c r="B1416" s="11"/>
      <c r="C1416" s="11"/>
      <c r="D1416" s="11"/>
      <c r="E1416" s="12"/>
      <c r="F1416" s="13"/>
      <c r="G1416" s="13"/>
      <c r="H1416" s="13"/>
      <c r="I1416" s="11"/>
      <c r="J1416" s="11"/>
      <c r="K1416" s="11"/>
      <c r="L1416" s="11"/>
      <c r="M1416" s="15"/>
      <c r="N1416" s="15"/>
      <c r="O1416" s="15"/>
      <c r="P1416" s="15"/>
      <c r="Q1416" s="16"/>
      <c r="R1416" s="16"/>
      <c r="S1416" s="16"/>
      <c r="T1416" s="17"/>
      <c r="U1416" s="11"/>
      <c r="V1416" s="16"/>
      <c r="W1416" s="11"/>
      <c r="X1416" s="11"/>
      <c r="Y1416" s="15"/>
      <c r="Z1416" s="11"/>
    </row>
    <row r="1417" spans="1:26" x14ac:dyDescent="0.25">
      <c r="A1417" s="11"/>
      <c r="B1417" s="11"/>
      <c r="C1417" s="11"/>
      <c r="D1417" s="11"/>
      <c r="E1417" s="12"/>
      <c r="F1417" s="13"/>
      <c r="G1417" s="13"/>
      <c r="H1417" s="13"/>
      <c r="I1417" s="11"/>
      <c r="J1417" s="11"/>
      <c r="K1417" s="11"/>
      <c r="L1417" s="11"/>
      <c r="M1417" s="15"/>
      <c r="N1417" s="15"/>
      <c r="O1417" s="15"/>
      <c r="P1417" s="15"/>
      <c r="Q1417" s="16"/>
      <c r="R1417" s="16"/>
      <c r="S1417" s="16"/>
      <c r="T1417" s="17"/>
      <c r="U1417" s="11"/>
      <c r="V1417" s="16"/>
      <c r="W1417" s="11"/>
      <c r="X1417" s="11"/>
      <c r="Y1417" s="15"/>
      <c r="Z1417" s="11"/>
    </row>
    <row r="1418" spans="1:26" x14ac:dyDescent="0.25">
      <c r="A1418" s="11"/>
      <c r="B1418" s="11"/>
      <c r="C1418" s="11"/>
      <c r="D1418" s="11"/>
      <c r="E1418" s="12"/>
      <c r="F1418" s="13"/>
      <c r="G1418" s="13"/>
      <c r="H1418" s="13"/>
      <c r="I1418" s="11"/>
      <c r="J1418" s="11"/>
      <c r="K1418" s="11"/>
      <c r="L1418" s="11"/>
      <c r="M1418" s="15"/>
      <c r="N1418" s="15"/>
      <c r="O1418" s="15"/>
      <c r="P1418" s="15"/>
      <c r="Q1418" s="16"/>
      <c r="R1418" s="16"/>
      <c r="S1418" s="16"/>
      <c r="T1418" s="17"/>
      <c r="U1418" s="11"/>
      <c r="V1418" s="16"/>
      <c r="W1418" s="11"/>
      <c r="X1418" s="11"/>
      <c r="Y1418" s="15"/>
      <c r="Z1418" s="11"/>
    </row>
    <row r="1419" spans="1:26" x14ac:dyDescent="0.25">
      <c r="A1419" s="18"/>
      <c r="B1419" s="18"/>
      <c r="C1419" s="18"/>
      <c r="D1419" s="18"/>
      <c r="E1419" s="19"/>
      <c r="F1419" s="20"/>
      <c r="G1419" s="13"/>
      <c r="H1419" s="20"/>
      <c r="I1419" s="18"/>
      <c r="J1419" s="18"/>
      <c r="K1419" s="18"/>
      <c r="L1419" s="18"/>
      <c r="M1419" s="21"/>
      <c r="N1419" s="21"/>
      <c r="O1419" s="21"/>
      <c r="P1419" s="21"/>
      <c r="Q1419" s="22"/>
      <c r="R1419" s="19"/>
      <c r="S1419" s="22"/>
      <c r="T1419" s="23"/>
      <c r="U1419" s="18"/>
      <c r="V1419" s="22"/>
      <c r="W1419" s="18"/>
      <c r="X1419" s="18"/>
      <c r="Y1419" s="21"/>
      <c r="Z1419" s="18"/>
    </row>
    <row r="1420" spans="1:26" x14ac:dyDescent="0.25">
      <c r="A1420" s="18"/>
      <c r="B1420" s="18"/>
      <c r="C1420" s="18"/>
      <c r="D1420" s="18"/>
      <c r="E1420" s="19"/>
      <c r="F1420" s="20"/>
      <c r="G1420" s="13"/>
      <c r="H1420" s="20"/>
      <c r="I1420" s="18"/>
      <c r="J1420" s="18"/>
      <c r="K1420" s="18"/>
      <c r="L1420" s="18"/>
      <c r="M1420" s="21"/>
      <c r="N1420" s="21"/>
      <c r="O1420" s="21"/>
      <c r="P1420" s="21"/>
      <c r="Q1420" s="22"/>
      <c r="R1420" s="19"/>
      <c r="S1420" s="22"/>
      <c r="T1420" s="23"/>
      <c r="U1420" s="18"/>
      <c r="V1420" s="22"/>
      <c r="W1420" s="18"/>
      <c r="X1420" s="18"/>
      <c r="Y1420" s="21"/>
      <c r="Z1420" s="18"/>
    </row>
    <row r="1421" spans="1:26" x14ac:dyDescent="0.25">
      <c r="A1421" s="19"/>
      <c r="B1421" s="19"/>
      <c r="C1421" s="19"/>
      <c r="D1421" s="19"/>
      <c r="E1421" s="19"/>
      <c r="F1421" s="20"/>
      <c r="G1421" s="13"/>
      <c r="H1421" s="20"/>
      <c r="I1421" s="19"/>
      <c r="J1421" s="19"/>
      <c r="K1421" s="19"/>
      <c r="L1421" s="19"/>
      <c r="M1421" s="21"/>
      <c r="N1421" s="21"/>
      <c r="O1421" s="21"/>
      <c r="P1421" s="21"/>
      <c r="Q1421" s="22"/>
      <c r="R1421" s="19"/>
      <c r="S1421" s="22"/>
      <c r="T1421" s="23"/>
      <c r="U1421" s="19"/>
      <c r="V1421" s="22"/>
      <c r="W1421" s="19"/>
      <c r="X1421" s="19"/>
      <c r="Y1421" s="21"/>
      <c r="Z1421" s="19"/>
    </row>
    <row r="1422" spans="1:26" x14ac:dyDescent="0.25">
      <c r="A1422" s="11"/>
      <c r="B1422" s="11"/>
      <c r="C1422" s="11"/>
      <c r="D1422" s="11"/>
      <c r="E1422" s="12"/>
      <c r="F1422" s="13"/>
      <c r="G1422" s="13"/>
      <c r="H1422" s="13"/>
      <c r="I1422" s="11"/>
      <c r="J1422" s="11"/>
      <c r="K1422" s="11"/>
      <c r="L1422" s="11"/>
      <c r="M1422" s="15"/>
      <c r="N1422" s="15"/>
      <c r="O1422" s="15"/>
      <c r="P1422" s="15"/>
      <c r="Q1422" s="16"/>
      <c r="R1422" s="16"/>
      <c r="S1422" s="16"/>
      <c r="T1422" s="17"/>
      <c r="U1422" s="11"/>
      <c r="V1422" s="16"/>
      <c r="W1422" s="11"/>
      <c r="X1422" s="11"/>
      <c r="Y1422" s="15"/>
      <c r="Z1422" s="11"/>
    </row>
    <row r="1423" spans="1:26" x14ac:dyDescent="0.25">
      <c r="A1423" s="11"/>
      <c r="B1423" s="11"/>
      <c r="C1423" s="11"/>
      <c r="D1423" s="11"/>
      <c r="E1423" s="12"/>
      <c r="F1423" s="13"/>
      <c r="G1423" s="13"/>
      <c r="H1423" s="13"/>
      <c r="I1423" s="11"/>
      <c r="J1423" s="11"/>
      <c r="K1423" s="11"/>
      <c r="L1423" s="11"/>
      <c r="M1423" s="15"/>
      <c r="N1423" s="15"/>
      <c r="O1423" s="15"/>
      <c r="P1423" s="15"/>
      <c r="Q1423" s="16"/>
      <c r="R1423" s="16"/>
      <c r="S1423" s="16"/>
      <c r="T1423" s="17"/>
      <c r="U1423" s="11"/>
      <c r="V1423" s="16"/>
      <c r="W1423" s="11"/>
      <c r="X1423" s="11"/>
      <c r="Y1423" s="15"/>
      <c r="Z1423" s="11"/>
    </row>
    <row r="1424" spans="1:26" x14ac:dyDescent="0.25">
      <c r="A1424" s="19"/>
      <c r="B1424" s="19"/>
      <c r="C1424" s="19"/>
      <c r="D1424" s="19"/>
      <c r="E1424" s="19"/>
      <c r="F1424" s="20"/>
      <c r="G1424" s="13"/>
      <c r="H1424" s="20"/>
      <c r="I1424" s="19"/>
      <c r="J1424" s="19"/>
      <c r="K1424" s="19"/>
      <c r="L1424" s="19"/>
      <c r="M1424" s="21"/>
      <c r="N1424" s="21"/>
      <c r="O1424" s="21"/>
      <c r="P1424" s="21"/>
      <c r="Q1424" s="22"/>
      <c r="R1424" s="19"/>
      <c r="S1424" s="22"/>
      <c r="T1424" s="23"/>
      <c r="U1424" s="19"/>
      <c r="V1424" s="22"/>
      <c r="W1424" s="19"/>
      <c r="X1424" s="19"/>
      <c r="Y1424" s="21"/>
      <c r="Z1424" s="19"/>
    </row>
    <row r="1425" spans="1:26" x14ac:dyDescent="0.25">
      <c r="A1425" s="11"/>
      <c r="B1425" s="11"/>
      <c r="C1425" s="11"/>
      <c r="D1425" s="11"/>
      <c r="E1425" s="12"/>
      <c r="F1425" s="13"/>
      <c r="G1425" s="13"/>
      <c r="H1425" s="13"/>
      <c r="I1425" s="11"/>
      <c r="J1425" s="11"/>
      <c r="K1425" s="11"/>
      <c r="L1425" s="11"/>
      <c r="M1425" s="15"/>
      <c r="N1425" s="15"/>
      <c r="O1425" s="15"/>
      <c r="P1425" s="15"/>
      <c r="Q1425" s="16"/>
      <c r="R1425" s="16"/>
      <c r="S1425" s="16"/>
      <c r="T1425" s="17"/>
      <c r="U1425" s="11"/>
      <c r="V1425" s="16"/>
      <c r="W1425" s="11"/>
      <c r="X1425" s="11"/>
      <c r="Y1425" s="15"/>
      <c r="Z1425" s="11"/>
    </row>
    <row r="1426" spans="1:26" x14ac:dyDescent="0.25">
      <c r="A1426" s="11"/>
      <c r="B1426" s="11"/>
      <c r="C1426" s="11"/>
      <c r="D1426" s="11"/>
      <c r="E1426" s="12"/>
      <c r="F1426" s="13"/>
      <c r="G1426" s="13"/>
      <c r="H1426" s="13"/>
      <c r="I1426" s="11"/>
      <c r="J1426" s="11"/>
      <c r="K1426" s="11"/>
      <c r="L1426" s="11"/>
      <c r="M1426" s="15"/>
      <c r="N1426" s="15"/>
      <c r="O1426" s="15"/>
      <c r="P1426" s="15"/>
      <c r="Q1426" s="16"/>
      <c r="R1426" s="16"/>
      <c r="S1426" s="16"/>
      <c r="T1426" s="17"/>
      <c r="U1426" s="11"/>
      <c r="V1426" s="16"/>
      <c r="W1426" s="11"/>
      <c r="X1426" s="11"/>
      <c r="Y1426" s="15"/>
      <c r="Z1426" s="11"/>
    </row>
    <row r="1427" spans="1:26" x14ac:dyDescent="0.25">
      <c r="A1427" s="11"/>
      <c r="B1427" s="11"/>
      <c r="C1427" s="11"/>
      <c r="D1427" s="11"/>
      <c r="E1427" s="12"/>
      <c r="F1427" s="13"/>
      <c r="G1427" s="13"/>
      <c r="H1427" s="13"/>
      <c r="I1427" s="11"/>
      <c r="J1427" s="11"/>
      <c r="K1427" s="11"/>
      <c r="L1427" s="11"/>
      <c r="M1427" s="15"/>
      <c r="N1427" s="15"/>
      <c r="O1427" s="15"/>
      <c r="P1427" s="15"/>
      <c r="Q1427" s="16"/>
      <c r="R1427" s="16"/>
      <c r="S1427" s="16"/>
      <c r="T1427" s="17"/>
      <c r="U1427" s="11"/>
      <c r="V1427" s="16"/>
      <c r="W1427" s="11"/>
      <c r="X1427" s="11"/>
      <c r="Y1427" s="15"/>
      <c r="Z1427" s="11"/>
    </row>
    <row r="1428" spans="1:26" x14ac:dyDescent="0.25">
      <c r="A1428" s="18"/>
      <c r="B1428" s="18"/>
      <c r="C1428" s="18"/>
      <c r="D1428" s="18"/>
      <c r="E1428" s="19"/>
      <c r="F1428" s="20"/>
      <c r="G1428" s="13"/>
      <c r="H1428" s="20"/>
      <c r="I1428" s="18"/>
      <c r="J1428" s="18"/>
      <c r="K1428" s="18"/>
      <c r="L1428" s="18"/>
      <c r="M1428" s="21"/>
      <c r="N1428" s="21"/>
      <c r="O1428" s="21"/>
      <c r="P1428" s="21"/>
      <c r="Q1428" s="22"/>
      <c r="R1428" s="19"/>
      <c r="S1428" s="22"/>
      <c r="T1428" s="23"/>
      <c r="U1428" s="18"/>
      <c r="V1428" s="22"/>
      <c r="W1428" s="18"/>
      <c r="X1428" s="18"/>
      <c r="Y1428" s="21"/>
      <c r="Z1428" s="18"/>
    </row>
    <row r="1429" spans="1:26" x14ac:dyDescent="0.25">
      <c r="A1429" s="18"/>
      <c r="B1429" s="18"/>
      <c r="C1429" s="18"/>
      <c r="D1429" s="18"/>
      <c r="E1429" s="19"/>
      <c r="F1429" s="20"/>
      <c r="G1429" s="13"/>
      <c r="H1429" s="20"/>
      <c r="I1429" s="18"/>
      <c r="J1429" s="18"/>
      <c r="K1429" s="18"/>
      <c r="L1429" s="18"/>
      <c r="M1429" s="21"/>
      <c r="N1429" s="21"/>
      <c r="O1429" s="21"/>
      <c r="P1429" s="21"/>
      <c r="Q1429" s="22"/>
      <c r="R1429" s="19"/>
      <c r="S1429" s="22"/>
      <c r="T1429" s="23"/>
      <c r="U1429" s="18"/>
      <c r="V1429" s="22"/>
      <c r="W1429" s="18"/>
      <c r="X1429" s="18"/>
      <c r="Y1429" s="21"/>
      <c r="Z1429" s="18"/>
    </row>
    <row r="1430" spans="1:26" x14ac:dyDescent="0.25">
      <c r="A1430" s="11"/>
      <c r="B1430" s="11"/>
      <c r="C1430" s="11"/>
      <c r="D1430" s="11"/>
      <c r="E1430" s="12"/>
      <c r="F1430" s="13"/>
      <c r="G1430" s="13"/>
      <c r="H1430" s="13"/>
      <c r="I1430" s="11"/>
      <c r="J1430" s="11"/>
      <c r="K1430" s="11"/>
      <c r="L1430" s="11"/>
      <c r="M1430" s="15"/>
      <c r="N1430" s="15"/>
      <c r="O1430" s="15"/>
      <c r="P1430" s="15"/>
      <c r="Q1430" s="16"/>
      <c r="R1430" s="16"/>
      <c r="S1430" s="16"/>
      <c r="T1430" s="17"/>
      <c r="U1430" s="11"/>
      <c r="V1430" s="16"/>
      <c r="W1430" s="11"/>
      <c r="X1430" s="11"/>
      <c r="Y1430" s="15"/>
      <c r="Z1430" s="11"/>
    </row>
    <row r="1431" spans="1:26" x14ac:dyDescent="0.25">
      <c r="A1431" s="11"/>
      <c r="B1431" s="11"/>
      <c r="C1431" s="11"/>
      <c r="D1431" s="11"/>
      <c r="E1431" s="12"/>
      <c r="F1431" s="13"/>
      <c r="G1431" s="13"/>
      <c r="H1431" s="13"/>
      <c r="I1431" s="11"/>
      <c r="J1431" s="11"/>
      <c r="K1431" s="11"/>
      <c r="L1431" s="11"/>
      <c r="M1431" s="15"/>
      <c r="N1431" s="15"/>
      <c r="O1431" s="15"/>
      <c r="P1431" s="15"/>
      <c r="Q1431" s="16"/>
      <c r="R1431" s="16"/>
      <c r="S1431" s="16"/>
      <c r="T1431" s="17"/>
      <c r="U1431" s="11"/>
      <c r="V1431" s="16"/>
      <c r="W1431" s="11"/>
      <c r="X1431" s="11"/>
      <c r="Y1431" s="15"/>
      <c r="Z1431" s="11"/>
    </row>
    <row r="1432" spans="1:26" x14ac:dyDescent="0.25">
      <c r="A1432" s="11"/>
      <c r="B1432" s="11"/>
      <c r="C1432" s="11"/>
      <c r="D1432" s="11"/>
      <c r="E1432" s="12"/>
      <c r="F1432" s="13"/>
      <c r="G1432" s="13"/>
      <c r="H1432" s="13"/>
      <c r="I1432" s="11"/>
      <c r="J1432" s="11"/>
      <c r="K1432" s="11"/>
      <c r="L1432" s="11"/>
      <c r="M1432" s="15"/>
      <c r="N1432" s="15"/>
      <c r="O1432" s="15"/>
      <c r="P1432" s="15"/>
      <c r="Q1432" s="16"/>
      <c r="R1432" s="16"/>
      <c r="S1432" s="16"/>
      <c r="T1432" s="17"/>
      <c r="U1432" s="11"/>
      <c r="V1432" s="16"/>
      <c r="W1432" s="11"/>
      <c r="X1432" s="11"/>
      <c r="Y1432" s="15"/>
      <c r="Z1432" s="11"/>
    </row>
    <row r="1433" spans="1:26" x14ac:dyDescent="0.25">
      <c r="A1433" s="11"/>
      <c r="B1433" s="11"/>
      <c r="C1433" s="11"/>
      <c r="D1433" s="11"/>
      <c r="E1433" s="12"/>
      <c r="F1433" s="13"/>
      <c r="G1433" s="13"/>
      <c r="H1433" s="13"/>
      <c r="I1433" s="11"/>
      <c r="J1433" s="11"/>
      <c r="K1433" s="11"/>
      <c r="L1433" s="11"/>
      <c r="M1433" s="15"/>
      <c r="N1433" s="15"/>
      <c r="O1433" s="15"/>
      <c r="P1433" s="15"/>
      <c r="Q1433" s="16"/>
      <c r="R1433" s="16"/>
      <c r="S1433" s="16"/>
      <c r="T1433" s="17"/>
      <c r="U1433" s="11"/>
      <c r="V1433" s="16"/>
      <c r="W1433" s="11"/>
      <c r="X1433" s="11"/>
      <c r="Y1433" s="15"/>
      <c r="Z1433" s="11"/>
    </row>
    <row r="1434" spans="1:26" x14ac:dyDescent="0.25">
      <c r="A1434" s="11"/>
      <c r="B1434" s="11"/>
      <c r="C1434" s="11"/>
      <c r="D1434" s="11"/>
      <c r="E1434" s="12"/>
      <c r="F1434" s="13"/>
      <c r="G1434" s="13"/>
      <c r="H1434" s="13"/>
      <c r="I1434" s="11"/>
      <c r="J1434" s="11"/>
      <c r="K1434" s="11"/>
      <c r="L1434" s="11"/>
      <c r="M1434" s="15"/>
      <c r="N1434" s="15"/>
      <c r="O1434" s="15"/>
      <c r="P1434" s="15"/>
      <c r="Q1434" s="16"/>
      <c r="R1434" s="16"/>
      <c r="S1434" s="16"/>
      <c r="T1434" s="17"/>
      <c r="U1434" s="11"/>
      <c r="V1434" s="16"/>
      <c r="W1434" s="11"/>
      <c r="X1434" s="11"/>
      <c r="Y1434" s="15"/>
      <c r="Z1434" s="11"/>
    </row>
    <row r="1435" spans="1:26" x14ac:dyDescent="0.25">
      <c r="A1435" s="11"/>
      <c r="B1435" s="11"/>
      <c r="C1435" s="11"/>
      <c r="D1435" s="11"/>
      <c r="E1435" s="12"/>
      <c r="F1435" s="13"/>
      <c r="G1435" s="13"/>
      <c r="H1435" s="13"/>
      <c r="I1435" s="11"/>
      <c r="J1435" s="11"/>
      <c r="K1435" s="11"/>
      <c r="L1435" s="11"/>
      <c r="M1435" s="15"/>
      <c r="N1435" s="15"/>
      <c r="O1435" s="15"/>
      <c r="P1435" s="15"/>
      <c r="Q1435" s="16"/>
      <c r="R1435" s="16"/>
      <c r="S1435" s="16"/>
      <c r="T1435" s="17"/>
      <c r="U1435" s="11"/>
      <c r="V1435" s="16"/>
      <c r="W1435" s="11"/>
      <c r="X1435" s="11"/>
      <c r="Y1435" s="15"/>
      <c r="Z1435" s="11"/>
    </row>
    <row r="1436" spans="1:26" x14ac:dyDescent="0.25">
      <c r="A1436" s="11"/>
      <c r="B1436" s="11"/>
      <c r="C1436" s="11"/>
      <c r="D1436" s="11"/>
      <c r="E1436" s="12"/>
      <c r="F1436" s="13"/>
      <c r="G1436" s="13"/>
      <c r="H1436" s="13"/>
      <c r="I1436" s="11"/>
      <c r="J1436" s="11"/>
      <c r="K1436" s="11"/>
      <c r="L1436" s="11"/>
      <c r="M1436" s="15"/>
      <c r="N1436" s="15"/>
      <c r="O1436" s="15"/>
      <c r="P1436" s="15"/>
      <c r="Q1436" s="16"/>
      <c r="R1436" s="16"/>
      <c r="S1436" s="16"/>
      <c r="T1436" s="17"/>
      <c r="U1436" s="11"/>
      <c r="V1436" s="16"/>
      <c r="W1436" s="11"/>
      <c r="X1436" s="11"/>
      <c r="Y1436" s="15"/>
      <c r="Z1436" s="11"/>
    </row>
    <row r="1437" spans="1:26" x14ac:dyDescent="0.25">
      <c r="A1437" s="18"/>
      <c r="B1437" s="18"/>
      <c r="C1437" s="18"/>
      <c r="D1437" s="18"/>
      <c r="E1437" s="19"/>
      <c r="F1437" s="20"/>
      <c r="G1437" s="13"/>
      <c r="H1437" s="20"/>
      <c r="I1437" s="18"/>
      <c r="J1437" s="18"/>
      <c r="K1437" s="18"/>
      <c r="L1437" s="18"/>
      <c r="M1437" s="21"/>
      <c r="N1437" s="21"/>
      <c r="O1437" s="21"/>
      <c r="P1437" s="21"/>
      <c r="Q1437" s="22"/>
      <c r="R1437" s="19"/>
      <c r="S1437" s="22"/>
      <c r="T1437" s="23"/>
      <c r="U1437" s="18"/>
      <c r="V1437" s="22"/>
      <c r="W1437" s="18"/>
      <c r="X1437" s="18"/>
      <c r="Y1437" s="21"/>
      <c r="Z1437" s="18"/>
    </row>
    <row r="1438" spans="1:26" x14ac:dyDescent="0.25">
      <c r="A1438" s="19"/>
      <c r="B1438" s="19"/>
      <c r="C1438" s="19"/>
      <c r="D1438" s="19"/>
      <c r="E1438" s="19"/>
      <c r="F1438" s="20"/>
      <c r="G1438" s="13"/>
      <c r="H1438" s="20"/>
      <c r="I1438" s="19"/>
      <c r="J1438" s="19"/>
      <c r="K1438" s="19"/>
      <c r="L1438" s="19"/>
      <c r="M1438" s="21"/>
      <c r="N1438" s="21"/>
      <c r="O1438" s="21"/>
      <c r="P1438" s="21"/>
      <c r="Q1438" s="22"/>
      <c r="R1438" s="19"/>
      <c r="S1438" s="22"/>
      <c r="T1438" s="23"/>
      <c r="U1438" s="19"/>
      <c r="V1438" s="22"/>
      <c r="W1438" s="19"/>
      <c r="X1438" s="19"/>
      <c r="Y1438" s="21"/>
      <c r="Z1438" s="19"/>
    </row>
    <row r="1439" spans="1:26" x14ac:dyDescent="0.25">
      <c r="A1439" s="11"/>
      <c r="B1439" s="11"/>
      <c r="C1439" s="11"/>
      <c r="D1439" s="11"/>
      <c r="E1439" s="12"/>
      <c r="F1439" s="13"/>
      <c r="G1439" s="13"/>
      <c r="H1439" s="13"/>
      <c r="I1439" s="11"/>
      <c r="J1439" s="11"/>
      <c r="K1439" s="11"/>
      <c r="L1439" s="11"/>
      <c r="M1439" s="15"/>
      <c r="N1439" s="15"/>
      <c r="O1439" s="15"/>
      <c r="P1439" s="15"/>
      <c r="Q1439" s="16"/>
      <c r="R1439" s="16"/>
      <c r="S1439" s="16"/>
      <c r="T1439" s="17"/>
      <c r="U1439" s="11"/>
      <c r="V1439" s="16"/>
      <c r="W1439" s="11"/>
      <c r="X1439" s="11"/>
      <c r="Y1439" s="15"/>
      <c r="Z1439" s="11"/>
    </row>
    <row r="1440" spans="1:26" x14ac:dyDescent="0.25">
      <c r="A1440" s="11"/>
      <c r="B1440" s="11"/>
      <c r="C1440" s="11"/>
      <c r="D1440" s="11"/>
      <c r="E1440" s="12"/>
      <c r="F1440" s="13"/>
      <c r="G1440" s="13"/>
      <c r="H1440" s="13"/>
      <c r="I1440" s="11"/>
      <c r="J1440" s="11"/>
      <c r="K1440" s="11"/>
      <c r="L1440" s="11"/>
      <c r="M1440" s="15"/>
      <c r="N1440" s="15"/>
      <c r="O1440" s="15"/>
      <c r="P1440" s="15"/>
      <c r="Q1440" s="16"/>
      <c r="R1440" s="16"/>
      <c r="S1440" s="16"/>
      <c r="T1440" s="17"/>
      <c r="U1440" s="11"/>
      <c r="V1440" s="16"/>
      <c r="W1440" s="11"/>
      <c r="X1440" s="11"/>
      <c r="Y1440" s="15"/>
      <c r="Z1440" s="11"/>
    </row>
    <row r="1441" spans="1:26" x14ac:dyDescent="0.25">
      <c r="A1441" s="11"/>
      <c r="B1441" s="11"/>
      <c r="C1441" s="11"/>
      <c r="D1441" s="11"/>
      <c r="E1441" s="12"/>
      <c r="F1441" s="13"/>
      <c r="G1441" s="13"/>
      <c r="H1441" s="13"/>
      <c r="I1441" s="11"/>
      <c r="J1441" s="11"/>
      <c r="K1441" s="11"/>
      <c r="L1441" s="11"/>
      <c r="M1441" s="15"/>
      <c r="N1441" s="15"/>
      <c r="O1441" s="15"/>
      <c r="P1441" s="15"/>
      <c r="Q1441" s="16"/>
      <c r="R1441" s="16"/>
      <c r="S1441" s="16"/>
      <c r="T1441" s="17"/>
      <c r="U1441" s="11"/>
      <c r="V1441" s="16"/>
      <c r="W1441" s="11"/>
      <c r="X1441" s="11"/>
      <c r="Y1441" s="15"/>
      <c r="Z1441" s="11"/>
    </row>
    <row r="1442" spans="1:26" x14ac:dyDescent="0.25">
      <c r="A1442" s="11"/>
      <c r="B1442" s="11"/>
      <c r="C1442" s="11"/>
      <c r="D1442" s="11"/>
      <c r="E1442" s="12"/>
      <c r="F1442" s="13"/>
      <c r="G1442" s="13"/>
      <c r="H1442" s="13"/>
      <c r="I1442" s="11"/>
      <c r="J1442" s="11"/>
      <c r="K1442" s="11"/>
      <c r="L1442" s="11"/>
      <c r="M1442" s="15"/>
      <c r="N1442" s="15"/>
      <c r="O1442" s="15"/>
      <c r="P1442" s="15"/>
      <c r="Q1442" s="16"/>
      <c r="R1442" s="16"/>
      <c r="S1442" s="16"/>
      <c r="T1442" s="17"/>
      <c r="U1442" s="11"/>
      <c r="V1442" s="16"/>
      <c r="W1442" s="11"/>
      <c r="X1442" s="11"/>
      <c r="Y1442" s="15"/>
      <c r="Z1442" s="11"/>
    </row>
    <row r="1443" spans="1:26" x14ac:dyDescent="0.25">
      <c r="A1443" s="11"/>
      <c r="B1443" s="11"/>
      <c r="C1443" s="11"/>
      <c r="D1443" s="11"/>
      <c r="E1443" s="12"/>
      <c r="F1443" s="13"/>
      <c r="G1443" s="13"/>
      <c r="H1443" s="13"/>
      <c r="I1443" s="11"/>
      <c r="J1443" s="11"/>
      <c r="K1443" s="11"/>
      <c r="L1443" s="11"/>
      <c r="M1443" s="15"/>
      <c r="N1443" s="15"/>
      <c r="O1443" s="15"/>
      <c r="P1443" s="15"/>
      <c r="Q1443" s="16"/>
      <c r="R1443" s="16"/>
      <c r="S1443" s="16"/>
      <c r="T1443" s="17"/>
      <c r="U1443" s="11"/>
      <c r="V1443" s="16"/>
      <c r="W1443" s="11"/>
      <c r="X1443" s="11"/>
      <c r="Y1443" s="15"/>
      <c r="Z1443" s="11"/>
    </row>
    <row r="1444" spans="1:26" x14ac:dyDescent="0.25">
      <c r="A1444" s="18"/>
      <c r="B1444" s="18"/>
      <c r="C1444" s="18"/>
      <c r="D1444" s="18"/>
      <c r="E1444" s="19"/>
      <c r="F1444" s="20"/>
      <c r="G1444" s="13"/>
      <c r="H1444" s="20"/>
      <c r="I1444" s="18"/>
      <c r="J1444" s="18"/>
      <c r="K1444" s="18"/>
      <c r="L1444" s="18"/>
      <c r="M1444" s="21"/>
      <c r="N1444" s="21"/>
      <c r="O1444" s="21"/>
      <c r="P1444" s="21"/>
      <c r="Q1444" s="22"/>
      <c r="R1444" s="19"/>
      <c r="S1444" s="22"/>
      <c r="T1444" s="23"/>
      <c r="U1444" s="18"/>
      <c r="V1444" s="22"/>
      <c r="W1444" s="18"/>
      <c r="X1444" s="18"/>
      <c r="Y1444" s="21"/>
      <c r="Z1444" s="18"/>
    </row>
    <row r="1445" spans="1:26" x14ac:dyDescent="0.25">
      <c r="A1445" s="19"/>
      <c r="B1445" s="19"/>
      <c r="C1445" s="19"/>
      <c r="D1445" s="19"/>
      <c r="E1445" s="19"/>
      <c r="F1445" s="20"/>
      <c r="G1445" s="13"/>
      <c r="H1445" s="20"/>
      <c r="I1445" s="19"/>
      <c r="J1445" s="19"/>
      <c r="K1445" s="19"/>
      <c r="L1445" s="19"/>
      <c r="M1445" s="21"/>
      <c r="N1445" s="21"/>
      <c r="O1445" s="21"/>
      <c r="P1445" s="21"/>
      <c r="Q1445" s="22"/>
      <c r="R1445" s="19"/>
      <c r="S1445" s="22"/>
      <c r="T1445" s="23"/>
      <c r="U1445" s="19"/>
      <c r="V1445" s="22"/>
      <c r="W1445" s="19"/>
      <c r="X1445" s="19"/>
      <c r="Y1445" s="21"/>
      <c r="Z1445" s="19"/>
    </row>
    <row r="1446" spans="1:26" x14ac:dyDescent="0.25">
      <c r="A1446" s="19"/>
      <c r="B1446" s="19"/>
      <c r="C1446" s="19"/>
      <c r="D1446" s="19"/>
      <c r="E1446" s="19"/>
      <c r="F1446" s="20"/>
      <c r="G1446" s="13"/>
      <c r="H1446" s="20"/>
      <c r="I1446" s="19"/>
      <c r="J1446" s="19"/>
      <c r="K1446" s="19"/>
      <c r="L1446" s="19"/>
      <c r="M1446" s="21"/>
      <c r="N1446" s="21"/>
      <c r="O1446" s="21"/>
      <c r="P1446" s="21"/>
      <c r="Q1446" s="22"/>
      <c r="R1446" s="19"/>
      <c r="S1446" s="22"/>
      <c r="T1446" s="23"/>
      <c r="U1446" s="19"/>
      <c r="V1446" s="22"/>
      <c r="W1446" s="19"/>
      <c r="X1446" s="19"/>
      <c r="Y1446" s="21"/>
      <c r="Z1446" s="19"/>
    </row>
    <row r="1447" spans="1:26" x14ac:dyDescent="0.25">
      <c r="A1447" s="11"/>
      <c r="B1447" s="11"/>
      <c r="C1447" s="11"/>
      <c r="D1447" s="11"/>
      <c r="E1447" s="12"/>
      <c r="F1447" s="13"/>
      <c r="G1447" s="13"/>
      <c r="H1447" s="13"/>
      <c r="I1447" s="11"/>
      <c r="J1447" s="11"/>
      <c r="K1447" s="11"/>
      <c r="L1447" s="11"/>
      <c r="M1447" s="15"/>
      <c r="N1447" s="15"/>
      <c r="O1447" s="15"/>
      <c r="P1447" s="15"/>
      <c r="Q1447" s="16"/>
      <c r="R1447" s="16"/>
      <c r="S1447" s="16"/>
      <c r="T1447" s="17"/>
      <c r="U1447" s="11"/>
      <c r="V1447" s="16"/>
      <c r="W1447" s="11"/>
      <c r="X1447" s="11"/>
      <c r="Y1447" s="15"/>
      <c r="Z1447" s="11"/>
    </row>
    <row r="1448" spans="1:26" x14ac:dyDescent="0.25">
      <c r="A1448" s="11"/>
      <c r="B1448" s="11"/>
      <c r="C1448" s="11"/>
      <c r="D1448" s="11"/>
      <c r="E1448" s="12"/>
      <c r="F1448" s="13"/>
      <c r="G1448" s="13"/>
      <c r="H1448" s="13"/>
      <c r="I1448" s="11"/>
      <c r="J1448" s="11"/>
      <c r="K1448" s="11"/>
      <c r="L1448" s="11"/>
      <c r="M1448" s="15"/>
      <c r="N1448" s="15"/>
      <c r="O1448" s="15"/>
      <c r="P1448" s="15"/>
      <c r="Q1448" s="16"/>
      <c r="R1448" s="16"/>
      <c r="S1448" s="16"/>
      <c r="T1448" s="17"/>
      <c r="U1448" s="11"/>
      <c r="V1448" s="16"/>
      <c r="W1448" s="11"/>
      <c r="X1448" s="11"/>
      <c r="Y1448" s="15"/>
      <c r="Z1448" s="11"/>
    </row>
    <row r="1449" spans="1:26" x14ac:dyDescent="0.25">
      <c r="A1449" s="11"/>
      <c r="B1449" s="11"/>
      <c r="C1449" s="11"/>
      <c r="D1449" s="11"/>
      <c r="E1449" s="12"/>
      <c r="F1449" s="13"/>
      <c r="G1449" s="13"/>
      <c r="H1449" s="13"/>
      <c r="I1449" s="11"/>
      <c r="J1449" s="11"/>
      <c r="K1449" s="11"/>
      <c r="L1449" s="11"/>
      <c r="M1449" s="15"/>
      <c r="N1449" s="15"/>
      <c r="O1449" s="15"/>
      <c r="P1449" s="15"/>
      <c r="Q1449" s="16"/>
      <c r="R1449" s="16"/>
      <c r="S1449" s="16"/>
      <c r="T1449" s="17"/>
      <c r="U1449" s="11"/>
      <c r="V1449" s="16"/>
      <c r="W1449" s="11"/>
      <c r="X1449" s="11"/>
      <c r="Y1449" s="15"/>
      <c r="Z1449" s="11"/>
    </row>
    <row r="1450" spans="1:26" x14ac:dyDescent="0.25">
      <c r="A1450" s="11"/>
      <c r="B1450" s="11"/>
      <c r="C1450" s="11"/>
      <c r="D1450" s="11"/>
      <c r="E1450" s="12"/>
      <c r="F1450" s="13"/>
      <c r="G1450" s="13"/>
      <c r="H1450" s="13"/>
      <c r="I1450" s="11"/>
      <c r="J1450" s="11"/>
      <c r="K1450" s="11"/>
      <c r="L1450" s="11"/>
      <c r="M1450" s="15"/>
      <c r="N1450" s="15"/>
      <c r="O1450" s="15"/>
      <c r="P1450" s="15"/>
      <c r="Q1450" s="16"/>
      <c r="R1450" s="16"/>
      <c r="S1450" s="16"/>
      <c r="T1450" s="17"/>
      <c r="U1450" s="11"/>
      <c r="V1450" s="16"/>
      <c r="W1450" s="11"/>
      <c r="X1450" s="11"/>
      <c r="Y1450" s="15"/>
      <c r="Z1450" s="11"/>
    </row>
    <row r="1451" spans="1:26" x14ac:dyDescent="0.25">
      <c r="A1451" s="11"/>
      <c r="B1451" s="11"/>
      <c r="C1451" s="11"/>
      <c r="D1451" s="11"/>
      <c r="E1451" s="12"/>
      <c r="F1451" s="13"/>
      <c r="G1451" s="13"/>
      <c r="H1451" s="13"/>
      <c r="I1451" s="11"/>
      <c r="J1451" s="11"/>
      <c r="K1451" s="11"/>
      <c r="L1451" s="11"/>
      <c r="M1451" s="15"/>
      <c r="N1451" s="15"/>
      <c r="O1451" s="15"/>
      <c r="P1451" s="15"/>
      <c r="Q1451" s="16"/>
      <c r="R1451" s="16"/>
      <c r="S1451" s="16"/>
      <c r="T1451" s="17"/>
      <c r="U1451" s="11"/>
      <c r="V1451" s="16"/>
      <c r="W1451" s="11"/>
      <c r="X1451" s="11"/>
      <c r="Y1451" s="15"/>
      <c r="Z1451" s="11"/>
    </row>
    <row r="1452" spans="1:26" x14ac:dyDescent="0.25">
      <c r="A1452" s="11"/>
      <c r="B1452" s="11"/>
      <c r="C1452" s="11"/>
      <c r="D1452" s="11"/>
      <c r="E1452" s="12"/>
      <c r="F1452" s="13"/>
      <c r="G1452" s="13"/>
      <c r="H1452" s="13"/>
      <c r="I1452" s="11"/>
      <c r="J1452" s="11"/>
      <c r="K1452" s="11"/>
      <c r="L1452" s="11"/>
      <c r="M1452" s="15"/>
      <c r="N1452" s="15"/>
      <c r="O1452" s="15"/>
      <c r="P1452" s="15"/>
      <c r="Q1452" s="16"/>
      <c r="R1452" s="16"/>
      <c r="S1452" s="16"/>
      <c r="T1452" s="17"/>
      <c r="U1452" s="11"/>
      <c r="V1452" s="16"/>
      <c r="W1452" s="11"/>
      <c r="X1452" s="11"/>
      <c r="Y1452" s="15"/>
      <c r="Z1452" s="11"/>
    </row>
    <row r="1453" spans="1:26" x14ac:dyDescent="0.25">
      <c r="A1453" s="11"/>
      <c r="B1453" s="11"/>
      <c r="C1453" s="11"/>
      <c r="D1453" s="11"/>
      <c r="E1453" s="12"/>
      <c r="F1453" s="13"/>
      <c r="G1453" s="13"/>
      <c r="H1453" s="13"/>
      <c r="I1453" s="11"/>
      <c r="J1453" s="11"/>
      <c r="K1453" s="11"/>
      <c r="L1453" s="11"/>
      <c r="M1453" s="15"/>
      <c r="N1453" s="15"/>
      <c r="O1453" s="15"/>
      <c r="P1453" s="15"/>
      <c r="Q1453" s="16"/>
      <c r="R1453" s="16"/>
      <c r="S1453" s="16"/>
      <c r="T1453" s="17"/>
      <c r="U1453" s="11"/>
      <c r="V1453" s="16"/>
      <c r="W1453" s="11"/>
      <c r="X1453" s="11"/>
      <c r="Y1453" s="15"/>
      <c r="Z1453" s="11"/>
    </row>
    <row r="1454" spans="1:26" x14ac:dyDescent="0.25">
      <c r="A1454" s="11"/>
      <c r="B1454" s="11"/>
      <c r="C1454" s="11"/>
      <c r="D1454" s="11"/>
      <c r="E1454" s="12"/>
      <c r="F1454" s="13"/>
      <c r="G1454" s="13"/>
      <c r="H1454" s="13"/>
      <c r="I1454" s="11"/>
      <c r="J1454" s="11"/>
      <c r="K1454" s="11"/>
      <c r="L1454" s="11"/>
      <c r="M1454" s="15"/>
      <c r="N1454" s="15"/>
      <c r="O1454" s="15"/>
      <c r="P1454" s="15"/>
      <c r="Q1454" s="16"/>
      <c r="R1454" s="16"/>
      <c r="S1454" s="16"/>
      <c r="T1454" s="17"/>
      <c r="U1454" s="11"/>
      <c r="V1454" s="16"/>
      <c r="W1454" s="11"/>
      <c r="X1454" s="11"/>
      <c r="Y1454" s="15"/>
      <c r="Z1454" s="11"/>
    </row>
    <row r="1455" spans="1:26" x14ac:dyDescent="0.25">
      <c r="A1455" s="11"/>
      <c r="B1455" s="11"/>
      <c r="C1455" s="11"/>
      <c r="D1455" s="11"/>
      <c r="E1455" s="12"/>
      <c r="F1455" s="13"/>
      <c r="G1455" s="13"/>
      <c r="H1455" s="13"/>
      <c r="I1455" s="11"/>
      <c r="J1455" s="11"/>
      <c r="K1455" s="11"/>
      <c r="L1455" s="11"/>
      <c r="M1455" s="15"/>
      <c r="N1455" s="15"/>
      <c r="O1455" s="15"/>
      <c r="P1455" s="15"/>
      <c r="Q1455" s="16"/>
      <c r="R1455" s="16"/>
      <c r="S1455" s="16"/>
      <c r="T1455" s="17"/>
      <c r="U1455" s="11"/>
      <c r="V1455" s="16"/>
      <c r="W1455" s="11"/>
      <c r="X1455" s="11"/>
      <c r="Y1455" s="15"/>
      <c r="Z1455" s="11"/>
    </row>
    <row r="1456" spans="1:26" x14ac:dyDescent="0.25">
      <c r="A1456" s="11"/>
      <c r="B1456" s="11"/>
      <c r="C1456" s="11"/>
      <c r="D1456" s="11"/>
      <c r="E1456" s="12"/>
      <c r="F1456" s="13"/>
      <c r="G1456" s="13"/>
      <c r="H1456" s="13"/>
      <c r="I1456" s="11"/>
      <c r="J1456" s="11"/>
      <c r="K1456" s="11"/>
      <c r="L1456" s="11"/>
      <c r="M1456" s="15"/>
      <c r="N1456" s="15"/>
      <c r="O1456" s="15"/>
      <c r="P1456" s="15"/>
      <c r="Q1456" s="16"/>
      <c r="R1456" s="16"/>
      <c r="S1456" s="16"/>
      <c r="T1456" s="17"/>
      <c r="U1456" s="11"/>
      <c r="V1456" s="16"/>
      <c r="W1456" s="11"/>
      <c r="X1456" s="11"/>
      <c r="Y1456" s="15"/>
      <c r="Z1456" s="11"/>
    </row>
    <row r="1457" spans="1:26" x14ac:dyDescent="0.25">
      <c r="A1457" s="11"/>
      <c r="B1457" s="11"/>
      <c r="C1457" s="11"/>
      <c r="D1457" s="11"/>
      <c r="E1457" s="12"/>
      <c r="F1457" s="13"/>
      <c r="G1457" s="13"/>
      <c r="H1457" s="13"/>
      <c r="I1457" s="11"/>
      <c r="J1457" s="11"/>
      <c r="K1457" s="11"/>
      <c r="L1457" s="11"/>
      <c r="M1457" s="15"/>
      <c r="N1457" s="15"/>
      <c r="O1457" s="15"/>
      <c r="P1457" s="15"/>
      <c r="Q1457" s="16"/>
      <c r="R1457" s="16"/>
      <c r="S1457" s="16"/>
      <c r="T1457" s="17"/>
      <c r="U1457" s="11"/>
      <c r="V1457" s="16"/>
      <c r="W1457" s="11"/>
      <c r="X1457" s="11"/>
      <c r="Y1457" s="15"/>
      <c r="Z1457" s="11"/>
    </row>
    <row r="1458" spans="1:26" x14ac:dyDescent="0.25">
      <c r="A1458" s="11"/>
      <c r="B1458" s="11"/>
      <c r="C1458" s="11"/>
      <c r="D1458" s="11"/>
      <c r="E1458" s="12"/>
      <c r="F1458" s="13"/>
      <c r="G1458" s="13"/>
      <c r="H1458" s="13"/>
      <c r="I1458" s="11"/>
      <c r="J1458" s="11"/>
      <c r="K1458" s="11"/>
      <c r="L1458" s="11"/>
      <c r="M1458" s="15"/>
      <c r="N1458" s="15"/>
      <c r="O1458" s="15"/>
      <c r="P1458" s="15"/>
      <c r="Q1458" s="16"/>
      <c r="R1458" s="16"/>
      <c r="S1458" s="16"/>
      <c r="T1458" s="17"/>
      <c r="U1458" s="11"/>
      <c r="V1458" s="16"/>
      <c r="W1458" s="11"/>
      <c r="X1458" s="11"/>
      <c r="Y1458" s="15"/>
      <c r="Z1458" s="11"/>
    </row>
    <row r="1459" spans="1:26" x14ac:dyDescent="0.25">
      <c r="A1459" s="11"/>
      <c r="B1459" s="11"/>
      <c r="C1459" s="11"/>
      <c r="D1459" s="11"/>
      <c r="E1459" s="12"/>
      <c r="F1459" s="13"/>
      <c r="G1459" s="13"/>
      <c r="H1459" s="13"/>
      <c r="I1459" s="11"/>
      <c r="J1459" s="11"/>
      <c r="K1459" s="11"/>
      <c r="L1459" s="11"/>
      <c r="M1459" s="15"/>
      <c r="N1459" s="15"/>
      <c r="O1459" s="15"/>
      <c r="P1459" s="15"/>
      <c r="Q1459" s="16"/>
      <c r="R1459" s="16"/>
      <c r="S1459" s="16"/>
      <c r="T1459" s="17"/>
      <c r="U1459" s="11"/>
      <c r="V1459" s="16"/>
      <c r="W1459" s="11"/>
      <c r="X1459" s="11"/>
      <c r="Y1459" s="15"/>
      <c r="Z1459" s="11"/>
    </row>
    <row r="1460" spans="1:26" x14ac:dyDescent="0.25">
      <c r="A1460" s="11"/>
      <c r="B1460" s="11"/>
      <c r="C1460" s="11"/>
      <c r="D1460" s="11"/>
      <c r="E1460" s="12"/>
      <c r="F1460" s="13"/>
      <c r="G1460" s="13"/>
      <c r="H1460" s="13"/>
      <c r="I1460" s="11"/>
      <c r="J1460" s="11"/>
      <c r="K1460" s="11"/>
      <c r="L1460" s="11"/>
      <c r="M1460" s="15"/>
      <c r="N1460" s="15"/>
      <c r="O1460" s="15"/>
      <c r="P1460" s="15"/>
      <c r="Q1460" s="16"/>
      <c r="R1460" s="16"/>
      <c r="S1460" s="16"/>
      <c r="T1460" s="17"/>
      <c r="U1460" s="11"/>
      <c r="V1460" s="16"/>
      <c r="W1460" s="11"/>
      <c r="X1460" s="11"/>
      <c r="Y1460" s="15"/>
      <c r="Z1460" s="11"/>
    </row>
    <row r="1461" spans="1:26" x14ac:dyDescent="0.25">
      <c r="A1461" s="11"/>
      <c r="B1461" s="11"/>
      <c r="C1461" s="11"/>
      <c r="D1461" s="11"/>
      <c r="E1461" s="12"/>
      <c r="F1461" s="13"/>
      <c r="G1461" s="13"/>
      <c r="H1461" s="13"/>
      <c r="I1461" s="11"/>
      <c r="J1461" s="11"/>
      <c r="K1461" s="11"/>
      <c r="L1461" s="11"/>
      <c r="M1461" s="15"/>
      <c r="N1461" s="15"/>
      <c r="O1461" s="15"/>
      <c r="P1461" s="15"/>
      <c r="Q1461" s="16"/>
      <c r="R1461" s="16"/>
      <c r="S1461" s="16"/>
      <c r="T1461" s="17"/>
      <c r="U1461" s="11"/>
      <c r="V1461" s="16"/>
      <c r="W1461" s="11"/>
      <c r="X1461" s="11"/>
      <c r="Y1461" s="15"/>
      <c r="Z1461" s="11"/>
    </row>
    <row r="1462" spans="1:26" x14ac:dyDescent="0.25">
      <c r="A1462" s="11"/>
      <c r="B1462" s="11"/>
      <c r="C1462" s="11"/>
      <c r="D1462" s="11"/>
      <c r="E1462" s="12"/>
      <c r="F1462" s="13"/>
      <c r="G1462" s="13"/>
      <c r="H1462" s="13"/>
      <c r="I1462" s="11"/>
      <c r="J1462" s="11"/>
      <c r="K1462" s="11"/>
      <c r="L1462" s="11"/>
      <c r="M1462" s="15"/>
      <c r="N1462" s="15"/>
      <c r="O1462" s="15"/>
      <c r="P1462" s="15"/>
      <c r="Q1462" s="16"/>
      <c r="R1462" s="16"/>
      <c r="S1462" s="16"/>
      <c r="T1462" s="17"/>
      <c r="U1462" s="11"/>
      <c r="V1462" s="16"/>
      <c r="W1462" s="11"/>
      <c r="X1462" s="11"/>
      <c r="Y1462" s="15"/>
      <c r="Z1462" s="11"/>
    </row>
    <row r="1463" spans="1:26" x14ac:dyDescent="0.25">
      <c r="A1463" s="11"/>
      <c r="B1463" s="11"/>
      <c r="C1463" s="11"/>
      <c r="D1463" s="11"/>
      <c r="E1463" s="12"/>
      <c r="F1463" s="13"/>
      <c r="G1463" s="13"/>
      <c r="H1463" s="13"/>
      <c r="I1463" s="11"/>
      <c r="J1463" s="11"/>
      <c r="K1463" s="11"/>
      <c r="L1463" s="11"/>
      <c r="M1463" s="15"/>
      <c r="N1463" s="15"/>
      <c r="O1463" s="15"/>
      <c r="P1463" s="15"/>
      <c r="Q1463" s="16"/>
      <c r="R1463" s="16"/>
      <c r="S1463" s="16"/>
      <c r="T1463" s="17"/>
      <c r="U1463" s="11"/>
      <c r="V1463" s="16"/>
      <c r="W1463" s="11"/>
      <c r="X1463" s="11"/>
      <c r="Y1463" s="15"/>
      <c r="Z1463" s="11"/>
    </row>
    <row r="1464" spans="1:26" x14ac:dyDescent="0.25">
      <c r="A1464" s="11"/>
      <c r="B1464" s="11"/>
      <c r="C1464" s="11"/>
      <c r="D1464" s="11"/>
      <c r="E1464" s="12"/>
      <c r="F1464" s="13"/>
      <c r="G1464" s="13"/>
      <c r="H1464" s="13"/>
      <c r="I1464" s="11"/>
      <c r="J1464" s="11"/>
      <c r="K1464" s="11"/>
      <c r="L1464" s="11"/>
      <c r="M1464" s="15"/>
      <c r="N1464" s="15"/>
      <c r="O1464" s="15"/>
      <c r="P1464" s="15"/>
      <c r="Q1464" s="16"/>
      <c r="R1464" s="16"/>
      <c r="S1464" s="16"/>
      <c r="T1464" s="17"/>
      <c r="U1464" s="11"/>
      <c r="V1464" s="16"/>
      <c r="W1464" s="11"/>
      <c r="X1464" s="11"/>
      <c r="Y1464" s="15"/>
      <c r="Z1464" s="11"/>
    </row>
    <row r="1465" spans="1:26" x14ac:dyDescent="0.25">
      <c r="A1465" s="11"/>
      <c r="B1465" s="11"/>
      <c r="C1465" s="11"/>
      <c r="D1465" s="11"/>
      <c r="E1465" s="12"/>
      <c r="F1465" s="13"/>
      <c r="G1465" s="13"/>
      <c r="H1465" s="13"/>
      <c r="I1465" s="11"/>
      <c r="J1465" s="11"/>
      <c r="K1465" s="11"/>
      <c r="L1465" s="11"/>
      <c r="M1465" s="15"/>
      <c r="N1465" s="15"/>
      <c r="O1465" s="15"/>
      <c r="P1465" s="15"/>
      <c r="Q1465" s="16"/>
      <c r="R1465" s="16"/>
      <c r="S1465" s="16"/>
      <c r="T1465" s="17"/>
      <c r="U1465" s="11"/>
      <c r="V1465" s="16"/>
      <c r="W1465" s="11"/>
      <c r="X1465" s="11"/>
      <c r="Y1465" s="15"/>
      <c r="Z1465" s="11"/>
    </row>
    <row r="1466" spans="1:26" x14ac:dyDescent="0.25">
      <c r="A1466" s="11"/>
      <c r="B1466" s="11"/>
      <c r="C1466" s="11"/>
      <c r="D1466" s="11"/>
      <c r="E1466" s="12"/>
      <c r="F1466" s="13"/>
      <c r="G1466" s="13"/>
      <c r="H1466" s="13"/>
      <c r="I1466" s="11"/>
      <c r="J1466" s="11"/>
      <c r="K1466" s="11"/>
      <c r="L1466" s="11"/>
      <c r="M1466" s="15"/>
      <c r="N1466" s="15"/>
      <c r="O1466" s="15"/>
      <c r="P1466" s="15"/>
      <c r="Q1466" s="16"/>
      <c r="R1466" s="16"/>
      <c r="S1466" s="16"/>
      <c r="T1466" s="17"/>
      <c r="U1466" s="11"/>
      <c r="V1466" s="16"/>
      <c r="W1466" s="11"/>
      <c r="X1466" s="11"/>
      <c r="Y1466" s="15"/>
      <c r="Z1466" s="11"/>
    </row>
    <row r="1467" spans="1:26" x14ac:dyDescent="0.25">
      <c r="A1467" s="11"/>
      <c r="B1467" s="11"/>
      <c r="C1467" s="11"/>
      <c r="D1467" s="11"/>
      <c r="E1467" s="12"/>
      <c r="F1467" s="13"/>
      <c r="G1467" s="13"/>
      <c r="H1467" s="13"/>
      <c r="I1467" s="11"/>
      <c r="J1467" s="11"/>
      <c r="K1467" s="11"/>
      <c r="L1467" s="11"/>
      <c r="M1467" s="15"/>
      <c r="N1467" s="15"/>
      <c r="O1467" s="15"/>
      <c r="P1467" s="15"/>
      <c r="Q1467" s="16"/>
      <c r="R1467" s="16"/>
      <c r="S1467" s="16"/>
      <c r="T1467" s="17"/>
      <c r="U1467" s="11"/>
      <c r="V1467" s="16"/>
      <c r="W1467" s="11"/>
      <c r="X1467" s="11"/>
      <c r="Y1467" s="15"/>
      <c r="Z1467" s="11"/>
    </row>
    <row r="1468" spans="1:26" x14ac:dyDescent="0.25">
      <c r="A1468" s="11"/>
      <c r="B1468" s="11"/>
      <c r="C1468" s="11"/>
      <c r="D1468" s="11"/>
      <c r="E1468" s="12"/>
      <c r="F1468" s="13"/>
      <c r="G1468" s="13"/>
      <c r="H1468" s="13"/>
      <c r="I1468" s="11"/>
      <c r="J1468" s="11"/>
      <c r="K1468" s="11"/>
      <c r="L1468" s="11"/>
      <c r="M1468" s="15"/>
      <c r="N1468" s="15"/>
      <c r="O1468" s="15"/>
      <c r="P1468" s="15"/>
      <c r="Q1468" s="16"/>
      <c r="R1468" s="16"/>
      <c r="S1468" s="16"/>
      <c r="T1468" s="17"/>
      <c r="U1468" s="11"/>
      <c r="V1468" s="16"/>
      <c r="W1468" s="11"/>
      <c r="X1468" s="11"/>
      <c r="Y1468" s="15"/>
      <c r="Z1468" s="11"/>
    </row>
    <row r="1469" spans="1:26" x14ac:dyDescent="0.25">
      <c r="A1469" s="11"/>
      <c r="B1469" s="11"/>
      <c r="C1469" s="11"/>
      <c r="D1469" s="11"/>
      <c r="E1469" s="12"/>
      <c r="F1469" s="13"/>
      <c r="G1469" s="13"/>
      <c r="H1469" s="13"/>
      <c r="I1469" s="11"/>
      <c r="J1469" s="11"/>
      <c r="K1469" s="11"/>
      <c r="L1469" s="11"/>
      <c r="M1469" s="15"/>
      <c r="N1469" s="15"/>
      <c r="O1469" s="15"/>
      <c r="P1469" s="15"/>
      <c r="Q1469" s="16"/>
      <c r="R1469" s="16"/>
      <c r="S1469" s="16"/>
      <c r="T1469" s="17"/>
      <c r="U1469" s="11"/>
      <c r="V1469" s="16"/>
      <c r="W1469" s="11"/>
      <c r="X1469" s="11"/>
      <c r="Y1469" s="15"/>
      <c r="Z1469" s="11"/>
    </row>
    <row r="1470" spans="1:26" x14ac:dyDescent="0.25">
      <c r="A1470" s="11"/>
      <c r="B1470" s="11"/>
      <c r="C1470" s="11"/>
      <c r="D1470" s="11"/>
      <c r="E1470" s="12"/>
      <c r="F1470" s="13"/>
      <c r="G1470" s="13"/>
      <c r="H1470" s="13"/>
      <c r="I1470" s="11"/>
      <c r="J1470" s="11"/>
      <c r="K1470" s="11"/>
      <c r="L1470" s="11"/>
      <c r="M1470" s="15"/>
      <c r="N1470" s="15"/>
      <c r="O1470" s="15"/>
      <c r="P1470" s="15"/>
      <c r="Q1470" s="16"/>
      <c r="R1470" s="16"/>
      <c r="S1470" s="16"/>
      <c r="T1470" s="17"/>
      <c r="U1470" s="11"/>
      <c r="V1470" s="16"/>
      <c r="W1470" s="11"/>
      <c r="X1470" s="11"/>
      <c r="Y1470" s="15"/>
      <c r="Z1470" s="11"/>
    </row>
    <row r="1471" spans="1:26" x14ac:dyDescent="0.25">
      <c r="A1471" s="11"/>
      <c r="B1471" s="11"/>
      <c r="C1471" s="11"/>
      <c r="D1471" s="11"/>
      <c r="E1471" s="12"/>
      <c r="F1471" s="13"/>
      <c r="G1471" s="13"/>
      <c r="H1471" s="13"/>
      <c r="I1471" s="11"/>
      <c r="J1471" s="11"/>
      <c r="K1471" s="11"/>
      <c r="L1471" s="11"/>
      <c r="M1471" s="15"/>
      <c r="N1471" s="15"/>
      <c r="O1471" s="15"/>
      <c r="P1471" s="15"/>
      <c r="Q1471" s="16"/>
      <c r="R1471" s="16"/>
      <c r="S1471" s="16"/>
      <c r="T1471" s="17"/>
      <c r="U1471" s="11"/>
      <c r="V1471" s="16"/>
      <c r="W1471" s="11"/>
      <c r="X1471" s="11"/>
      <c r="Y1471" s="15"/>
      <c r="Z1471" s="11"/>
    </row>
    <row r="1472" spans="1:26" x14ac:dyDescent="0.25">
      <c r="A1472" s="18"/>
      <c r="B1472" s="18"/>
      <c r="C1472" s="18"/>
      <c r="D1472" s="18"/>
      <c r="E1472" s="19"/>
      <c r="F1472" s="20"/>
      <c r="G1472" s="13"/>
      <c r="H1472" s="20"/>
      <c r="I1472" s="18"/>
      <c r="J1472" s="18"/>
      <c r="K1472" s="18"/>
      <c r="L1472" s="18"/>
      <c r="M1472" s="21"/>
      <c r="N1472" s="21"/>
      <c r="O1472" s="21"/>
      <c r="P1472" s="21"/>
      <c r="Q1472" s="22"/>
      <c r="R1472" s="19"/>
      <c r="S1472" s="22"/>
      <c r="T1472" s="23"/>
      <c r="U1472" s="18"/>
      <c r="V1472" s="22"/>
      <c r="W1472" s="18"/>
      <c r="X1472" s="18"/>
      <c r="Y1472" s="21"/>
      <c r="Z1472" s="18"/>
    </row>
    <row r="1473" spans="1:26" x14ac:dyDescent="0.25">
      <c r="A1473" s="19"/>
      <c r="B1473" s="19"/>
      <c r="C1473" s="19"/>
      <c r="D1473" s="19"/>
      <c r="E1473" s="19"/>
      <c r="F1473" s="20"/>
      <c r="G1473" s="13"/>
      <c r="H1473" s="20"/>
      <c r="I1473" s="19"/>
      <c r="J1473" s="19"/>
      <c r="K1473" s="19"/>
      <c r="L1473" s="19"/>
      <c r="M1473" s="21"/>
      <c r="N1473" s="21"/>
      <c r="O1473" s="21"/>
      <c r="P1473" s="21"/>
      <c r="Q1473" s="22"/>
      <c r="R1473" s="19"/>
      <c r="S1473" s="22"/>
      <c r="T1473" s="23"/>
      <c r="U1473" s="19"/>
      <c r="V1473" s="22"/>
      <c r="W1473" s="19"/>
      <c r="X1473" s="19"/>
      <c r="Y1473" s="21"/>
      <c r="Z1473" s="19"/>
    </row>
    <row r="1474" spans="1:26" x14ac:dyDescent="0.25">
      <c r="A1474" s="11"/>
      <c r="B1474" s="11"/>
      <c r="C1474" s="11"/>
      <c r="D1474" s="11"/>
      <c r="E1474" s="12"/>
      <c r="F1474" s="13"/>
      <c r="G1474" s="13"/>
      <c r="H1474" s="13"/>
      <c r="I1474" s="11"/>
      <c r="J1474" s="11"/>
      <c r="K1474" s="11"/>
      <c r="L1474" s="11"/>
      <c r="M1474" s="15"/>
      <c r="N1474" s="15"/>
      <c r="O1474" s="15"/>
      <c r="P1474" s="15"/>
      <c r="Q1474" s="16"/>
      <c r="R1474" s="16"/>
      <c r="S1474" s="16"/>
      <c r="T1474" s="17"/>
      <c r="U1474" s="11"/>
      <c r="V1474" s="16"/>
      <c r="W1474" s="11"/>
      <c r="X1474" s="11"/>
      <c r="Y1474" s="15"/>
      <c r="Z1474" s="11"/>
    </row>
    <row r="1475" spans="1:26" x14ac:dyDescent="0.25">
      <c r="A1475" s="11"/>
      <c r="B1475" s="11"/>
      <c r="C1475" s="11"/>
      <c r="D1475" s="11"/>
      <c r="E1475" s="12"/>
      <c r="F1475" s="13"/>
      <c r="G1475" s="13"/>
      <c r="H1475" s="13"/>
      <c r="I1475" s="11"/>
      <c r="J1475" s="11"/>
      <c r="K1475" s="11"/>
      <c r="L1475" s="11"/>
      <c r="M1475" s="15"/>
      <c r="N1475" s="15"/>
      <c r="O1475" s="15"/>
      <c r="P1475" s="15"/>
      <c r="Q1475" s="16"/>
      <c r="R1475" s="16"/>
      <c r="S1475" s="16"/>
      <c r="T1475" s="17"/>
      <c r="U1475" s="11"/>
      <c r="V1475" s="16"/>
      <c r="W1475" s="11"/>
      <c r="X1475" s="11"/>
      <c r="Y1475" s="15"/>
      <c r="Z1475" s="11"/>
    </row>
    <row r="1476" spans="1:26" x14ac:dyDescent="0.25">
      <c r="A1476" s="11"/>
      <c r="B1476" s="11"/>
      <c r="C1476" s="11"/>
      <c r="D1476" s="11"/>
      <c r="E1476" s="12"/>
      <c r="F1476" s="13"/>
      <c r="G1476" s="13"/>
      <c r="H1476" s="13"/>
      <c r="I1476" s="11"/>
      <c r="J1476" s="11"/>
      <c r="K1476" s="11"/>
      <c r="L1476" s="11"/>
      <c r="M1476" s="15"/>
      <c r="N1476" s="15"/>
      <c r="O1476" s="15"/>
      <c r="P1476" s="15"/>
      <c r="Q1476" s="16"/>
      <c r="R1476" s="16"/>
      <c r="S1476" s="16"/>
      <c r="T1476" s="17"/>
      <c r="U1476" s="11"/>
      <c r="V1476" s="16"/>
      <c r="W1476" s="11"/>
      <c r="X1476" s="11"/>
      <c r="Y1476" s="15"/>
      <c r="Z1476" s="11"/>
    </row>
    <row r="1477" spans="1:26" x14ac:dyDescent="0.25">
      <c r="A1477" s="11"/>
      <c r="B1477" s="11"/>
      <c r="C1477" s="11"/>
      <c r="D1477" s="11"/>
      <c r="E1477" s="12"/>
      <c r="F1477" s="13"/>
      <c r="G1477" s="13"/>
      <c r="H1477" s="13"/>
      <c r="I1477" s="11"/>
      <c r="J1477" s="11"/>
      <c r="K1477" s="11"/>
      <c r="L1477" s="11"/>
      <c r="M1477" s="15"/>
      <c r="N1477" s="15"/>
      <c r="O1477" s="15"/>
      <c r="P1477" s="15"/>
      <c r="Q1477" s="16"/>
      <c r="R1477" s="16"/>
      <c r="S1477" s="16"/>
      <c r="T1477" s="17"/>
      <c r="U1477" s="11"/>
      <c r="V1477" s="16"/>
      <c r="W1477" s="11"/>
      <c r="X1477" s="11"/>
      <c r="Y1477" s="15"/>
      <c r="Z1477" s="11"/>
    </row>
    <row r="1478" spans="1:26" x14ac:dyDescent="0.25">
      <c r="A1478" s="11"/>
      <c r="B1478" s="11"/>
      <c r="C1478" s="11"/>
      <c r="D1478" s="11"/>
      <c r="E1478" s="12"/>
      <c r="F1478" s="13"/>
      <c r="G1478" s="13"/>
      <c r="H1478" s="13"/>
      <c r="I1478" s="11"/>
      <c r="J1478" s="11"/>
      <c r="K1478" s="11"/>
      <c r="L1478" s="11"/>
      <c r="M1478" s="15"/>
      <c r="N1478" s="15"/>
      <c r="O1478" s="15"/>
      <c r="P1478" s="15"/>
      <c r="Q1478" s="16"/>
      <c r="R1478" s="16"/>
      <c r="S1478" s="16"/>
      <c r="T1478" s="17"/>
      <c r="U1478" s="11"/>
      <c r="V1478" s="16"/>
      <c r="W1478" s="11"/>
      <c r="X1478" s="11"/>
      <c r="Y1478" s="15"/>
      <c r="Z1478" s="11"/>
    </row>
    <row r="1479" spans="1:26" x14ac:dyDescent="0.25">
      <c r="A1479" s="18"/>
      <c r="B1479" s="18"/>
      <c r="C1479" s="18"/>
      <c r="D1479" s="18"/>
      <c r="E1479" s="19"/>
      <c r="F1479" s="20"/>
      <c r="G1479" s="13"/>
      <c r="H1479" s="20"/>
      <c r="I1479" s="18"/>
      <c r="J1479" s="18"/>
      <c r="K1479" s="18"/>
      <c r="L1479" s="18"/>
      <c r="M1479" s="21"/>
      <c r="N1479" s="21"/>
      <c r="O1479" s="21"/>
      <c r="P1479" s="21"/>
      <c r="Q1479" s="22"/>
      <c r="R1479" s="19"/>
      <c r="S1479" s="22"/>
      <c r="T1479" s="23"/>
      <c r="U1479" s="18"/>
      <c r="V1479" s="22"/>
      <c r="W1479" s="18"/>
      <c r="X1479" s="18"/>
      <c r="Y1479" s="21"/>
      <c r="Z1479" s="18"/>
    </row>
    <row r="1480" spans="1:26" x14ac:dyDescent="0.25">
      <c r="A1480" s="11"/>
      <c r="B1480" s="11"/>
      <c r="C1480" s="11"/>
      <c r="D1480" s="11"/>
      <c r="E1480" s="12"/>
      <c r="F1480" s="13"/>
      <c r="G1480" s="13"/>
      <c r="H1480" s="13"/>
      <c r="I1480" s="11"/>
      <c r="J1480" s="11"/>
      <c r="K1480" s="11"/>
      <c r="L1480" s="11"/>
      <c r="M1480" s="15"/>
      <c r="N1480" s="15"/>
      <c r="O1480" s="15"/>
      <c r="P1480" s="15"/>
      <c r="Q1480" s="16"/>
      <c r="R1480" s="16"/>
      <c r="S1480" s="16"/>
      <c r="T1480" s="17"/>
      <c r="U1480" s="11"/>
      <c r="V1480" s="16"/>
      <c r="W1480" s="11"/>
      <c r="X1480" s="11"/>
      <c r="Y1480" s="15"/>
      <c r="Z1480" s="11"/>
    </row>
    <row r="1481" spans="1:26" x14ac:dyDescent="0.25">
      <c r="A1481" s="11"/>
      <c r="B1481" s="11"/>
      <c r="C1481" s="11"/>
      <c r="D1481" s="11"/>
      <c r="E1481" s="12"/>
      <c r="F1481" s="13"/>
      <c r="G1481" s="13"/>
      <c r="H1481" s="13"/>
      <c r="I1481" s="11"/>
      <c r="J1481" s="11"/>
      <c r="K1481" s="11"/>
      <c r="L1481" s="11"/>
      <c r="M1481" s="15"/>
      <c r="N1481" s="15"/>
      <c r="O1481" s="15"/>
      <c r="P1481" s="15"/>
      <c r="Q1481" s="16"/>
      <c r="R1481" s="16"/>
      <c r="S1481" s="16"/>
      <c r="T1481" s="17"/>
      <c r="U1481" s="11"/>
      <c r="V1481" s="16"/>
      <c r="W1481" s="11"/>
      <c r="X1481" s="11"/>
      <c r="Y1481" s="15"/>
      <c r="Z1481" s="11"/>
    </row>
    <row r="1482" spans="1:26" x14ac:dyDescent="0.25">
      <c r="A1482" s="11"/>
      <c r="B1482" s="11"/>
      <c r="C1482" s="11"/>
      <c r="D1482" s="11"/>
      <c r="E1482" s="12"/>
      <c r="F1482" s="13"/>
      <c r="G1482" s="13"/>
      <c r="H1482" s="13"/>
      <c r="I1482" s="11"/>
      <c r="J1482" s="11"/>
      <c r="K1482" s="11"/>
      <c r="L1482" s="11"/>
      <c r="M1482" s="15"/>
      <c r="N1482" s="15"/>
      <c r="O1482" s="15"/>
      <c r="P1482" s="15"/>
      <c r="Q1482" s="16"/>
      <c r="R1482" s="16"/>
      <c r="S1482" s="16"/>
      <c r="T1482" s="17"/>
      <c r="U1482" s="11"/>
      <c r="V1482" s="16"/>
      <c r="W1482" s="11"/>
      <c r="X1482" s="11"/>
      <c r="Y1482" s="15"/>
      <c r="Z1482" s="11"/>
    </row>
    <row r="1483" spans="1:26" x14ac:dyDescent="0.25">
      <c r="A1483" s="11"/>
      <c r="B1483" s="11"/>
      <c r="C1483" s="11"/>
      <c r="D1483" s="11"/>
      <c r="E1483" s="12"/>
      <c r="F1483" s="13"/>
      <c r="G1483" s="13"/>
      <c r="H1483" s="13"/>
      <c r="I1483" s="11"/>
      <c r="J1483" s="11"/>
      <c r="K1483" s="11"/>
      <c r="L1483" s="11"/>
      <c r="M1483" s="15"/>
      <c r="N1483" s="15"/>
      <c r="O1483" s="15"/>
      <c r="P1483" s="15"/>
      <c r="Q1483" s="16"/>
      <c r="R1483" s="16"/>
      <c r="S1483" s="16"/>
      <c r="T1483" s="17"/>
      <c r="U1483" s="11"/>
      <c r="V1483" s="16"/>
      <c r="W1483" s="11"/>
      <c r="X1483" s="11"/>
      <c r="Y1483" s="15"/>
      <c r="Z1483" s="11"/>
    </row>
    <row r="1484" spans="1:26" x14ac:dyDescent="0.25">
      <c r="A1484" s="18"/>
      <c r="B1484" s="18"/>
      <c r="C1484" s="18"/>
      <c r="D1484" s="18"/>
      <c r="E1484" s="19"/>
      <c r="F1484" s="20"/>
      <c r="G1484" s="13"/>
      <c r="H1484" s="20"/>
      <c r="I1484" s="18"/>
      <c r="J1484" s="18"/>
      <c r="K1484" s="18"/>
      <c r="L1484" s="18"/>
      <c r="M1484" s="21"/>
      <c r="N1484" s="21"/>
      <c r="O1484" s="21"/>
      <c r="P1484" s="21"/>
      <c r="Q1484" s="22"/>
      <c r="R1484" s="19"/>
      <c r="S1484" s="22"/>
      <c r="T1484" s="23"/>
      <c r="U1484" s="18"/>
      <c r="V1484" s="22"/>
      <c r="W1484" s="18"/>
      <c r="X1484" s="18"/>
      <c r="Y1484" s="21"/>
      <c r="Z1484" s="18"/>
    </row>
    <row r="1485" spans="1:26" x14ac:dyDescent="0.25">
      <c r="A1485" s="11"/>
      <c r="B1485" s="11"/>
      <c r="C1485" s="11"/>
      <c r="D1485" s="11"/>
      <c r="E1485" s="12"/>
      <c r="F1485" s="13"/>
      <c r="G1485" s="13"/>
      <c r="H1485" s="13"/>
      <c r="I1485" s="11"/>
      <c r="J1485" s="11"/>
      <c r="K1485" s="11"/>
      <c r="L1485" s="11"/>
      <c r="M1485" s="15"/>
      <c r="N1485" s="15"/>
      <c r="O1485" s="15"/>
      <c r="P1485" s="15"/>
      <c r="Q1485" s="16"/>
      <c r="R1485" s="16"/>
      <c r="S1485" s="16"/>
      <c r="T1485" s="17"/>
      <c r="U1485" s="11"/>
      <c r="V1485" s="16"/>
      <c r="W1485" s="11"/>
      <c r="X1485" s="11"/>
      <c r="Y1485" s="15"/>
      <c r="Z1485" s="11"/>
    </row>
    <row r="1486" spans="1:26" x14ac:dyDescent="0.25">
      <c r="A1486" s="11"/>
      <c r="B1486" s="11"/>
      <c r="C1486" s="11"/>
      <c r="D1486" s="11"/>
      <c r="E1486" s="12"/>
      <c r="F1486" s="13"/>
      <c r="G1486" s="13"/>
      <c r="H1486" s="13"/>
      <c r="I1486" s="11"/>
      <c r="J1486" s="11"/>
      <c r="K1486" s="11"/>
      <c r="L1486" s="11"/>
      <c r="M1486" s="15"/>
      <c r="N1486" s="15"/>
      <c r="O1486" s="15"/>
      <c r="P1486" s="15"/>
      <c r="Q1486" s="16"/>
      <c r="R1486" s="16"/>
      <c r="S1486" s="16"/>
      <c r="T1486" s="17"/>
      <c r="U1486" s="11"/>
      <c r="V1486" s="16"/>
      <c r="W1486" s="11"/>
      <c r="X1486" s="11"/>
      <c r="Y1486" s="15"/>
      <c r="Z1486" s="11"/>
    </row>
    <row r="1487" spans="1:26" x14ac:dyDescent="0.25">
      <c r="A1487" s="11"/>
      <c r="B1487" s="11"/>
      <c r="C1487" s="11"/>
      <c r="D1487" s="11"/>
      <c r="E1487" s="12"/>
      <c r="F1487" s="13"/>
      <c r="G1487" s="13"/>
      <c r="H1487" s="13"/>
      <c r="I1487" s="11"/>
      <c r="J1487" s="11"/>
      <c r="K1487" s="11"/>
      <c r="L1487" s="11"/>
      <c r="M1487" s="15"/>
      <c r="N1487" s="15"/>
      <c r="O1487" s="15"/>
      <c r="P1487" s="15"/>
      <c r="Q1487" s="16"/>
      <c r="R1487" s="16"/>
      <c r="S1487" s="16"/>
      <c r="T1487" s="17"/>
      <c r="U1487" s="11"/>
      <c r="V1487" s="16"/>
      <c r="W1487" s="11"/>
      <c r="X1487" s="11"/>
      <c r="Y1487" s="15"/>
      <c r="Z1487" s="11"/>
    </row>
    <row r="1488" spans="1:26" x14ac:dyDescent="0.25">
      <c r="A1488" s="11"/>
      <c r="B1488" s="11"/>
      <c r="C1488" s="11"/>
      <c r="D1488" s="11"/>
      <c r="E1488" s="12"/>
      <c r="F1488" s="13"/>
      <c r="G1488" s="13"/>
      <c r="H1488" s="13"/>
      <c r="I1488" s="11"/>
      <c r="J1488" s="11"/>
      <c r="K1488" s="11"/>
      <c r="L1488" s="11"/>
      <c r="M1488" s="15"/>
      <c r="N1488" s="15"/>
      <c r="O1488" s="15"/>
      <c r="P1488" s="15"/>
      <c r="Q1488" s="16"/>
      <c r="R1488" s="16"/>
      <c r="S1488" s="16"/>
      <c r="T1488" s="17"/>
      <c r="U1488" s="11"/>
      <c r="V1488" s="16"/>
      <c r="W1488" s="11"/>
      <c r="X1488" s="11"/>
      <c r="Y1488" s="15"/>
      <c r="Z1488" s="11"/>
    </row>
    <row r="1489" spans="1:26" x14ac:dyDescent="0.25">
      <c r="A1489" s="11"/>
      <c r="B1489" s="11"/>
      <c r="C1489" s="11"/>
      <c r="D1489" s="11"/>
      <c r="E1489" s="12"/>
      <c r="F1489" s="13"/>
      <c r="G1489" s="13"/>
      <c r="H1489" s="13"/>
      <c r="I1489" s="11"/>
      <c r="J1489" s="11"/>
      <c r="K1489" s="11"/>
      <c r="L1489" s="11"/>
      <c r="M1489" s="15"/>
      <c r="N1489" s="15"/>
      <c r="O1489" s="15"/>
      <c r="P1489" s="15"/>
      <c r="Q1489" s="16"/>
      <c r="R1489" s="16"/>
      <c r="S1489" s="16"/>
      <c r="T1489" s="17"/>
      <c r="U1489" s="11"/>
      <c r="V1489" s="16"/>
      <c r="W1489" s="11"/>
      <c r="X1489" s="11"/>
      <c r="Y1489" s="15"/>
      <c r="Z1489" s="11"/>
    </row>
    <row r="1490" spans="1:26" x14ac:dyDescent="0.25">
      <c r="A1490" s="11"/>
      <c r="B1490" s="11"/>
      <c r="C1490" s="11"/>
      <c r="D1490" s="11"/>
      <c r="E1490" s="12"/>
      <c r="F1490" s="13"/>
      <c r="G1490" s="13"/>
      <c r="H1490" s="13"/>
      <c r="I1490" s="11"/>
      <c r="J1490" s="11"/>
      <c r="K1490" s="11"/>
      <c r="L1490" s="11"/>
      <c r="M1490" s="15"/>
      <c r="N1490" s="15"/>
      <c r="O1490" s="15"/>
      <c r="P1490" s="15"/>
      <c r="Q1490" s="16"/>
      <c r="R1490" s="16"/>
      <c r="S1490" s="16"/>
      <c r="T1490" s="17"/>
      <c r="U1490" s="11"/>
      <c r="V1490" s="16"/>
      <c r="W1490" s="11"/>
      <c r="X1490" s="11"/>
      <c r="Y1490" s="15"/>
      <c r="Z1490" s="11"/>
    </row>
    <row r="1491" spans="1:26" x14ac:dyDescent="0.25">
      <c r="A1491" s="11"/>
      <c r="B1491" s="11"/>
      <c r="C1491" s="11"/>
      <c r="D1491" s="11"/>
      <c r="E1491" s="12"/>
      <c r="F1491" s="13"/>
      <c r="G1491" s="13"/>
      <c r="H1491" s="13"/>
      <c r="I1491" s="11"/>
      <c r="J1491" s="11"/>
      <c r="K1491" s="11"/>
      <c r="L1491" s="11"/>
      <c r="M1491" s="15"/>
      <c r="N1491" s="15"/>
      <c r="O1491" s="15"/>
      <c r="P1491" s="15"/>
      <c r="Q1491" s="16"/>
      <c r="R1491" s="16"/>
      <c r="S1491" s="16"/>
      <c r="T1491" s="17"/>
      <c r="U1491" s="11"/>
      <c r="V1491" s="16"/>
      <c r="W1491" s="11"/>
      <c r="X1491" s="11"/>
      <c r="Y1491" s="15"/>
      <c r="Z1491" s="11"/>
    </row>
    <row r="1492" spans="1:26" x14ac:dyDescent="0.25">
      <c r="A1492" s="11"/>
      <c r="B1492" s="11"/>
      <c r="C1492" s="11"/>
      <c r="D1492" s="11"/>
      <c r="E1492" s="12"/>
      <c r="F1492" s="13"/>
      <c r="G1492" s="13"/>
      <c r="H1492" s="13"/>
      <c r="I1492" s="11"/>
      <c r="J1492" s="11"/>
      <c r="K1492" s="11"/>
      <c r="L1492" s="11"/>
      <c r="M1492" s="15"/>
      <c r="N1492" s="15"/>
      <c r="O1492" s="15"/>
      <c r="P1492" s="15"/>
      <c r="Q1492" s="16"/>
      <c r="R1492" s="16"/>
      <c r="S1492" s="16"/>
      <c r="T1492" s="17"/>
      <c r="U1492" s="11"/>
      <c r="V1492" s="16"/>
      <c r="W1492" s="11"/>
      <c r="X1492" s="11"/>
      <c r="Y1492" s="15"/>
      <c r="Z1492" s="11"/>
    </row>
    <row r="1493" spans="1:26" x14ac:dyDescent="0.25">
      <c r="A1493" s="11"/>
      <c r="B1493" s="11"/>
      <c r="C1493" s="11"/>
      <c r="D1493" s="11"/>
      <c r="E1493" s="12"/>
      <c r="F1493" s="13"/>
      <c r="G1493" s="13"/>
      <c r="H1493" s="13"/>
      <c r="I1493" s="11"/>
      <c r="J1493" s="11"/>
      <c r="K1493" s="11"/>
      <c r="L1493" s="11"/>
      <c r="M1493" s="15"/>
      <c r="N1493" s="15"/>
      <c r="O1493" s="15"/>
      <c r="P1493" s="15"/>
      <c r="Q1493" s="16"/>
      <c r="R1493" s="16"/>
      <c r="S1493" s="16"/>
      <c r="T1493" s="17"/>
      <c r="U1493" s="11"/>
      <c r="V1493" s="16"/>
      <c r="W1493" s="11"/>
      <c r="X1493" s="11"/>
      <c r="Y1493" s="15"/>
      <c r="Z1493" s="11"/>
    </row>
    <row r="1494" spans="1:26" x14ac:dyDescent="0.25">
      <c r="A1494" s="18"/>
      <c r="B1494" s="18"/>
      <c r="C1494" s="18"/>
      <c r="D1494" s="18"/>
      <c r="E1494" s="19"/>
      <c r="F1494" s="20"/>
      <c r="G1494" s="13"/>
      <c r="H1494" s="20"/>
      <c r="I1494" s="18"/>
      <c r="J1494" s="18"/>
      <c r="K1494" s="18"/>
      <c r="L1494" s="18"/>
      <c r="M1494" s="21"/>
      <c r="N1494" s="21"/>
      <c r="O1494" s="21"/>
      <c r="P1494" s="21"/>
      <c r="Q1494" s="22"/>
      <c r="R1494" s="19"/>
      <c r="S1494" s="22"/>
      <c r="T1494" s="23"/>
      <c r="U1494" s="18"/>
      <c r="V1494" s="22"/>
      <c r="W1494" s="18"/>
      <c r="X1494" s="18"/>
      <c r="Y1494" s="21"/>
      <c r="Z1494" s="18"/>
    </row>
    <row r="1495" spans="1:26" x14ac:dyDescent="0.25">
      <c r="A1495" s="18"/>
      <c r="B1495" s="18"/>
      <c r="C1495" s="18"/>
      <c r="D1495" s="18"/>
      <c r="E1495" s="19"/>
      <c r="F1495" s="20"/>
      <c r="G1495" s="13"/>
      <c r="H1495" s="20"/>
      <c r="I1495" s="18"/>
      <c r="J1495" s="18"/>
      <c r="K1495" s="18"/>
      <c r="L1495" s="18"/>
      <c r="M1495" s="21"/>
      <c r="N1495" s="21"/>
      <c r="O1495" s="21"/>
      <c r="P1495" s="21"/>
      <c r="Q1495" s="22"/>
      <c r="R1495" s="19"/>
      <c r="S1495" s="22"/>
      <c r="T1495" s="23"/>
      <c r="U1495" s="18"/>
      <c r="V1495" s="22"/>
      <c r="W1495" s="18"/>
      <c r="X1495" s="18"/>
      <c r="Y1495" s="21"/>
      <c r="Z1495" s="18"/>
    </row>
    <row r="1496" spans="1:26" x14ac:dyDescent="0.25">
      <c r="A1496" s="11"/>
      <c r="B1496" s="11"/>
      <c r="C1496" s="11"/>
      <c r="D1496" s="11"/>
      <c r="E1496" s="12"/>
      <c r="F1496" s="13"/>
      <c r="G1496" s="13"/>
      <c r="H1496" s="13"/>
      <c r="I1496" s="11"/>
      <c r="J1496" s="11"/>
      <c r="K1496" s="11"/>
      <c r="L1496" s="11"/>
      <c r="M1496" s="15"/>
      <c r="N1496" s="15"/>
      <c r="O1496" s="15"/>
      <c r="P1496" s="15"/>
      <c r="Q1496" s="16"/>
      <c r="R1496" s="16"/>
      <c r="S1496" s="16"/>
      <c r="T1496" s="17"/>
      <c r="U1496" s="11"/>
      <c r="V1496" s="16"/>
      <c r="W1496" s="11"/>
      <c r="X1496" s="11"/>
      <c r="Y1496" s="15"/>
      <c r="Z1496" s="11"/>
    </row>
    <row r="1497" spans="1:26" x14ac:dyDescent="0.25">
      <c r="A1497" s="11"/>
      <c r="B1497" s="11"/>
      <c r="C1497" s="11"/>
      <c r="D1497" s="11"/>
      <c r="E1497" s="12"/>
      <c r="F1497" s="13"/>
      <c r="G1497" s="13"/>
      <c r="H1497" s="13"/>
      <c r="I1497" s="11"/>
      <c r="J1497" s="11"/>
      <c r="K1497" s="11"/>
      <c r="L1497" s="11"/>
      <c r="M1497" s="15"/>
      <c r="N1497" s="15"/>
      <c r="O1497" s="15"/>
      <c r="P1497" s="15"/>
      <c r="Q1497" s="16"/>
      <c r="R1497" s="16"/>
      <c r="S1497" s="16"/>
      <c r="T1497" s="17"/>
      <c r="U1497" s="11"/>
      <c r="V1497" s="16"/>
      <c r="W1497" s="11"/>
      <c r="X1497" s="11"/>
      <c r="Y1497" s="15"/>
      <c r="Z1497" s="11"/>
    </row>
    <row r="1498" spans="1:26" x14ac:dyDescent="0.25">
      <c r="A1498" s="11"/>
      <c r="B1498" s="11"/>
      <c r="C1498" s="11"/>
      <c r="D1498" s="11"/>
      <c r="E1498" s="12"/>
      <c r="F1498" s="13"/>
      <c r="G1498" s="13"/>
      <c r="H1498" s="13"/>
      <c r="I1498" s="11"/>
      <c r="J1498" s="11"/>
      <c r="K1498" s="11"/>
      <c r="L1498" s="11"/>
      <c r="M1498" s="15"/>
      <c r="N1498" s="15"/>
      <c r="O1498" s="15"/>
      <c r="P1498" s="15"/>
      <c r="Q1498" s="16"/>
      <c r="R1498" s="16"/>
      <c r="S1498" s="16"/>
      <c r="T1498" s="17"/>
      <c r="U1498" s="11"/>
      <c r="V1498" s="16"/>
      <c r="W1498" s="11"/>
      <c r="X1498" s="11"/>
      <c r="Y1498" s="15"/>
      <c r="Z1498" s="11"/>
    </row>
    <row r="1499" spans="1:26" x14ac:dyDescent="0.25">
      <c r="A1499" s="11"/>
      <c r="B1499" s="11"/>
      <c r="C1499" s="11"/>
      <c r="D1499" s="11"/>
      <c r="E1499" s="12"/>
      <c r="F1499" s="13"/>
      <c r="G1499" s="13"/>
      <c r="H1499" s="13"/>
      <c r="I1499" s="11"/>
      <c r="J1499" s="11"/>
      <c r="K1499" s="11"/>
      <c r="L1499" s="11"/>
      <c r="M1499" s="15"/>
      <c r="N1499" s="15"/>
      <c r="O1499" s="15"/>
      <c r="P1499" s="15"/>
      <c r="Q1499" s="16"/>
      <c r="R1499" s="16"/>
      <c r="S1499" s="16"/>
      <c r="T1499" s="17"/>
      <c r="U1499" s="11"/>
      <c r="V1499" s="16"/>
      <c r="W1499" s="11"/>
      <c r="X1499" s="11"/>
      <c r="Y1499" s="15"/>
      <c r="Z1499" s="11"/>
    </row>
    <row r="1500" spans="1:26" x14ac:dyDescent="0.25">
      <c r="A1500" s="11"/>
      <c r="B1500" s="11"/>
      <c r="C1500" s="11"/>
      <c r="D1500" s="11"/>
      <c r="E1500" s="12"/>
      <c r="F1500" s="13"/>
      <c r="G1500" s="13"/>
      <c r="H1500" s="13"/>
      <c r="I1500" s="11"/>
      <c r="J1500" s="11"/>
      <c r="K1500" s="11"/>
      <c r="L1500" s="11"/>
      <c r="M1500" s="15"/>
      <c r="N1500" s="15"/>
      <c r="O1500" s="15"/>
      <c r="P1500" s="15"/>
      <c r="Q1500" s="16"/>
      <c r="R1500" s="16"/>
      <c r="S1500" s="16"/>
      <c r="T1500" s="17"/>
      <c r="U1500" s="11"/>
      <c r="V1500" s="16"/>
      <c r="W1500" s="11"/>
      <c r="X1500" s="11"/>
      <c r="Y1500" s="15"/>
      <c r="Z1500" s="11"/>
    </row>
    <row r="1501" spans="1:26" x14ac:dyDescent="0.25">
      <c r="A1501" s="11"/>
      <c r="B1501" s="11"/>
      <c r="C1501" s="11"/>
      <c r="D1501" s="11"/>
      <c r="E1501" s="12"/>
      <c r="F1501" s="13"/>
      <c r="G1501" s="13"/>
      <c r="H1501" s="13"/>
      <c r="I1501" s="11"/>
      <c r="J1501" s="11"/>
      <c r="K1501" s="11"/>
      <c r="L1501" s="11"/>
      <c r="M1501" s="15"/>
      <c r="N1501" s="15"/>
      <c r="O1501" s="15"/>
      <c r="P1501" s="15"/>
      <c r="Q1501" s="16"/>
      <c r="R1501" s="16"/>
      <c r="S1501" s="16"/>
      <c r="T1501" s="17"/>
      <c r="U1501" s="11"/>
      <c r="V1501" s="16"/>
      <c r="W1501" s="11"/>
      <c r="X1501" s="11"/>
      <c r="Y1501" s="15"/>
      <c r="Z1501" s="11"/>
    </row>
    <row r="1502" spans="1:26" x14ac:dyDescent="0.25">
      <c r="A1502" s="19"/>
      <c r="B1502" s="19"/>
      <c r="C1502" s="19"/>
      <c r="D1502" s="19"/>
      <c r="E1502" s="19"/>
      <c r="F1502" s="20"/>
      <c r="G1502" s="13"/>
      <c r="H1502" s="20"/>
      <c r="I1502" s="19"/>
      <c r="J1502" s="19"/>
      <c r="K1502" s="19"/>
      <c r="L1502" s="19"/>
      <c r="M1502" s="21"/>
      <c r="N1502" s="21"/>
      <c r="O1502" s="21"/>
      <c r="P1502" s="21"/>
      <c r="Q1502" s="22"/>
      <c r="R1502" s="19"/>
      <c r="S1502" s="22"/>
      <c r="T1502" s="23"/>
      <c r="U1502" s="19"/>
      <c r="V1502" s="22"/>
      <c r="W1502" s="19"/>
      <c r="X1502" s="19"/>
      <c r="Y1502" s="21"/>
      <c r="Z1502" s="19"/>
    </row>
    <row r="1503" spans="1:26" x14ac:dyDescent="0.25">
      <c r="A1503" s="19"/>
      <c r="B1503" s="19"/>
      <c r="C1503" s="19"/>
      <c r="D1503" s="19"/>
      <c r="E1503" s="19"/>
      <c r="F1503" s="20"/>
      <c r="G1503" s="13"/>
      <c r="H1503" s="20"/>
      <c r="I1503" s="19"/>
      <c r="J1503" s="19"/>
      <c r="K1503" s="19"/>
      <c r="L1503" s="19"/>
      <c r="M1503" s="21"/>
      <c r="N1503" s="21"/>
      <c r="O1503" s="21"/>
      <c r="P1503" s="21"/>
      <c r="Q1503" s="22"/>
      <c r="R1503" s="19"/>
      <c r="S1503" s="22"/>
      <c r="T1503" s="23"/>
      <c r="U1503" s="19"/>
      <c r="V1503" s="22"/>
      <c r="W1503" s="19"/>
      <c r="X1503" s="19"/>
      <c r="Y1503" s="21"/>
      <c r="Z1503" s="19"/>
    </row>
    <row r="1504" spans="1:26" x14ac:dyDescent="0.25">
      <c r="A1504" s="19"/>
      <c r="B1504" s="19"/>
      <c r="C1504" s="19"/>
      <c r="D1504" s="19"/>
      <c r="E1504" s="19"/>
      <c r="F1504" s="20"/>
      <c r="G1504" s="13"/>
      <c r="H1504" s="20"/>
      <c r="I1504" s="19"/>
      <c r="J1504" s="19"/>
      <c r="K1504" s="19"/>
      <c r="L1504" s="19"/>
      <c r="M1504" s="21"/>
      <c r="N1504" s="21"/>
      <c r="O1504" s="21"/>
      <c r="P1504" s="21"/>
      <c r="Q1504" s="22"/>
      <c r="R1504" s="19"/>
      <c r="S1504" s="22"/>
      <c r="T1504" s="23"/>
      <c r="U1504" s="19"/>
      <c r="V1504" s="22"/>
      <c r="W1504" s="19"/>
      <c r="X1504" s="19"/>
      <c r="Y1504" s="21"/>
      <c r="Z1504" s="19"/>
    </row>
    <row r="1505" spans="1:26" x14ac:dyDescent="0.25">
      <c r="A1505" s="11"/>
      <c r="B1505" s="11"/>
      <c r="C1505" s="11"/>
      <c r="D1505" s="11"/>
      <c r="E1505" s="12"/>
      <c r="F1505" s="13"/>
      <c r="G1505" s="13"/>
      <c r="H1505" s="13"/>
      <c r="I1505" s="11"/>
      <c r="J1505" s="11"/>
      <c r="K1505" s="11"/>
      <c r="L1505" s="11"/>
      <c r="M1505" s="15"/>
      <c r="N1505" s="15"/>
      <c r="O1505" s="15"/>
      <c r="P1505" s="15"/>
      <c r="Q1505" s="16"/>
      <c r="R1505" s="16"/>
      <c r="S1505" s="16"/>
      <c r="T1505" s="17"/>
      <c r="U1505" s="11"/>
      <c r="V1505" s="16"/>
      <c r="W1505" s="11"/>
      <c r="X1505" s="11"/>
      <c r="Y1505" s="15"/>
      <c r="Z1505" s="11"/>
    </row>
    <row r="1506" spans="1:26" x14ac:dyDescent="0.25">
      <c r="A1506" s="11"/>
      <c r="B1506" s="11"/>
      <c r="C1506" s="11"/>
      <c r="D1506" s="11"/>
      <c r="E1506" s="12"/>
      <c r="F1506" s="13"/>
      <c r="G1506" s="13"/>
      <c r="H1506" s="13"/>
      <c r="I1506" s="11"/>
      <c r="J1506" s="11"/>
      <c r="K1506" s="11"/>
      <c r="L1506" s="11"/>
      <c r="M1506" s="15"/>
      <c r="N1506" s="15"/>
      <c r="O1506" s="15"/>
      <c r="P1506" s="15"/>
      <c r="Q1506" s="16"/>
      <c r="R1506" s="16"/>
      <c r="S1506" s="16"/>
      <c r="T1506" s="17"/>
      <c r="U1506" s="11"/>
      <c r="V1506" s="16"/>
      <c r="W1506" s="11"/>
      <c r="X1506" s="11"/>
      <c r="Y1506" s="15"/>
      <c r="Z1506" s="11"/>
    </row>
    <row r="1507" spans="1:26" x14ac:dyDescent="0.25">
      <c r="A1507" s="11"/>
      <c r="B1507" s="11"/>
      <c r="C1507" s="11"/>
      <c r="D1507" s="11"/>
      <c r="E1507" s="12"/>
      <c r="F1507" s="13"/>
      <c r="G1507" s="13"/>
      <c r="H1507" s="13"/>
      <c r="I1507" s="11"/>
      <c r="J1507" s="11"/>
      <c r="K1507" s="11"/>
      <c r="L1507" s="11"/>
      <c r="M1507" s="15"/>
      <c r="N1507" s="15"/>
      <c r="O1507" s="15"/>
      <c r="P1507" s="15"/>
      <c r="Q1507" s="16"/>
      <c r="R1507" s="16"/>
      <c r="S1507" s="16"/>
      <c r="T1507" s="17"/>
      <c r="U1507" s="11"/>
      <c r="V1507" s="16"/>
      <c r="W1507" s="11"/>
      <c r="X1507" s="11"/>
      <c r="Y1507" s="15"/>
      <c r="Z1507" s="11"/>
    </row>
    <row r="1508" spans="1:26" x14ac:dyDescent="0.25">
      <c r="A1508" s="11"/>
      <c r="B1508" s="11"/>
      <c r="C1508" s="11"/>
      <c r="D1508" s="11"/>
      <c r="E1508" s="12"/>
      <c r="F1508" s="13"/>
      <c r="G1508" s="13"/>
      <c r="H1508" s="13"/>
      <c r="I1508" s="11"/>
      <c r="J1508" s="11"/>
      <c r="K1508" s="11"/>
      <c r="L1508" s="11"/>
      <c r="M1508" s="15"/>
      <c r="N1508" s="15"/>
      <c r="O1508" s="15"/>
      <c r="P1508" s="15"/>
      <c r="Q1508" s="16"/>
      <c r="R1508" s="16"/>
      <c r="S1508" s="16"/>
      <c r="T1508" s="17"/>
      <c r="U1508" s="11"/>
      <c r="V1508" s="16"/>
      <c r="W1508" s="11"/>
      <c r="X1508" s="11"/>
      <c r="Y1508" s="15"/>
      <c r="Z1508" s="11"/>
    </row>
    <row r="1509" spans="1:26" x14ac:dyDescent="0.25">
      <c r="A1509" s="18"/>
      <c r="B1509" s="18"/>
      <c r="C1509" s="18"/>
      <c r="D1509" s="18"/>
      <c r="E1509" s="19"/>
      <c r="F1509" s="20"/>
      <c r="G1509" s="13"/>
      <c r="H1509" s="20"/>
      <c r="I1509" s="18"/>
      <c r="J1509" s="18"/>
      <c r="K1509" s="18"/>
      <c r="L1509" s="18"/>
      <c r="M1509" s="21"/>
      <c r="N1509" s="21"/>
      <c r="O1509" s="21"/>
      <c r="P1509" s="21"/>
      <c r="Q1509" s="22"/>
      <c r="R1509" s="19"/>
      <c r="S1509" s="22"/>
      <c r="T1509" s="23"/>
      <c r="U1509" s="18"/>
      <c r="V1509" s="22"/>
      <c r="W1509" s="18"/>
      <c r="X1509" s="18"/>
      <c r="Y1509" s="21"/>
      <c r="Z1509" s="18"/>
    </row>
    <row r="1510" spans="1:26" x14ac:dyDescent="0.25">
      <c r="A1510" s="11"/>
      <c r="B1510" s="11"/>
      <c r="C1510" s="11"/>
      <c r="D1510" s="11"/>
      <c r="E1510" s="12"/>
      <c r="F1510" s="13"/>
      <c r="G1510" s="13"/>
      <c r="H1510" s="13"/>
      <c r="I1510" s="11"/>
      <c r="J1510" s="11"/>
      <c r="K1510" s="11"/>
      <c r="L1510" s="11"/>
      <c r="M1510" s="15"/>
      <c r="N1510" s="15"/>
      <c r="O1510" s="15"/>
      <c r="P1510" s="15"/>
      <c r="Q1510" s="16"/>
      <c r="R1510" s="16"/>
      <c r="S1510" s="16"/>
      <c r="T1510" s="17"/>
      <c r="U1510" s="11"/>
      <c r="V1510" s="16"/>
      <c r="W1510" s="11"/>
      <c r="X1510" s="11"/>
      <c r="Y1510" s="15"/>
      <c r="Z1510" s="11"/>
    </row>
    <row r="1511" spans="1:26" x14ac:dyDescent="0.25">
      <c r="A1511" s="11"/>
      <c r="B1511" s="11"/>
      <c r="C1511" s="11"/>
      <c r="D1511" s="11"/>
      <c r="E1511" s="12"/>
      <c r="F1511" s="13"/>
      <c r="G1511" s="13"/>
      <c r="H1511" s="13"/>
      <c r="I1511" s="11"/>
      <c r="J1511" s="11"/>
      <c r="K1511" s="11"/>
      <c r="L1511" s="11"/>
      <c r="M1511" s="15"/>
      <c r="N1511" s="15"/>
      <c r="O1511" s="15"/>
      <c r="P1511" s="15"/>
      <c r="Q1511" s="16"/>
      <c r="R1511" s="16"/>
      <c r="S1511" s="16"/>
      <c r="T1511" s="17"/>
      <c r="U1511" s="11"/>
      <c r="V1511" s="16"/>
      <c r="W1511" s="11"/>
      <c r="X1511" s="11"/>
      <c r="Y1511" s="15"/>
      <c r="Z1511" s="11"/>
    </row>
    <row r="1512" spans="1:26" x14ac:dyDescent="0.25">
      <c r="A1512" s="18"/>
      <c r="B1512" s="18"/>
      <c r="C1512" s="18"/>
      <c r="D1512" s="18"/>
      <c r="E1512" s="19"/>
      <c r="F1512" s="20"/>
      <c r="G1512" s="13"/>
      <c r="H1512" s="20"/>
      <c r="I1512" s="18"/>
      <c r="J1512" s="18"/>
      <c r="K1512" s="18"/>
      <c r="L1512" s="18"/>
      <c r="M1512" s="21"/>
      <c r="N1512" s="21"/>
      <c r="O1512" s="21"/>
      <c r="P1512" s="21"/>
      <c r="Q1512" s="22"/>
      <c r="R1512" s="19"/>
      <c r="S1512" s="22"/>
      <c r="T1512" s="23"/>
      <c r="U1512" s="18"/>
      <c r="V1512" s="22"/>
      <c r="W1512" s="18"/>
      <c r="X1512" s="18"/>
      <c r="Y1512" s="21"/>
      <c r="Z1512" s="18"/>
    </row>
    <row r="1513" spans="1:26" x14ac:dyDescent="0.25">
      <c r="A1513" s="11"/>
      <c r="B1513" s="11"/>
      <c r="C1513" s="11"/>
      <c r="D1513" s="11"/>
      <c r="E1513" s="12"/>
      <c r="F1513" s="13"/>
      <c r="G1513" s="13"/>
      <c r="H1513" s="13"/>
      <c r="I1513" s="11"/>
      <c r="J1513" s="11"/>
      <c r="K1513" s="11"/>
      <c r="L1513" s="11"/>
      <c r="M1513" s="15"/>
      <c r="N1513" s="15"/>
      <c r="O1513" s="15"/>
      <c r="P1513" s="15"/>
      <c r="Q1513" s="16"/>
      <c r="R1513" s="16"/>
      <c r="S1513" s="16"/>
      <c r="T1513" s="17"/>
      <c r="U1513" s="11"/>
      <c r="V1513" s="16"/>
      <c r="W1513" s="11"/>
      <c r="X1513" s="11"/>
      <c r="Y1513" s="15"/>
      <c r="Z1513" s="11"/>
    </row>
    <row r="1514" spans="1:26" x14ac:dyDescent="0.25">
      <c r="A1514" s="11"/>
      <c r="B1514" s="11"/>
      <c r="C1514" s="11"/>
      <c r="D1514" s="11"/>
      <c r="E1514" s="12"/>
      <c r="F1514" s="13"/>
      <c r="G1514" s="13"/>
      <c r="H1514" s="13"/>
      <c r="I1514" s="11"/>
      <c r="J1514" s="11"/>
      <c r="K1514" s="11"/>
      <c r="L1514" s="11"/>
      <c r="M1514" s="15"/>
      <c r="N1514" s="15"/>
      <c r="O1514" s="15"/>
      <c r="P1514" s="15"/>
      <c r="Q1514" s="16"/>
      <c r="R1514" s="16"/>
      <c r="S1514" s="16"/>
      <c r="T1514" s="17"/>
      <c r="U1514" s="11"/>
      <c r="V1514" s="16"/>
      <c r="W1514" s="11"/>
      <c r="X1514" s="11"/>
      <c r="Y1514" s="15"/>
      <c r="Z1514" s="11"/>
    </row>
    <row r="1515" spans="1:26" x14ac:dyDescent="0.25">
      <c r="A1515" s="11"/>
      <c r="B1515" s="11"/>
      <c r="C1515" s="11"/>
      <c r="D1515" s="11"/>
      <c r="E1515" s="12"/>
      <c r="F1515" s="13"/>
      <c r="G1515" s="13"/>
      <c r="H1515" s="13"/>
      <c r="I1515" s="11"/>
      <c r="J1515" s="11"/>
      <c r="K1515" s="11"/>
      <c r="L1515" s="11"/>
      <c r="M1515" s="15"/>
      <c r="N1515" s="15"/>
      <c r="O1515" s="15"/>
      <c r="P1515" s="15"/>
      <c r="Q1515" s="16"/>
      <c r="R1515" s="16"/>
      <c r="S1515" s="16"/>
      <c r="T1515" s="17"/>
      <c r="U1515" s="11"/>
      <c r="V1515" s="16"/>
      <c r="W1515" s="11"/>
      <c r="X1515" s="11"/>
      <c r="Y1515" s="15"/>
      <c r="Z1515" s="11"/>
    </row>
    <row r="1516" spans="1:26" x14ac:dyDescent="0.25">
      <c r="A1516" s="11"/>
      <c r="B1516" s="11"/>
      <c r="C1516" s="11"/>
      <c r="D1516" s="11"/>
      <c r="E1516" s="12"/>
      <c r="F1516" s="13"/>
      <c r="G1516" s="13"/>
      <c r="H1516" s="13"/>
      <c r="I1516" s="11"/>
      <c r="J1516" s="11"/>
      <c r="K1516" s="11"/>
      <c r="L1516" s="11"/>
      <c r="M1516" s="15"/>
      <c r="N1516" s="15"/>
      <c r="O1516" s="15"/>
      <c r="P1516" s="15"/>
      <c r="Q1516" s="16"/>
      <c r="R1516" s="16"/>
      <c r="S1516" s="16"/>
      <c r="T1516" s="17"/>
      <c r="U1516" s="11"/>
      <c r="V1516" s="16"/>
      <c r="W1516" s="11"/>
      <c r="X1516" s="11"/>
      <c r="Y1516" s="15"/>
      <c r="Z1516" s="11"/>
    </row>
    <row r="1517" spans="1:26" x14ac:dyDescent="0.25">
      <c r="A1517" s="19"/>
      <c r="B1517" s="19"/>
      <c r="C1517" s="19"/>
      <c r="D1517" s="19"/>
      <c r="E1517" s="19"/>
      <c r="F1517" s="20"/>
      <c r="G1517" s="13"/>
      <c r="H1517" s="20"/>
      <c r="I1517" s="19"/>
      <c r="J1517" s="19"/>
      <c r="K1517" s="19"/>
      <c r="L1517" s="19"/>
      <c r="M1517" s="21"/>
      <c r="N1517" s="21"/>
      <c r="O1517" s="21"/>
      <c r="P1517" s="21"/>
      <c r="Q1517" s="22"/>
      <c r="R1517" s="19"/>
      <c r="S1517" s="22"/>
      <c r="T1517" s="23"/>
      <c r="U1517" s="19"/>
      <c r="V1517" s="22"/>
      <c r="W1517" s="19"/>
      <c r="X1517" s="19"/>
      <c r="Y1517" s="21"/>
      <c r="Z1517" s="19"/>
    </row>
    <row r="1518" spans="1:26" x14ac:dyDescent="0.25">
      <c r="A1518" s="19"/>
      <c r="B1518" s="19"/>
      <c r="C1518" s="19"/>
      <c r="D1518" s="19"/>
      <c r="E1518" s="19"/>
      <c r="F1518" s="20"/>
      <c r="G1518" s="13"/>
      <c r="H1518" s="20"/>
      <c r="I1518" s="19"/>
      <c r="J1518" s="19"/>
      <c r="K1518" s="19"/>
      <c r="L1518" s="19"/>
      <c r="M1518" s="21"/>
      <c r="N1518" s="21"/>
      <c r="O1518" s="21"/>
      <c r="P1518" s="21"/>
      <c r="Q1518" s="22"/>
      <c r="R1518" s="19"/>
      <c r="S1518" s="22"/>
      <c r="T1518" s="23"/>
      <c r="U1518" s="19"/>
      <c r="V1518" s="22"/>
      <c r="W1518" s="19"/>
      <c r="X1518" s="19"/>
      <c r="Y1518" s="21"/>
      <c r="Z1518" s="19"/>
    </row>
    <row r="1519" spans="1:26" x14ac:dyDescent="0.25">
      <c r="A1519" s="11"/>
      <c r="B1519" s="11"/>
      <c r="C1519" s="11"/>
      <c r="D1519" s="11"/>
      <c r="E1519" s="12"/>
      <c r="F1519" s="13"/>
      <c r="G1519" s="13"/>
      <c r="H1519" s="13"/>
      <c r="I1519" s="11"/>
      <c r="J1519" s="11"/>
      <c r="K1519" s="11"/>
      <c r="L1519" s="11"/>
      <c r="M1519" s="15"/>
      <c r="N1519" s="15"/>
      <c r="O1519" s="15"/>
      <c r="P1519" s="15"/>
      <c r="Q1519" s="16"/>
      <c r="R1519" s="16"/>
      <c r="S1519" s="16"/>
      <c r="T1519" s="17"/>
      <c r="U1519" s="11"/>
      <c r="V1519" s="16"/>
      <c r="W1519" s="11"/>
      <c r="X1519" s="11"/>
      <c r="Y1519" s="15"/>
      <c r="Z1519" s="11"/>
    </row>
    <row r="1520" spans="1:26" x14ac:dyDescent="0.25">
      <c r="A1520" s="11"/>
      <c r="B1520" s="11"/>
      <c r="C1520" s="11"/>
      <c r="D1520" s="11"/>
      <c r="E1520" s="12"/>
      <c r="F1520" s="13"/>
      <c r="G1520" s="13"/>
      <c r="H1520" s="13"/>
      <c r="I1520" s="11"/>
      <c r="J1520" s="11"/>
      <c r="K1520" s="11"/>
      <c r="L1520" s="11"/>
      <c r="M1520" s="15"/>
      <c r="N1520" s="15"/>
      <c r="O1520" s="15"/>
      <c r="P1520" s="15"/>
      <c r="Q1520" s="16"/>
      <c r="R1520" s="16"/>
      <c r="S1520" s="16"/>
      <c r="T1520" s="17"/>
      <c r="U1520" s="11"/>
      <c r="V1520" s="16"/>
      <c r="W1520" s="11"/>
      <c r="X1520" s="11"/>
      <c r="Y1520" s="15"/>
      <c r="Z1520" s="11"/>
    </row>
    <row r="1521" spans="1:26" x14ac:dyDescent="0.25">
      <c r="A1521" s="11"/>
      <c r="B1521" s="11"/>
      <c r="C1521" s="11"/>
      <c r="D1521" s="11"/>
      <c r="E1521" s="12"/>
      <c r="F1521" s="13"/>
      <c r="G1521" s="13"/>
      <c r="H1521" s="13"/>
      <c r="I1521" s="11"/>
      <c r="J1521" s="11"/>
      <c r="K1521" s="11"/>
      <c r="L1521" s="11"/>
      <c r="M1521" s="15"/>
      <c r="N1521" s="15"/>
      <c r="O1521" s="15"/>
      <c r="P1521" s="15"/>
      <c r="Q1521" s="16"/>
      <c r="R1521" s="16"/>
      <c r="S1521" s="16"/>
      <c r="T1521" s="17"/>
      <c r="U1521" s="11"/>
      <c r="V1521" s="16"/>
      <c r="W1521" s="11"/>
      <c r="X1521" s="11"/>
      <c r="Y1521" s="15"/>
      <c r="Z1521" s="11"/>
    </row>
    <row r="1522" spans="1:26" x14ac:dyDescent="0.25">
      <c r="A1522" s="11"/>
      <c r="B1522" s="11"/>
      <c r="C1522" s="11"/>
      <c r="D1522" s="11"/>
      <c r="E1522" s="12"/>
      <c r="F1522" s="13"/>
      <c r="G1522" s="13"/>
      <c r="H1522" s="13"/>
      <c r="I1522" s="11"/>
      <c r="J1522" s="11"/>
      <c r="K1522" s="11"/>
      <c r="L1522" s="11"/>
      <c r="M1522" s="15"/>
      <c r="N1522" s="15"/>
      <c r="O1522" s="15"/>
      <c r="P1522" s="15"/>
      <c r="Q1522" s="16"/>
      <c r="R1522" s="16"/>
      <c r="S1522" s="16"/>
      <c r="T1522" s="17"/>
      <c r="U1522" s="11"/>
      <c r="V1522" s="16"/>
      <c r="W1522" s="11"/>
      <c r="X1522" s="11"/>
      <c r="Y1522" s="15"/>
      <c r="Z1522" s="11"/>
    </row>
    <row r="1523" spans="1:26" x14ac:dyDescent="0.25">
      <c r="A1523" s="11"/>
      <c r="B1523" s="11"/>
      <c r="C1523" s="11"/>
      <c r="D1523" s="11"/>
      <c r="E1523" s="12"/>
      <c r="F1523" s="13"/>
      <c r="G1523" s="13"/>
      <c r="H1523" s="13"/>
      <c r="I1523" s="11"/>
      <c r="J1523" s="11"/>
      <c r="K1523" s="11"/>
      <c r="L1523" s="11"/>
      <c r="M1523" s="15"/>
      <c r="N1523" s="15"/>
      <c r="O1523" s="15"/>
      <c r="P1523" s="15"/>
      <c r="Q1523" s="16"/>
      <c r="R1523" s="16"/>
      <c r="S1523" s="16"/>
      <c r="T1523" s="17"/>
      <c r="U1523" s="11"/>
      <c r="V1523" s="16"/>
      <c r="W1523" s="11"/>
      <c r="X1523" s="11"/>
      <c r="Y1523" s="15"/>
      <c r="Z1523" s="11"/>
    </row>
    <row r="1524" spans="1:26" x14ac:dyDescent="0.25">
      <c r="A1524" s="11"/>
      <c r="B1524" s="11"/>
      <c r="C1524" s="11"/>
      <c r="D1524" s="11"/>
      <c r="E1524" s="12"/>
      <c r="F1524" s="13"/>
      <c r="G1524" s="13"/>
      <c r="H1524" s="13"/>
      <c r="I1524" s="11"/>
      <c r="J1524" s="11"/>
      <c r="K1524" s="11"/>
      <c r="L1524" s="11"/>
      <c r="M1524" s="15"/>
      <c r="N1524" s="15"/>
      <c r="O1524" s="15"/>
      <c r="P1524" s="15"/>
      <c r="Q1524" s="16"/>
      <c r="R1524" s="16"/>
      <c r="S1524" s="16"/>
      <c r="T1524" s="17"/>
      <c r="U1524" s="11"/>
      <c r="V1524" s="16"/>
      <c r="W1524" s="11"/>
      <c r="X1524" s="11"/>
      <c r="Y1524" s="15"/>
      <c r="Z1524" s="11"/>
    </row>
    <row r="1525" spans="1:26" x14ac:dyDescent="0.25">
      <c r="A1525" s="11"/>
      <c r="B1525" s="11"/>
      <c r="C1525" s="11"/>
      <c r="D1525" s="11"/>
      <c r="E1525" s="12"/>
      <c r="F1525" s="13"/>
      <c r="G1525" s="13"/>
      <c r="H1525" s="13"/>
      <c r="I1525" s="11"/>
      <c r="J1525" s="11"/>
      <c r="K1525" s="11"/>
      <c r="L1525" s="11"/>
      <c r="M1525" s="15"/>
      <c r="N1525" s="15"/>
      <c r="O1525" s="15"/>
      <c r="P1525" s="15"/>
      <c r="Q1525" s="16"/>
      <c r="R1525" s="16"/>
      <c r="S1525" s="16"/>
      <c r="T1525" s="17"/>
      <c r="U1525" s="11"/>
      <c r="V1525" s="16"/>
      <c r="W1525" s="11"/>
      <c r="X1525" s="11"/>
      <c r="Y1525" s="15"/>
      <c r="Z1525" s="11"/>
    </row>
    <row r="1526" spans="1:26" x14ac:dyDescent="0.25">
      <c r="A1526" s="11"/>
      <c r="B1526" s="11"/>
      <c r="C1526" s="11"/>
      <c r="D1526" s="11"/>
      <c r="E1526" s="12"/>
      <c r="F1526" s="13"/>
      <c r="G1526" s="13"/>
      <c r="H1526" s="13"/>
      <c r="I1526" s="11"/>
      <c r="J1526" s="11"/>
      <c r="K1526" s="11"/>
      <c r="L1526" s="11"/>
      <c r="M1526" s="15"/>
      <c r="N1526" s="15"/>
      <c r="O1526" s="15"/>
      <c r="P1526" s="15"/>
      <c r="Q1526" s="16"/>
      <c r="R1526" s="16"/>
      <c r="S1526" s="16"/>
      <c r="T1526" s="17"/>
      <c r="U1526" s="11"/>
      <c r="V1526" s="16"/>
      <c r="W1526" s="11"/>
      <c r="X1526" s="11"/>
      <c r="Y1526" s="15"/>
      <c r="Z1526" s="11"/>
    </row>
    <row r="1527" spans="1:26" x14ac:dyDescent="0.25">
      <c r="A1527" s="11"/>
      <c r="B1527" s="11"/>
      <c r="C1527" s="11"/>
      <c r="D1527" s="11"/>
      <c r="E1527" s="12"/>
      <c r="F1527" s="13"/>
      <c r="G1527" s="13"/>
      <c r="H1527" s="13"/>
      <c r="I1527" s="11"/>
      <c r="J1527" s="11"/>
      <c r="K1527" s="11"/>
      <c r="L1527" s="11"/>
      <c r="M1527" s="15"/>
      <c r="N1527" s="15"/>
      <c r="O1527" s="15"/>
      <c r="P1527" s="15"/>
      <c r="Q1527" s="16"/>
      <c r="R1527" s="16"/>
      <c r="S1527" s="16"/>
      <c r="T1527" s="17"/>
      <c r="U1527" s="11"/>
      <c r="V1527" s="16"/>
      <c r="W1527" s="11"/>
      <c r="X1527" s="11"/>
      <c r="Y1527" s="15"/>
      <c r="Z1527" s="11"/>
    </row>
    <row r="1528" spans="1:26" x14ac:dyDescent="0.25">
      <c r="A1528" s="11"/>
      <c r="B1528" s="11"/>
      <c r="C1528" s="11"/>
      <c r="D1528" s="11"/>
      <c r="E1528" s="12"/>
      <c r="F1528" s="13"/>
      <c r="G1528" s="13"/>
      <c r="H1528" s="13"/>
      <c r="I1528" s="11"/>
      <c r="J1528" s="11"/>
      <c r="K1528" s="11"/>
      <c r="L1528" s="11"/>
      <c r="M1528" s="15"/>
      <c r="N1528" s="15"/>
      <c r="O1528" s="15"/>
      <c r="P1528" s="15"/>
      <c r="Q1528" s="16"/>
      <c r="R1528" s="16"/>
      <c r="S1528" s="16"/>
      <c r="T1528" s="17"/>
      <c r="U1528" s="11"/>
      <c r="V1528" s="16"/>
      <c r="W1528" s="11"/>
      <c r="X1528" s="11"/>
      <c r="Y1528" s="15"/>
      <c r="Z1528" s="11"/>
    </row>
    <row r="1529" spans="1:26" x14ac:dyDescent="0.25">
      <c r="A1529" s="11"/>
      <c r="B1529" s="11"/>
      <c r="C1529" s="11"/>
      <c r="D1529" s="11"/>
      <c r="E1529" s="12"/>
      <c r="F1529" s="13"/>
      <c r="G1529" s="13"/>
      <c r="H1529" s="13"/>
      <c r="I1529" s="11"/>
      <c r="J1529" s="11"/>
      <c r="K1529" s="11"/>
      <c r="L1529" s="11"/>
      <c r="M1529" s="15"/>
      <c r="N1529" s="15"/>
      <c r="O1529" s="15"/>
      <c r="P1529" s="15"/>
      <c r="Q1529" s="16"/>
      <c r="R1529" s="16"/>
      <c r="S1529" s="16"/>
      <c r="T1529" s="17"/>
      <c r="U1529" s="11"/>
      <c r="V1529" s="16"/>
      <c r="W1529" s="11"/>
      <c r="X1529" s="11"/>
      <c r="Y1529" s="15"/>
      <c r="Z1529" s="11"/>
    </row>
    <row r="1530" spans="1:26" x14ac:dyDescent="0.25">
      <c r="A1530" s="11"/>
      <c r="B1530" s="11"/>
      <c r="C1530" s="11"/>
      <c r="D1530" s="11"/>
      <c r="E1530" s="12"/>
      <c r="F1530" s="13"/>
      <c r="G1530" s="13"/>
      <c r="H1530" s="13"/>
      <c r="I1530" s="11"/>
      <c r="J1530" s="11"/>
      <c r="K1530" s="11"/>
      <c r="L1530" s="11"/>
      <c r="M1530" s="15"/>
      <c r="N1530" s="15"/>
      <c r="O1530" s="15"/>
      <c r="P1530" s="15"/>
      <c r="Q1530" s="16"/>
      <c r="R1530" s="16"/>
      <c r="S1530" s="16"/>
      <c r="T1530" s="17"/>
      <c r="U1530" s="11"/>
      <c r="V1530" s="16"/>
      <c r="W1530" s="11"/>
      <c r="X1530" s="11"/>
      <c r="Y1530" s="15"/>
      <c r="Z1530" s="11"/>
    </row>
    <row r="1531" spans="1:26" x14ac:dyDescent="0.25">
      <c r="A1531" s="11"/>
      <c r="B1531" s="11"/>
      <c r="C1531" s="11"/>
      <c r="D1531" s="11"/>
      <c r="E1531" s="12"/>
      <c r="F1531" s="13"/>
      <c r="G1531" s="13"/>
      <c r="H1531" s="13"/>
      <c r="I1531" s="11"/>
      <c r="J1531" s="11"/>
      <c r="K1531" s="11"/>
      <c r="L1531" s="11"/>
      <c r="M1531" s="15"/>
      <c r="N1531" s="15"/>
      <c r="O1531" s="15"/>
      <c r="P1531" s="15"/>
      <c r="Q1531" s="16"/>
      <c r="R1531" s="16"/>
      <c r="S1531" s="16"/>
      <c r="T1531" s="17"/>
      <c r="U1531" s="11"/>
      <c r="V1531" s="16"/>
      <c r="W1531" s="11"/>
      <c r="X1531" s="11"/>
      <c r="Y1531" s="15"/>
      <c r="Z1531" s="11"/>
    </row>
    <row r="1532" spans="1:26" x14ac:dyDescent="0.25">
      <c r="A1532" s="11"/>
      <c r="B1532" s="11"/>
      <c r="C1532" s="11"/>
      <c r="D1532" s="11"/>
      <c r="E1532" s="12"/>
      <c r="F1532" s="13"/>
      <c r="G1532" s="13"/>
      <c r="H1532" s="13"/>
      <c r="I1532" s="11"/>
      <c r="J1532" s="11"/>
      <c r="K1532" s="11"/>
      <c r="L1532" s="11"/>
      <c r="M1532" s="15"/>
      <c r="N1532" s="15"/>
      <c r="O1532" s="15"/>
      <c r="P1532" s="15"/>
      <c r="Q1532" s="16"/>
      <c r="R1532" s="16"/>
      <c r="S1532" s="16"/>
      <c r="T1532" s="17"/>
      <c r="U1532" s="11"/>
      <c r="V1532" s="16"/>
      <c r="W1532" s="11"/>
      <c r="X1532" s="11"/>
      <c r="Y1532" s="15"/>
      <c r="Z1532" s="11"/>
    </row>
    <row r="1533" spans="1:26" x14ac:dyDescent="0.25">
      <c r="A1533" s="11"/>
      <c r="B1533" s="11"/>
      <c r="C1533" s="11"/>
      <c r="D1533" s="11"/>
      <c r="E1533" s="12"/>
      <c r="F1533" s="13"/>
      <c r="G1533" s="13"/>
      <c r="H1533" s="13"/>
      <c r="I1533" s="11"/>
      <c r="J1533" s="11"/>
      <c r="K1533" s="11"/>
      <c r="L1533" s="11"/>
      <c r="M1533" s="15"/>
      <c r="N1533" s="15"/>
      <c r="O1533" s="15"/>
      <c r="P1533" s="15"/>
      <c r="Q1533" s="16"/>
      <c r="R1533" s="16"/>
      <c r="S1533" s="16"/>
      <c r="T1533" s="17"/>
      <c r="U1533" s="11"/>
      <c r="V1533" s="16"/>
      <c r="W1533" s="11"/>
      <c r="X1533" s="11"/>
      <c r="Y1533" s="15"/>
      <c r="Z1533" s="11"/>
    </row>
    <row r="1534" spans="1:26" x14ac:dyDescent="0.25">
      <c r="A1534" s="11"/>
      <c r="B1534" s="11"/>
      <c r="C1534" s="11"/>
      <c r="D1534" s="11"/>
      <c r="E1534" s="12"/>
      <c r="F1534" s="13"/>
      <c r="G1534" s="13"/>
      <c r="H1534" s="13"/>
      <c r="I1534" s="11"/>
      <c r="J1534" s="11"/>
      <c r="K1534" s="11"/>
      <c r="L1534" s="11"/>
      <c r="M1534" s="15"/>
      <c r="N1534" s="15"/>
      <c r="O1534" s="15"/>
      <c r="P1534" s="15"/>
      <c r="Q1534" s="16"/>
      <c r="R1534" s="16"/>
      <c r="S1534" s="16"/>
      <c r="T1534" s="17"/>
      <c r="U1534" s="11"/>
      <c r="V1534" s="16"/>
      <c r="W1534" s="11"/>
      <c r="X1534" s="11"/>
      <c r="Y1534" s="15"/>
      <c r="Z1534" s="11"/>
    </row>
    <row r="1535" spans="1:26" x14ac:dyDescent="0.25">
      <c r="A1535" s="11"/>
      <c r="B1535" s="11"/>
      <c r="C1535" s="11"/>
      <c r="D1535" s="11"/>
      <c r="E1535" s="12"/>
      <c r="F1535" s="13"/>
      <c r="G1535" s="13"/>
      <c r="H1535" s="13"/>
      <c r="I1535" s="11"/>
      <c r="J1535" s="11"/>
      <c r="K1535" s="11"/>
      <c r="L1535" s="11"/>
      <c r="M1535" s="15"/>
      <c r="N1535" s="15"/>
      <c r="O1535" s="15"/>
      <c r="P1535" s="15"/>
      <c r="Q1535" s="16"/>
      <c r="R1535" s="16"/>
      <c r="S1535" s="16"/>
      <c r="T1535" s="17"/>
      <c r="U1535" s="11"/>
      <c r="V1535" s="16"/>
      <c r="W1535" s="11"/>
      <c r="X1535" s="11"/>
      <c r="Y1535" s="15"/>
      <c r="Z1535" s="11"/>
    </row>
    <row r="1536" spans="1:26" x14ac:dyDescent="0.25">
      <c r="A1536" s="11"/>
      <c r="B1536" s="11"/>
      <c r="C1536" s="11"/>
      <c r="D1536" s="11"/>
      <c r="E1536" s="12"/>
      <c r="F1536" s="13"/>
      <c r="G1536" s="13"/>
      <c r="H1536" s="13"/>
      <c r="I1536" s="11"/>
      <c r="J1536" s="11"/>
      <c r="K1536" s="11"/>
      <c r="L1536" s="11"/>
      <c r="M1536" s="15"/>
      <c r="N1536" s="15"/>
      <c r="O1536" s="15"/>
      <c r="P1536" s="15"/>
      <c r="Q1536" s="16"/>
      <c r="R1536" s="16"/>
      <c r="S1536" s="16"/>
      <c r="T1536" s="17"/>
      <c r="U1536" s="11"/>
      <c r="V1536" s="16"/>
      <c r="W1536" s="11"/>
      <c r="X1536" s="11"/>
      <c r="Y1536" s="15"/>
      <c r="Z1536" s="11"/>
    </row>
    <row r="1537" spans="1:26" x14ac:dyDescent="0.25">
      <c r="A1537" s="11"/>
      <c r="B1537" s="11"/>
      <c r="C1537" s="11"/>
      <c r="D1537" s="11"/>
      <c r="E1537" s="12"/>
      <c r="F1537" s="13"/>
      <c r="G1537" s="13"/>
      <c r="H1537" s="13"/>
      <c r="I1537" s="11"/>
      <c r="J1537" s="11"/>
      <c r="K1537" s="11"/>
      <c r="L1537" s="11"/>
      <c r="M1537" s="15"/>
      <c r="N1537" s="15"/>
      <c r="O1537" s="15"/>
      <c r="P1537" s="15"/>
      <c r="Q1537" s="16"/>
      <c r="R1537" s="16"/>
      <c r="S1537" s="16"/>
      <c r="T1537" s="17"/>
      <c r="U1537" s="11"/>
      <c r="V1537" s="16"/>
      <c r="W1537" s="11"/>
      <c r="X1537" s="11"/>
      <c r="Y1537" s="15"/>
      <c r="Z1537" s="11"/>
    </row>
    <row r="1538" spans="1:26" x14ac:dyDescent="0.25">
      <c r="A1538" s="18"/>
      <c r="B1538" s="18"/>
      <c r="C1538" s="18"/>
      <c r="D1538" s="18"/>
      <c r="E1538" s="19"/>
      <c r="F1538" s="20"/>
      <c r="G1538" s="13"/>
      <c r="H1538" s="20"/>
      <c r="I1538" s="18"/>
      <c r="J1538" s="18"/>
      <c r="K1538" s="18"/>
      <c r="L1538" s="18"/>
      <c r="M1538" s="21"/>
      <c r="N1538" s="21"/>
      <c r="O1538" s="21"/>
      <c r="P1538" s="21"/>
      <c r="Q1538" s="22"/>
      <c r="R1538" s="19"/>
      <c r="S1538" s="22"/>
      <c r="T1538" s="23"/>
      <c r="U1538" s="18"/>
      <c r="V1538" s="22"/>
      <c r="W1538" s="18"/>
      <c r="X1538" s="18"/>
      <c r="Y1538" s="21"/>
      <c r="Z1538" s="18"/>
    </row>
    <row r="1539" spans="1:26" x14ac:dyDescent="0.25">
      <c r="A1539" s="18"/>
      <c r="B1539" s="18"/>
      <c r="C1539" s="18"/>
      <c r="D1539" s="18"/>
      <c r="E1539" s="19"/>
      <c r="F1539" s="20"/>
      <c r="G1539" s="13"/>
      <c r="H1539" s="20"/>
      <c r="I1539" s="18"/>
      <c r="J1539" s="18"/>
      <c r="K1539" s="18"/>
      <c r="L1539" s="18"/>
      <c r="M1539" s="21"/>
      <c r="N1539" s="21"/>
      <c r="O1539" s="21"/>
      <c r="P1539" s="21"/>
      <c r="Q1539" s="22"/>
      <c r="R1539" s="19"/>
      <c r="S1539" s="22"/>
      <c r="T1539" s="23"/>
      <c r="U1539" s="18"/>
      <c r="V1539" s="22"/>
      <c r="W1539" s="18"/>
      <c r="X1539" s="18"/>
      <c r="Y1539" s="21"/>
      <c r="Z1539" s="18"/>
    </row>
    <row r="1540" spans="1:26" x14ac:dyDescent="0.25">
      <c r="A1540" s="18"/>
      <c r="B1540" s="18"/>
      <c r="C1540" s="18"/>
      <c r="D1540" s="18"/>
      <c r="E1540" s="19"/>
      <c r="F1540" s="20"/>
      <c r="G1540" s="13"/>
      <c r="H1540" s="20"/>
      <c r="I1540" s="18"/>
      <c r="J1540" s="18"/>
      <c r="K1540" s="18"/>
      <c r="L1540" s="18"/>
      <c r="M1540" s="21"/>
      <c r="N1540" s="21"/>
      <c r="O1540" s="21"/>
      <c r="P1540" s="21"/>
      <c r="Q1540" s="22"/>
      <c r="R1540" s="19"/>
      <c r="S1540" s="22"/>
      <c r="T1540" s="23"/>
      <c r="U1540" s="18"/>
      <c r="V1540" s="22"/>
      <c r="W1540" s="18"/>
      <c r="X1540" s="18"/>
      <c r="Y1540" s="21"/>
      <c r="Z1540" s="18"/>
    </row>
    <row r="1541" spans="1:26" x14ac:dyDescent="0.25">
      <c r="A1541" s="19"/>
      <c r="B1541" s="19"/>
      <c r="C1541" s="19"/>
      <c r="D1541" s="19"/>
      <c r="E1541" s="19"/>
      <c r="F1541" s="20"/>
      <c r="G1541" s="13"/>
      <c r="H1541" s="20"/>
      <c r="I1541" s="19"/>
      <c r="J1541" s="19"/>
      <c r="K1541" s="19"/>
      <c r="L1541" s="19"/>
      <c r="M1541" s="21"/>
      <c r="N1541" s="21"/>
      <c r="O1541" s="21"/>
      <c r="P1541" s="21"/>
      <c r="Q1541" s="22"/>
      <c r="R1541" s="19"/>
      <c r="S1541" s="22"/>
      <c r="T1541" s="23"/>
      <c r="U1541" s="19"/>
      <c r="V1541" s="22"/>
      <c r="W1541" s="19"/>
      <c r="X1541" s="19"/>
      <c r="Y1541" s="21"/>
      <c r="Z1541" s="19"/>
    </row>
    <row r="1542" spans="1:26" x14ac:dyDescent="0.25">
      <c r="A1542" s="19"/>
      <c r="B1542" s="19"/>
      <c r="C1542" s="19"/>
      <c r="D1542" s="19"/>
      <c r="E1542" s="19"/>
      <c r="F1542" s="20"/>
      <c r="G1542" s="13"/>
      <c r="H1542" s="20"/>
      <c r="I1542" s="19"/>
      <c r="J1542" s="19"/>
      <c r="K1542" s="19"/>
      <c r="L1542" s="19"/>
      <c r="M1542" s="21"/>
      <c r="N1542" s="21"/>
      <c r="O1542" s="21"/>
      <c r="P1542" s="21"/>
      <c r="Q1542" s="22"/>
      <c r="R1542" s="19"/>
      <c r="S1542" s="22"/>
      <c r="T1542" s="23"/>
      <c r="U1542" s="19"/>
      <c r="V1542" s="22"/>
      <c r="W1542" s="19"/>
      <c r="X1542" s="19"/>
      <c r="Y1542" s="21"/>
      <c r="Z1542" s="19"/>
    </row>
    <row r="1543" spans="1:26" x14ac:dyDescent="0.25">
      <c r="A1543" s="11"/>
      <c r="B1543" s="11"/>
      <c r="C1543" s="11"/>
      <c r="D1543" s="11"/>
      <c r="E1543" s="12"/>
      <c r="F1543" s="13"/>
      <c r="G1543" s="13"/>
      <c r="H1543" s="13"/>
      <c r="I1543" s="11"/>
      <c r="J1543" s="11"/>
      <c r="K1543" s="11"/>
      <c r="L1543" s="11"/>
      <c r="M1543" s="15"/>
      <c r="N1543" s="15"/>
      <c r="O1543" s="15"/>
      <c r="P1543" s="15"/>
      <c r="Q1543" s="16"/>
      <c r="R1543" s="16"/>
      <c r="S1543" s="16"/>
      <c r="T1543" s="17"/>
      <c r="U1543" s="11"/>
      <c r="V1543" s="16"/>
      <c r="W1543" s="11"/>
      <c r="X1543" s="11"/>
      <c r="Y1543" s="15"/>
      <c r="Z1543" s="11"/>
    </row>
    <row r="1544" spans="1:26" x14ac:dyDescent="0.25">
      <c r="A1544" s="11"/>
      <c r="B1544" s="11"/>
      <c r="C1544" s="11"/>
      <c r="D1544" s="11"/>
      <c r="E1544" s="12"/>
      <c r="F1544" s="13"/>
      <c r="G1544" s="13"/>
      <c r="H1544" s="13"/>
      <c r="I1544" s="11"/>
      <c r="J1544" s="11"/>
      <c r="K1544" s="11"/>
      <c r="L1544" s="11"/>
      <c r="M1544" s="15"/>
      <c r="N1544" s="15"/>
      <c r="O1544" s="15"/>
      <c r="P1544" s="15"/>
      <c r="Q1544" s="16"/>
      <c r="R1544" s="16"/>
      <c r="S1544" s="16"/>
      <c r="T1544" s="17"/>
      <c r="U1544" s="11"/>
      <c r="V1544" s="16"/>
      <c r="W1544" s="11"/>
      <c r="X1544" s="11"/>
      <c r="Y1544" s="15"/>
      <c r="Z1544" s="11"/>
    </row>
    <row r="1545" spans="1:26" x14ac:dyDescent="0.25">
      <c r="A1545" s="11"/>
      <c r="B1545" s="11"/>
      <c r="C1545" s="11"/>
      <c r="D1545" s="11"/>
      <c r="E1545" s="12"/>
      <c r="F1545" s="13"/>
      <c r="G1545" s="13"/>
      <c r="H1545" s="13"/>
      <c r="I1545" s="11"/>
      <c r="J1545" s="11"/>
      <c r="K1545" s="11"/>
      <c r="L1545" s="11"/>
      <c r="M1545" s="15"/>
      <c r="N1545" s="15"/>
      <c r="O1545" s="15"/>
      <c r="P1545" s="15"/>
      <c r="Q1545" s="16"/>
      <c r="R1545" s="16"/>
      <c r="S1545" s="16"/>
      <c r="T1545" s="17"/>
      <c r="U1545" s="11"/>
      <c r="V1545" s="16"/>
      <c r="W1545" s="11"/>
      <c r="X1545" s="11"/>
      <c r="Y1545" s="15"/>
      <c r="Z1545" s="11"/>
    </row>
    <row r="1546" spans="1:26" x14ac:dyDescent="0.25">
      <c r="A1546" s="11"/>
      <c r="B1546" s="11"/>
      <c r="C1546" s="11"/>
      <c r="D1546" s="11"/>
      <c r="E1546" s="12"/>
      <c r="F1546" s="13"/>
      <c r="G1546" s="13"/>
      <c r="H1546" s="13"/>
      <c r="I1546" s="11"/>
      <c r="J1546" s="11"/>
      <c r="K1546" s="11"/>
      <c r="L1546" s="11"/>
      <c r="M1546" s="15"/>
      <c r="N1546" s="15"/>
      <c r="O1546" s="15"/>
      <c r="P1546" s="15"/>
      <c r="Q1546" s="16"/>
      <c r="R1546" s="16"/>
      <c r="S1546" s="16"/>
      <c r="T1546" s="17"/>
      <c r="U1546" s="11"/>
      <c r="V1546" s="16"/>
      <c r="W1546" s="11"/>
      <c r="X1546" s="11"/>
      <c r="Y1546" s="15"/>
      <c r="Z1546" s="11"/>
    </row>
    <row r="1547" spans="1:26" x14ac:dyDescent="0.25">
      <c r="A1547" s="11"/>
      <c r="B1547" s="11"/>
      <c r="C1547" s="11"/>
      <c r="D1547" s="11"/>
      <c r="E1547" s="12"/>
      <c r="F1547" s="13"/>
      <c r="G1547" s="13"/>
      <c r="H1547" s="13"/>
      <c r="I1547" s="11"/>
      <c r="J1547" s="11"/>
      <c r="K1547" s="11"/>
      <c r="L1547" s="11"/>
      <c r="M1547" s="15"/>
      <c r="N1547" s="15"/>
      <c r="O1547" s="15"/>
      <c r="P1547" s="15"/>
      <c r="Q1547" s="16"/>
      <c r="R1547" s="16"/>
      <c r="S1547" s="16"/>
      <c r="T1547" s="17"/>
      <c r="U1547" s="11"/>
      <c r="V1547" s="16"/>
      <c r="W1547" s="11"/>
      <c r="X1547" s="11"/>
      <c r="Y1547" s="15"/>
      <c r="Z1547" s="11"/>
    </row>
    <row r="1548" spans="1:26" x14ac:dyDescent="0.25">
      <c r="A1548" s="11"/>
      <c r="B1548" s="11"/>
      <c r="C1548" s="11"/>
      <c r="D1548" s="11"/>
      <c r="E1548" s="12"/>
      <c r="F1548" s="13"/>
      <c r="G1548" s="13"/>
      <c r="H1548" s="13"/>
      <c r="I1548" s="11"/>
      <c r="J1548" s="11"/>
      <c r="K1548" s="11"/>
      <c r="L1548" s="11"/>
      <c r="M1548" s="15"/>
      <c r="N1548" s="15"/>
      <c r="O1548" s="15"/>
      <c r="P1548" s="15"/>
      <c r="Q1548" s="16"/>
      <c r="R1548" s="16"/>
      <c r="S1548" s="16"/>
      <c r="T1548" s="17"/>
      <c r="U1548" s="11"/>
      <c r="V1548" s="16"/>
      <c r="W1548" s="11"/>
      <c r="X1548" s="11"/>
      <c r="Y1548" s="15"/>
      <c r="Z1548" s="11"/>
    </row>
    <row r="1549" spans="1:26" x14ac:dyDescent="0.25">
      <c r="A1549" s="11"/>
      <c r="B1549" s="11"/>
      <c r="C1549" s="11"/>
      <c r="D1549" s="11"/>
      <c r="E1549" s="12"/>
      <c r="F1549" s="13"/>
      <c r="G1549" s="13"/>
      <c r="H1549" s="13"/>
      <c r="I1549" s="11"/>
      <c r="J1549" s="11"/>
      <c r="K1549" s="11"/>
      <c r="L1549" s="11"/>
      <c r="M1549" s="15"/>
      <c r="N1549" s="15"/>
      <c r="O1549" s="15"/>
      <c r="P1549" s="15"/>
      <c r="Q1549" s="16"/>
      <c r="R1549" s="16"/>
      <c r="S1549" s="16"/>
      <c r="T1549" s="17"/>
      <c r="U1549" s="11"/>
      <c r="V1549" s="16"/>
      <c r="W1549" s="11"/>
      <c r="X1549" s="11"/>
      <c r="Y1549" s="15"/>
      <c r="Z1549" s="11"/>
    </row>
    <row r="1550" spans="1:26" x14ac:dyDescent="0.25">
      <c r="A1550" s="18"/>
      <c r="B1550" s="18"/>
      <c r="C1550" s="18"/>
      <c r="D1550" s="18"/>
      <c r="E1550" s="19"/>
      <c r="F1550" s="20"/>
      <c r="G1550" s="13"/>
      <c r="H1550" s="20"/>
      <c r="I1550" s="18"/>
      <c r="J1550" s="18"/>
      <c r="K1550" s="18"/>
      <c r="L1550" s="18"/>
      <c r="M1550" s="21"/>
      <c r="N1550" s="21"/>
      <c r="O1550" s="21"/>
      <c r="P1550" s="21"/>
      <c r="Q1550" s="22"/>
      <c r="R1550" s="19"/>
      <c r="S1550" s="22"/>
      <c r="T1550" s="23"/>
      <c r="U1550" s="18"/>
      <c r="V1550" s="22"/>
      <c r="W1550" s="18"/>
      <c r="X1550" s="18"/>
      <c r="Y1550" s="21"/>
      <c r="Z1550" s="18"/>
    </row>
    <row r="1551" spans="1:26" x14ac:dyDescent="0.25">
      <c r="A1551" s="18"/>
      <c r="B1551" s="18"/>
      <c r="C1551" s="18"/>
      <c r="D1551" s="18"/>
      <c r="E1551" s="19"/>
      <c r="F1551" s="20"/>
      <c r="G1551" s="13"/>
      <c r="H1551" s="20"/>
      <c r="I1551" s="18"/>
      <c r="J1551" s="18"/>
      <c r="K1551" s="18"/>
      <c r="L1551" s="18"/>
      <c r="M1551" s="21"/>
      <c r="N1551" s="21"/>
      <c r="O1551" s="21"/>
      <c r="P1551" s="21"/>
      <c r="Q1551" s="22"/>
      <c r="R1551" s="19"/>
      <c r="S1551" s="22"/>
      <c r="T1551" s="23"/>
      <c r="U1551" s="18"/>
      <c r="V1551" s="22"/>
      <c r="W1551" s="18"/>
      <c r="X1551" s="18"/>
      <c r="Y1551" s="21"/>
      <c r="Z1551" s="18"/>
    </row>
    <row r="1552" spans="1:26" x14ac:dyDescent="0.25">
      <c r="A1552" s="11"/>
      <c r="B1552" s="11"/>
      <c r="C1552" s="11"/>
      <c r="D1552" s="11"/>
      <c r="E1552" s="12"/>
      <c r="F1552" s="13"/>
      <c r="G1552" s="13"/>
      <c r="H1552" s="13"/>
      <c r="I1552" s="11"/>
      <c r="J1552" s="11"/>
      <c r="K1552" s="11"/>
      <c r="L1552" s="11"/>
      <c r="M1552" s="15"/>
      <c r="N1552" s="15"/>
      <c r="O1552" s="15"/>
      <c r="P1552" s="15"/>
      <c r="Q1552" s="16"/>
      <c r="R1552" s="16"/>
      <c r="S1552" s="16"/>
      <c r="T1552" s="17"/>
      <c r="U1552" s="11"/>
      <c r="V1552" s="16"/>
      <c r="W1552" s="11"/>
      <c r="X1552" s="11"/>
      <c r="Y1552" s="15"/>
      <c r="Z1552" s="11"/>
    </row>
    <row r="1553" spans="1:26" x14ac:dyDescent="0.25">
      <c r="A1553" s="11"/>
      <c r="B1553" s="11"/>
      <c r="C1553" s="11"/>
      <c r="D1553" s="11"/>
      <c r="E1553" s="12"/>
      <c r="F1553" s="13"/>
      <c r="G1553" s="13"/>
      <c r="H1553" s="13"/>
      <c r="I1553" s="11"/>
      <c r="J1553" s="11"/>
      <c r="K1553" s="11"/>
      <c r="L1553" s="11"/>
      <c r="M1553" s="15"/>
      <c r="N1553" s="15"/>
      <c r="O1553" s="15"/>
      <c r="P1553" s="15"/>
      <c r="Q1553" s="16"/>
      <c r="R1553" s="16"/>
      <c r="S1553" s="16"/>
      <c r="T1553" s="17"/>
      <c r="U1553" s="11"/>
      <c r="V1553" s="16"/>
      <c r="W1553" s="11"/>
      <c r="X1553" s="11"/>
      <c r="Y1553" s="15"/>
      <c r="Z1553" s="11"/>
    </row>
    <row r="1554" spans="1:26" x14ac:dyDescent="0.25">
      <c r="A1554" s="11"/>
      <c r="B1554" s="11"/>
      <c r="C1554" s="11"/>
      <c r="D1554" s="11"/>
      <c r="E1554" s="12"/>
      <c r="F1554" s="13"/>
      <c r="G1554" s="13"/>
      <c r="H1554" s="13"/>
      <c r="I1554" s="11"/>
      <c r="J1554" s="11"/>
      <c r="K1554" s="11"/>
      <c r="L1554" s="11"/>
      <c r="M1554" s="15"/>
      <c r="N1554" s="15"/>
      <c r="O1554" s="15"/>
      <c r="P1554" s="15"/>
      <c r="Q1554" s="16"/>
      <c r="R1554" s="16"/>
      <c r="S1554" s="16"/>
      <c r="T1554" s="17"/>
      <c r="U1554" s="11"/>
      <c r="V1554" s="16"/>
      <c r="W1554" s="11"/>
      <c r="X1554" s="11"/>
      <c r="Y1554" s="15"/>
      <c r="Z1554" s="11"/>
    </row>
    <row r="1555" spans="1:26" x14ac:dyDescent="0.25">
      <c r="A1555" s="11"/>
      <c r="B1555" s="11"/>
      <c r="C1555" s="11"/>
      <c r="D1555" s="11"/>
      <c r="E1555" s="12"/>
      <c r="F1555" s="13"/>
      <c r="G1555" s="13"/>
      <c r="H1555" s="13"/>
      <c r="I1555" s="11"/>
      <c r="J1555" s="11"/>
      <c r="K1555" s="11"/>
      <c r="L1555" s="11"/>
      <c r="M1555" s="15"/>
      <c r="N1555" s="15"/>
      <c r="O1555" s="15"/>
      <c r="P1555" s="15"/>
      <c r="Q1555" s="16"/>
      <c r="R1555" s="16"/>
      <c r="S1555" s="16"/>
      <c r="T1555" s="17"/>
      <c r="U1555" s="11"/>
      <c r="V1555" s="16"/>
      <c r="W1555" s="11"/>
      <c r="X1555" s="11"/>
      <c r="Y1555" s="15"/>
      <c r="Z1555" s="11"/>
    </row>
    <row r="1556" spans="1:26" x14ac:dyDescent="0.25">
      <c r="A1556" s="11"/>
      <c r="B1556" s="11"/>
      <c r="C1556" s="11"/>
      <c r="D1556" s="11"/>
      <c r="E1556" s="12"/>
      <c r="F1556" s="13"/>
      <c r="G1556" s="13"/>
      <c r="H1556" s="13"/>
      <c r="I1556" s="11"/>
      <c r="J1556" s="11"/>
      <c r="K1556" s="11"/>
      <c r="L1556" s="11"/>
      <c r="M1556" s="15"/>
      <c r="N1556" s="15"/>
      <c r="O1556" s="15"/>
      <c r="P1556" s="15"/>
      <c r="Q1556" s="16"/>
      <c r="R1556" s="16"/>
      <c r="S1556" s="16"/>
      <c r="T1556" s="17"/>
      <c r="U1556" s="11"/>
      <c r="V1556" s="16"/>
      <c r="W1556" s="11"/>
      <c r="X1556" s="11"/>
      <c r="Y1556" s="15"/>
      <c r="Z1556" s="11"/>
    </row>
    <row r="1557" spans="1:26" x14ac:dyDescent="0.25">
      <c r="A1557" s="18"/>
      <c r="B1557" s="18"/>
      <c r="C1557" s="18"/>
      <c r="D1557" s="18"/>
      <c r="E1557" s="19"/>
      <c r="F1557" s="20"/>
      <c r="G1557" s="13"/>
      <c r="H1557" s="20"/>
      <c r="I1557" s="18"/>
      <c r="J1557" s="18"/>
      <c r="K1557" s="18"/>
      <c r="L1557" s="18"/>
      <c r="M1557" s="21"/>
      <c r="N1557" s="21"/>
      <c r="O1557" s="21"/>
      <c r="P1557" s="21"/>
      <c r="Q1557" s="22"/>
      <c r="R1557" s="19"/>
      <c r="S1557" s="22"/>
      <c r="T1557" s="23"/>
      <c r="U1557" s="18"/>
      <c r="V1557" s="22"/>
      <c r="W1557" s="18"/>
      <c r="X1557" s="18"/>
      <c r="Y1557" s="21"/>
      <c r="Z1557" s="18"/>
    </row>
    <row r="1558" spans="1:26" x14ac:dyDescent="0.25">
      <c r="A1558" s="11"/>
      <c r="B1558" s="11"/>
      <c r="C1558" s="11"/>
      <c r="D1558" s="11"/>
      <c r="E1558" s="12"/>
      <c r="F1558" s="13"/>
      <c r="G1558" s="13"/>
      <c r="H1558" s="13"/>
      <c r="I1558" s="11"/>
      <c r="J1558" s="11"/>
      <c r="K1558" s="11"/>
      <c r="L1558" s="11"/>
      <c r="M1558" s="15"/>
      <c r="N1558" s="15"/>
      <c r="O1558" s="15"/>
      <c r="P1558" s="15"/>
      <c r="Q1558" s="16"/>
      <c r="R1558" s="16"/>
      <c r="S1558" s="16"/>
      <c r="T1558" s="17"/>
      <c r="U1558" s="11"/>
      <c r="V1558" s="16"/>
      <c r="W1558" s="11"/>
      <c r="X1558" s="11"/>
      <c r="Y1558" s="15"/>
      <c r="Z1558" s="11"/>
    </row>
    <row r="1559" spans="1:26" x14ac:dyDescent="0.25">
      <c r="A1559" s="11"/>
      <c r="B1559" s="11"/>
      <c r="C1559" s="11"/>
      <c r="D1559" s="11"/>
      <c r="E1559" s="12"/>
      <c r="F1559" s="13"/>
      <c r="G1559" s="13"/>
      <c r="H1559" s="13"/>
      <c r="I1559" s="11"/>
      <c r="J1559" s="11"/>
      <c r="K1559" s="11"/>
      <c r="L1559" s="11"/>
      <c r="M1559" s="15"/>
      <c r="N1559" s="15"/>
      <c r="O1559" s="15"/>
      <c r="P1559" s="15"/>
      <c r="Q1559" s="16"/>
      <c r="R1559" s="16"/>
      <c r="S1559" s="16"/>
      <c r="T1559" s="17"/>
      <c r="U1559" s="11"/>
      <c r="V1559" s="16"/>
      <c r="W1559" s="11"/>
      <c r="X1559" s="11"/>
      <c r="Y1559" s="15"/>
      <c r="Z1559" s="11"/>
    </row>
    <row r="1560" spans="1:26" x14ac:dyDescent="0.25">
      <c r="A1560" s="11"/>
      <c r="B1560" s="11"/>
      <c r="C1560" s="11"/>
      <c r="D1560" s="11"/>
      <c r="E1560" s="12"/>
      <c r="F1560" s="13"/>
      <c r="G1560" s="13"/>
      <c r="H1560" s="13"/>
      <c r="I1560" s="11"/>
      <c r="J1560" s="11"/>
      <c r="K1560" s="11"/>
      <c r="L1560" s="11"/>
      <c r="M1560" s="15"/>
      <c r="N1560" s="15"/>
      <c r="O1560" s="15"/>
      <c r="P1560" s="15"/>
      <c r="Q1560" s="16"/>
      <c r="R1560" s="16"/>
      <c r="S1560" s="16"/>
      <c r="T1560" s="17"/>
      <c r="U1560" s="11"/>
      <c r="V1560" s="16"/>
      <c r="W1560" s="11"/>
      <c r="X1560" s="11"/>
      <c r="Y1560" s="15"/>
      <c r="Z1560" s="11"/>
    </row>
    <row r="1561" spans="1:26" x14ac:dyDescent="0.25">
      <c r="A1561" s="11"/>
      <c r="B1561" s="11"/>
      <c r="C1561" s="11"/>
      <c r="D1561" s="11"/>
      <c r="E1561" s="12"/>
      <c r="F1561" s="13"/>
      <c r="G1561" s="13"/>
      <c r="H1561" s="13"/>
      <c r="I1561" s="11"/>
      <c r="J1561" s="11"/>
      <c r="K1561" s="11"/>
      <c r="L1561" s="11"/>
      <c r="M1561" s="15"/>
      <c r="N1561" s="15"/>
      <c r="O1561" s="15"/>
      <c r="P1561" s="15"/>
      <c r="Q1561" s="16"/>
      <c r="R1561" s="16"/>
      <c r="S1561" s="16"/>
      <c r="T1561" s="17"/>
      <c r="U1561" s="11"/>
      <c r="V1561" s="16"/>
      <c r="W1561" s="11"/>
      <c r="X1561" s="11"/>
      <c r="Y1561" s="15"/>
      <c r="Z1561" s="11"/>
    </row>
    <row r="1562" spans="1:26" x14ac:dyDescent="0.25">
      <c r="A1562" s="11"/>
      <c r="B1562" s="11"/>
      <c r="C1562" s="11"/>
      <c r="D1562" s="11"/>
      <c r="E1562" s="12"/>
      <c r="F1562" s="13"/>
      <c r="G1562" s="13"/>
      <c r="H1562" s="13"/>
      <c r="I1562" s="11"/>
      <c r="J1562" s="11"/>
      <c r="K1562" s="11"/>
      <c r="L1562" s="11"/>
      <c r="M1562" s="15"/>
      <c r="N1562" s="15"/>
      <c r="O1562" s="15"/>
      <c r="P1562" s="15"/>
      <c r="Q1562" s="16"/>
      <c r="R1562" s="16"/>
      <c r="S1562" s="16"/>
      <c r="T1562" s="17"/>
      <c r="U1562" s="11"/>
      <c r="V1562" s="16"/>
      <c r="W1562" s="11"/>
      <c r="X1562" s="11"/>
      <c r="Y1562" s="15"/>
      <c r="Z1562" s="11"/>
    </row>
    <row r="1563" spans="1:26" x14ac:dyDescent="0.25">
      <c r="A1563" s="11"/>
      <c r="B1563" s="11"/>
      <c r="C1563" s="11"/>
      <c r="D1563" s="11"/>
      <c r="E1563" s="12"/>
      <c r="F1563" s="13"/>
      <c r="G1563" s="13"/>
      <c r="H1563" s="13"/>
      <c r="I1563" s="11"/>
      <c r="J1563" s="11"/>
      <c r="K1563" s="11"/>
      <c r="L1563" s="11"/>
      <c r="M1563" s="15"/>
      <c r="N1563" s="15"/>
      <c r="O1563" s="15"/>
      <c r="P1563" s="15"/>
      <c r="Q1563" s="16"/>
      <c r="R1563" s="16"/>
      <c r="S1563" s="16"/>
      <c r="T1563" s="17"/>
      <c r="U1563" s="11"/>
      <c r="V1563" s="16"/>
      <c r="W1563" s="11"/>
      <c r="X1563" s="11"/>
      <c r="Y1563" s="15"/>
      <c r="Z1563" s="11"/>
    </row>
    <row r="1564" spans="1:26" x14ac:dyDescent="0.25">
      <c r="A1564" s="11"/>
      <c r="B1564" s="11"/>
      <c r="C1564" s="11"/>
      <c r="D1564" s="11"/>
      <c r="E1564" s="12"/>
      <c r="F1564" s="13"/>
      <c r="G1564" s="13"/>
      <c r="H1564" s="13"/>
      <c r="I1564" s="11"/>
      <c r="J1564" s="11"/>
      <c r="K1564" s="11"/>
      <c r="L1564" s="11"/>
      <c r="M1564" s="15"/>
      <c r="N1564" s="15"/>
      <c r="O1564" s="15"/>
      <c r="P1564" s="15"/>
      <c r="Q1564" s="16"/>
      <c r="R1564" s="16"/>
      <c r="S1564" s="16"/>
      <c r="T1564" s="17"/>
      <c r="U1564" s="11"/>
      <c r="V1564" s="16"/>
      <c r="W1564" s="11"/>
      <c r="X1564" s="11"/>
      <c r="Y1564" s="15"/>
      <c r="Z1564" s="11"/>
    </row>
    <row r="1565" spans="1:26" x14ac:dyDescent="0.25">
      <c r="A1565" s="18"/>
      <c r="B1565" s="18"/>
      <c r="C1565" s="18"/>
      <c r="D1565" s="18"/>
      <c r="E1565" s="19"/>
      <c r="F1565" s="20"/>
      <c r="G1565" s="13"/>
      <c r="H1565" s="20"/>
      <c r="I1565" s="18"/>
      <c r="J1565" s="18"/>
      <c r="K1565" s="18"/>
      <c r="L1565" s="18"/>
      <c r="M1565" s="21"/>
      <c r="N1565" s="21"/>
      <c r="O1565" s="21"/>
      <c r="P1565" s="21"/>
      <c r="Q1565" s="22"/>
      <c r="R1565" s="19"/>
      <c r="S1565" s="22"/>
      <c r="T1565" s="23"/>
      <c r="U1565" s="18"/>
      <c r="V1565" s="22"/>
      <c r="W1565" s="18"/>
      <c r="X1565" s="18"/>
      <c r="Y1565" s="21"/>
      <c r="Z1565" s="18"/>
    </row>
    <row r="1566" spans="1:26" x14ac:dyDescent="0.25">
      <c r="A1566" s="11"/>
      <c r="B1566" s="11"/>
      <c r="C1566" s="11"/>
      <c r="D1566" s="11"/>
      <c r="E1566" s="12"/>
      <c r="F1566" s="13"/>
      <c r="G1566" s="13"/>
      <c r="H1566" s="13"/>
      <c r="I1566" s="11"/>
      <c r="J1566" s="11"/>
      <c r="K1566" s="11"/>
      <c r="L1566" s="11"/>
      <c r="M1566" s="15"/>
      <c r="N1566" s="15"/>
      <c r="O1566" s="15"/>
      <c r="P1566" s="15"/>
      <c r="Q1566" s="16"/>
      <c r="R1566" s="16"/>
      <c r="S1566" s="16"/>
      <c r="T1566" s="17"/>
      <c r="U1566" s="11"/>
      <c r="V1566" s="16"/>
      <c r="W1566" s="11"/>
      <c r="X1566" s="11"/>
      <c r="Y1566" s="15"/>
      <c r="Z1566" s="11"/>
    </row>
    <row r="1567" spans="1:26" x14ac:dyDescent="0.25">
      <c r="A1567" s="11"/>
      <c r="B1567" s="11"/>
      <c r="C1567" s="11"/>
      <c r="D1567" s="11"/>
      <c r="E1567" s="12"/>
      <c r="F1567" s="13"/>
      <c r="G1567" s="13"/>
      <c r="H1567" s="13"/>
      <c r="I1567" s="11"/>
      <c r="J1567" s="11"/>
      <c r="K1567" s="11"/>
      <c r="L1567" s="11"/>
      <c r="M1567" s="15"/>
      <c r="N1567" s="15"/>
      <c r="O1567" s="15"/>
      <c r="P1567" s="15"/>
      <c r="Q1567" s="16"/>
      <c r="R1567" s="16"/>
      <c r="S1567" s="16"/>
      <c r="T1567" s="17"/>
      <c r="U1567" s="11"/>
      <c r="V1567" s="16"/>
      <c r="W1567" s="11"/>
      <c r="X1567" s="11"/>
      <c r="Y1567" s="15"/>
      <c r="Z1567" s="11"/>
    </row>
    <row r="1568" spans="1:26" x14ac:dyDescent="0.25">
      <c r="A1568" s="11"/>
      <c r="B1568" s="11"/>
      <c r="C1568" s="11"/>
      <c r="D1568" s="11"/>
      <c r="E1568" s="12"/>
      <c r="F1568" s="13"/>
      <c r="G1568" s="13"/>
      <c r="H1568" s="13"/>
      <c r="I1568" s="11"/>
      <c r="J1568" s="11"/>
      <c r="K1568" s="11"/>
      <c r="L1568" s="11"/>
      <c r="M1568" s="15"/>
      <c r="N1568" s="15"/>
      <c r="O1568" s="15"/>
      <c r="P1568" s="15"/>
      <c r="Q1568" s="16"/>
      <c r="R1568" s="16"/>
      <c r="S1568" s="16"/>
      <c r="T1568" s="17"/>
      <c r="U1568" s="11"/>
      <c r="V1568" s="16"/>
      <c r="W1568" s="11"/>
      <c r="X1568" s="11"/>
      <c r="Y1568" s="15"/>
      <c r="Z1568" s="11"/>
    </row>
    <row r="1569" spans="1:26" x14ac:dyDescent="0.25">
      <c r="A1569" s="11"/>
      <c r="B1569" s="11"/>
      <c r="C1569" s="11"/>
      <c r="D1569" s="11"/>
      <c r="E1569" s="12"/>
      <c r="F1569" s="13"/>
      <c r="G1569" s="13"/>
      <c r="H1569" s="13"/>
      <c r="I1569" s="11"/>
      <c r="J1569" s="11"/>
      <c r="K1569" s="11"/>
      <c r="L1569" s="11"/>
      <c r="M1569" s="15"/>
      <c r="N1569" s="15"/>
      <c r="O1569" s="15"/>
      <c r="P1569" s="15"/>
      <c r="Q1569" s="16"/>
      <c r="R1569" s="16"/>
      <c r="S1569" s="16"/>
      <c r="T1569" s="17"/>
      <c r="U1569" s="11"/>
      <c r="V1569" s="16"/>
      <c r="W1569" s="11"/>
      <c r="X1569" s="11"/>
      <c r="Y1569" s="15"/>
      <c r="Z1569" s="11"/>
    </row>
    <row r="1570" spans="1:26" x14ac:dyDescent="0.25">
      <c r="A1570" s="11"/>
      <c r="B1570" s="11"/>
      <c r="C1570" s="11"/>
      <c r="D1570" s="11"/>
      <c r="E1570" s="12"/>
      <c r="F1570" s="13"/>
      <c r="G1570" s="13"/>
      <c r="H1570" s="13"/>
      <c r="I1570" s="11"/>
      <c r="J1570" s="11"/>
      <c r="K1570" s="11"/>
      <c r="L1570" s="11"/>
      <c r="M1570" s="15"/>
      <c r="N1570" s="15"/>
      <c r="O1570" s="15"/>
      <c r="P1570" s="15"/>
      <c r="Q1570" s="16"/>
      <c r="R1570" s="16"/>
      <c r="S1570" s="16"/>
      <c r="T1570" s="17"/>
      <c r="U1570" s="11"/>
      <c r="V1570" s="16"/>
      <c r="W1570" s="11"/>
      <c r="X1570" s="11"/>
      <c r="Y1570" s="15"/>
      <c r="Z1570" s="11"/>
    </row>
    <row r="1571" spans="1:26" x14ac:dyDescent="0.25">
      <c r="A1571" s="11"/>
      <c r="B1571" s="11"/>
      <c r="C1571" s="11"/>
      <c r="D1571" s="11"/>
      <c r="E1571" s="12"/>
      <c r="F1571" s="13"/>
      <c r="G1571" s="13"/>
      <c r="H1571" s="13"/>
      <c r="I1571" s="11"/>
      <c r="J1571" s="11"/>
      <c r="K1571" s="11"/>
      <c r="L1571" s="11"/>
      <c r="M1571" s="15"/>
      <c r="N1571" s="15"/>
      <c r="O1571" s="15"/>
      <c r="P1571" s="15"/>
      <c r="Q1571" s="16"/>
      <c r="R1571" s="16"/>
      <c r="S1571" s="16"/>
      <c r="T1571" s="17"/>
      <c r="U1571" s="11"/>
      <c r="V1571" s="16"/>
      <c r="W1571" s="11"/>
      <c r="X1571" s="11"/>
      <c r="Y1571" s="15"/>
      <c r="Z1571" s="11"/>
    </row>
    <row r="1572" spans="1:26" x14ac:dyDescent="0.25">
      <c r="A1572" s="11"/>
      <c r="B1572" s="11"/>
      <c r="C1572" s="11"/>
      <c r="D1572" s="11"/>
      <c r="E1572" s="12"/>
      <c r="F1572" s="13"/>
      <c r="G1572" s="13"/>
      <c r="H1572" s="13"/>
      <c r="I1572" s="11"/>
      <c r="J1572" s="11"/>
      <c r="K1572" s="11"/>
      <c r="L1572" s="11"/>
      <c r="M1572" s="15"/>
      <c r="N1572" s="15"/>
      <c r="O1572" s="15"/>
      <c r="P1572" s="15"/>
      <c r="Q1572" s="16"/>
      <c r="R1572" s="16"/>
      <c r="S1572" s="16"/>
      <c r="T1572" s="17"/>
      <c r="U1572" s="11"/>
      <c r="V1572" s="16"/>
      <c r="W1572" s="11"/>
      <c r="X1572" s="11"/>
      <c r="Y1572" s="15"/>
      <c r="Z1572" s="11"/>
    </row>
    <row r="1573" spans="1:26" x14ac:dyDescent="0.25">
      <c r="A1573" s="11"/>
      <c r="B1573" s="11"/>
      <c r="C1573" s="11"/>
      <c r="D1573" s="11"/>
      <c r="E1573" s="12"/>
      <c r="F1573" s="13"/>
      <c r="G1573" s="13"/>
      <c r="H1573" s="13"/>
      <c r="I1573" s="11"/>
      <c r="J1573" s="11"/>
      <c r="K1573" s="11"/>
      <c r="L1573" s="11"/>
      <c r="M1573" s="15"/>
      <c r="N1573" s="15"/>
      <c r="O1573" s="15"/>
      <c r="P1573" s="15"/>
      <c r="Q1573" s="16"/>
      <c r="R1573" s="16"/>
      <c r="S1573" s="16"/>
      <c r="T1573" s="17"/>
      <c r="U1573" s="11"/>
      <c r="V1573" s="16"/>
      <c r="W1573" s="11"/>
      <c r="X1573" s="11"/>
      <c r="Y1573" s="15"/>
      <c r="Z1573" s="11"/>
    </row>
    <row r="1574" spans="1:26" x14ac:dyDescent="0.25">
      <c r="A1574" s="11"/>
      <c r="B1574" s="11"/>
      <c r="C1574" s="11"/>
      <c r="D1574" s="11"/>
      <c r="E1574" s="12"/>
      <c r="F1574" s="13"/>
      <c r="G1574" s="13"/>
      <c r="H1574" s="13"/>
      <c r="I1574" s="11"/>
      <c r="J1574" s="11"/>
      <c r="K1574" s="11"/>
      <c r="L1574" s="11"/>
      <c r="M1574" s="15"/>
      <c r="N1574" s="15"/>
      <c r="O1574" s="15"/>
      <c r="P1574" s="15"/>
      <c r="Q1574" s="16"/>
      <c r="R1574" s="16"/>
      <c r="S1574" s="16"/>
      <c r="T1574" s="17"/>
      <c r="U1574" s="11"/>
      <c r="V1574" s="16"/>
      <c r="W1574" s="11"/>
      <c r="X1574" s="11"/>
      <c r="Y1574" s="15"/>
      <c r="Z1574" s="11"/>
    </row>
    <row r="1575" spans="1:26" x14ac:dyDescent="0.25">
      <c r="A1575" s="11"/>
      <c r="B1575" s="11"/>
      <c r="C1575" s="11"/>
      <c r="D1575" s="11"/>
      <c r="E1575" s="12"/>
      <c r="F1575" s="13"/>
      <c r="G1575" s="13"/>
      <c r="H1575" s="13"/>
      <c r="I1575" s="11"/>
      <c r="J1575" s="11"/>
      <c r="K1575" s="11"/>
      <c r="L1575" s="11"/>
      <c r="M1575" s="15"/>
      <c r="N1575" s="15"/>
      <c r="O1575" s="15"/>
      <c r="P1575" s="15"/>
      <c r="Q1575" s="16"/>
      <c r="R1575" s="16"/>
      <c r="S1575" s="16"/>
      <c r="T1575" s="17"/>
      <c r="U1575" s="11"/>
      <c r="V1575" s="16"/>
      <c r="W1575" s="11"/>
      <c r="X1575" s="11"/>
      <c r="Y1575" s="15"/>
      <c r="Z1575" s="11"/>
    </row>
    <row r="1576" spans="1:26" x14ac:dyDescent="0.25">
      <c r="A1576" s="18"/>
      <c r="B1576" s="18"/>
      <c r="C1576" s="18"/>
      <c r="D1576" s="18"/>
      <c r="E1576" s="19"/>
      <c r="F1576" s="20"/>
      <c r="G1576" s="13"/>
      <c r="H1576" s="20"/>
      <c r="I1576" s="18"/>
      <c r="J1576" s="18"/>
      <c r="K1576" s="18"/>
      <c r="L1576" s="18"/>
      <c r="M1576" s="21"/>
      <c r="N1576" s="21"/>
      <c r="O1576" s="21"/>
      <c r="P1576" s="21"/>
      <c r="Q1576" s="22"/>
      <c r="R1576" s="19"/>
      <c r="S1576" s="22"/>
      <c r="T1576" s="23"/>
      <c r="U1576" s="18"/>
      <c r="V1576" s="22"/>
      <c r="W1576" s="18"/>
      <c r="X1576" s="18"/>
      <c r="Y1576" s="21"/>
      <c r="Z1576" s="18"/>
    </row>
    <row r="1577" spans="1:26" x14ac:dyDescent="0.25">
      <c r="A1577" s="11"/>
      <c r="B1577" s="11"/>
      <c r="C1577" s="11"/>
      <c r="D1577" s="11"/>
      <c r="E1577" s="12"/>
      <c r="F1577" s="13"/>
      <c r="G1577" s="13"/>
      <c r="H1577" s="13"/>
      <c r="I1577" s="11"/>
      <c r="J1577" s="11"/>
      <c r="K1577" s="11"/>
      <c r="L1577" s="11"/>
      <c r="M1577" s="15"/>
      <c r="N1577" s="15"/>
      <c r="O1577" s="15"/>
      <c r="P1577" s="15"/>
      <c r="Q1577" s="16"/>
      <c r="R1577" s="16"/>
      <c r="S1577" s="16"/>
      <c r="T1577" s="17"/>
      <c r="U1577" s="11"/>
      <c r="V1577" s="16"/>
      <c r="W1577" s="11"/>
      <c r="X1577" s="11"/>
      <c r="Y1577" s="15"/>
      <c r="Z1577" s="11"/>
    </row>
    <row r="1578" spans="1:26" x14ac:dyDescent="0.25">
      <c r="A1578" s="11"/>
      <c r="B1578" s="11"/>
      <c r="C1578" s="11"/>
      <c r="D1578" s="11"/>
      <c r="E1578" s="12"/>
      <c r="F1578" s="13"/>
      <c r="G1578" s="13"/>
      <c r="H1578" s="13"/>
      <c r="I1578" s="11"/>
      <c r="J1578" s="11"/>
      <c r="K1578" s="11"/>
      <c r="L1578" s="11"/>
      <c r="M1578" s="15"/>
      <c r="N1578" s="15"/>
      <c r="O1578" s="15"/>
      <c r="P1578" s="15"/>
      <c r="Q1578" s="16"/>
      <c r="R1578" s="16"/>
      <c r="S1578" s="16"/>
      <c r="T1578" s="17"/>
      <c r="U1578" s="11"/>
      <c r="V1578" s="16"/>
      <c r="W1578" s="11"/>
      <c r="X1578" s="11"/>
      <c r="Y1578" s="15"/>
      <c r="Z1578" s="11"/>
    </row>
    <row r="1579" spans="1:26" x14ac:dyDescent="0.25">
      <c r="A1579" s="11"/>
      <c r="B1579" s="11"/>
      <c r="C1579" s="11"/>
      <c r="D1579" s="11"/>
      <c r="E1579" s="12"/>
      <c r="F1579" s="13"/>
      <c r="G1579" s="13"/>
      <c r="H1579" s="13"/>
      <c r="I1579" s="11"/>
      <c r="J1579" s="11"/>
      <c r="K1579" s="11"/>
      <c r="L1579" s="11"/>
      <c r="M1579" s="15"/>
      <c r="N1579" s="15"/>
      <c r="O1579" s="15"/>
      <c r="P1579" s="15"/>
      <c r="Q1579" s="16"/>
      <c r="R1579" s="16"/>
      <c r="S1579" s="16"/>
      <c r="T1579" s="17"/>
      <c r="U1579" s="11"/>
      <c r="V1579" s="16"/>
      <c r="W1579" s="11"/>
      <c r="X1579" s="11"/>
      <c r="Y1579" s="15"/>
      <c r="Z1579" s="11"/>
    </row>
    <row r="1580" spans="1:26" x14ac:dyDescent="0.25">
      <c r="A1580" s="11"/>
      <c r="B1580" s="11"/>
      <c r="C1580" s="11"/>
      <c r="D1580" s="11"/>
      <c r="E1580" s="12"/>
      <c r="F1580" s="13"/>
      <c r="G1580" s="13"/>
      <c r="H1580" s="13"/>
      <c r="I1580" s="11"/>
      <c r="J1580" s="11"/>
      <c r="K1580" s="11"/>
      <c r="L1580" s="11"/>
      <c r="M1580" s="15"/>
      <c r="N1580" s="15"/>
      <c r="O1580" s="15"/>
      <c r="P1580" s="15"/>
      <c r="Q1580" s="16"/>
      <c r="R1580" s="16"/>
      <c r="S1580" s="16"/>
      <c r="T1580" s="17"/>
      <c r="U1580" s="11"/>
      <c r="V1580" s="16"/>
      <c r="W1580" s="11"/>
      <c r="X1580" s="11"/>
      <c r="Y1580" s="15"/>
      <c r="Z1580" s="11"/>
    </row>
    <row r="1581" spans="1:26" x14ac:dyDescent="0.25">
      <c r="A1581" s="11"/>
      <c r="B1581" s="11"/>
      <c r="C1581" s="11"/>
      <c r="D1581" s="11"/>
      <c r="E1581" s="12"/>
      <c r="F1581" s="13"/>
      <c r="G1581" s="13"/>
      <c r="H1581" s="13"/>
      <c r="I1581" s="11"/>
      <c r="J1581" s="11"/>
      <c r="K1581" s="11"/>
      <c r="L1581" s="11"/>
      <c r="M1581" s="15"/>
      <c r="N1581" s="15"/>
      <c r="O1581" s="15"/>
      <c r="P1581" s="15"/>
      <c r="Q1581" s="16"/>
      <c r="R1581" s="16"/>
      <c r="S1581" s="16"/>
      <c r="T1581" s="17"/>
      <c r="U1581" s="11"/>
      <c r="V1581" s="16"/>
      <c r="W1581" s="11"/>
      <c r="X1581" s="11"/>
      <c r="Y1581" s="15"/>
      <c r="Z1581" s="11"/>
    </row>
    <row r="1582" spans="1:26" x14ac:dyDescent="0.25">
      <c r="A1582" s="11"/>
      <c r="B1582" s="11"/>
      <c r="C1582" s="11"/>
      <c r="D1582" s="11"/>
      <c r="E1582" s="12"/>
      <c r="F1582" s="13"/>
      <c r="G1582" s="13"/>
      <c r="H1582" s="13"/>
      <c r="I1582" s="11"/>
      <c r="J1582" s="11"/>
      <c r="K1582" s="11"/>
      <c r="L1582" s="11"/>
      <c r="M1582" s="15"/>
      <c r="N1582" s="15"/>
      <c r="O1582" s="15"/>
      <c r="P1582" s="15"/>
      <c r="Q1582" s="16"/>
      <c r="R1582" s="16"/>
      <c r="S1582" s="16"/>
      <c r="T1582" s="17"/>
      <c r="U1582" s="11"/>
      <c r="V1582" s="16"/>
      <c r="W1582" s="11"/>
      <c r="X1582" s="11"/>
      <c r="Y1582" s="15"/>
      <c r="Z1582" s="11"/>
    </row>
    <row r="1583" spans="1:26" x14ac:dyDescent="0.25">
      <c r="A1583" s="11"/>
      <c r="B1583" s="11"/>
      <c r="C1583" s="11"/>
      <c r="D1583" s="11"/>
      <c r="E1583" s="12"/>
      <c r="F1583" s="13"/>
      <c r="G1583" s="13"/>
      <c r="H1583" s="13"/>
      <c r="I1583" s="11"/>
      <c r="J1583" s="11"/>
      <c r="K1583" s="11"/>
      <c r="L1583" s="11"/>
      <c r="M1583" s="15"/>
      <c r="N1583" s="15"/>
      <c r="O1583" s="15"/>
      <c r="P1583" s="15"/>
      <c r="Q1583" s="16"/>
      <c r="R1583" s="16"/>
      <c r="S1583" s="16"/>
      <c r="T1583" s="17"/>
      <c r="U1583" s="11"/>
      <c r="V1583" s="16"/>
      <c r="W1583" s="11"/>
      <c r="X1583" s="11"/>
      <c r="Y1583" s="15"/>
      <c r="Z1583" s="11"/>
    </row>
    <row r="1584" spans="1:26" x14ac:dyDescent="0.25">
      <c r="A1584" s="19"/>
      <c r="B1584" s="19"/>
      <c r="C1584" s="19"/>
      <c r="D1584" s="19"/>
      <c r="E1584" s="19"/>
      <c r="F1584" s="20"/>
      <c r="G1584" s="13"/>
      <c r="H1584" s="20"/>
      <c r="I1584" s="19"/>
      <c r="J1584" s="19"/>
      <c r="K1584" s="19"/>
      <c r="L1584" s="19"/>
      <c r="M1584" s="21"/>
      <c r="N1584" s="21"/>
      <c r="O1584" s="21"/>
      <c r="P1584" s="21"/>
      <c r="Q1584" s="22"/>
      <c r="R1584" s="19"/>
      <c r="S1584" s="22"/>
      <c r="T1584" s="23"/>
      <c r="U1584" s="19"/>
      <c r="V1584" s="22"/>
      <c r="W1584" s="19"/>
      <c r="X1584" s="19"/>
      <c r="Y1584" s="21"/>
      <c r="Z1584" s="19"/>
    </row>
    <row r="1585" spans="1:26" x14ac:dyDescent="0.25">
      <c r="A1585" s="11"/>
      <c r="B1585" s="11"/>
      <c r="C1585" s="11"/>
      <c r="D1585" s="11"/>
      <c r="E1585" s="12"/>
      <c r="F1585" s="13"/>
      <c r="G1585" s="13"/>
      <c r="H1585" s="13"/>
      <c r="I1585" s="11"/>
      <c r="J1585" s="11"/>
      <c r="K1585" s="11"/>
      <c r="L1585" s="11"/>
      <c r="M1585" s="15"/>
      <c r="N1585" s="15"/>
      <c r="O1585" s="15"/>
      <c r="P1585" s="15"/>
      <c r="Q1585" s="16"/>
      <c r="R1585" s="16"/>
      <c r="S1585" s="16"/>
      <c r="T1585" s="17"/>
      <c r="U1585" s="11"/>
      <c r="V1585" s="16"/>
      <c r="W1585" s="11"/>
      <c r="X1585" s="11"/>
      <c r="Y1585" s="15"/>
      <c r="Z1585" s="11"/>
    </row>
    <row r="1586" spans="1:26" x14ac:dyDescent="0.25">
      <c r="A1586" s="11"/>
      <c r="B1586" s="11"/>
      <c r="C1586" s="11"/>
      <c r="D1586" s="11"/>
      <c r="E1586" s="12"/>
      <c r="F1586" s="13"/>
      <c r="G1586" s="13"/>
      <c r="H1586" s="13"/>
      <c r="I1586" s="11"/>
      <c r="J1586" s="11"/>
      <c r="K1586" s="11"/>
      <c r="L1586" s="11"/>
      <c r="M1586" s="15"/>
      <c r="N1586" s="15"/>
      <c r="O1586" s="15"/>
      <c r="P1586" s="15"/>
      <c r="Q1586" s="16"/>
      <c r="R1586" s="16"/>
      <c r="S1586" s="16"/>
      <c r="T1586" s="17"/>
      <c r="U1586" s="11"/>
      <c r="V1586" s="16"/>
      <c r="W1586" s="11"/>
      <c r="X1586" s="11"/>
      <c r="Y1586" s="15"/>
      <c r="Z1586" s="11"/>
    </row>
    <row r="1587" spans="1:26" x14ac:dyDescent="0.25">
      <c r="A1587" s="11"/>
      <c r="B1587" s="11"/>
      <c r="C1587" s="11"/>
      <c r="D1587" s="11"/>
      <c r="E1587" s="12"/>
      <c r="F1587" s="13"/>
      <c r="G1587" s="13"/>
      <c r="H1587" s="13"/>
      <c r="I1587" s="11"/>
      <c r="J1587" s="11"/>
      <c r="K1587" s="11"/>
      <c r="L1587" s="11"/>
      <c r="M1587" s="15"/>
      <c r="N1587" s="15"/>
      <c r="O1587" s="15"/>
      <c r="P1587" s="15"/>
      <c r="Q1587" s="16"/>
      <c r="R1587" s="16"/>
      <c r="S1587" s="16"/>
      <c r="T1587" s="17"/>
      <c r="U1587" s="11"/>
      <c r="V1587" s="16"/>
      <c r="W1587" s="11"/>
      <c r="X1587" s="11"/>
      <c r="Y1587" s="15"/>
      <c r="Z1587" s="11"/>
    </row>
    <row r="1588" spans="1:26" x14ac:dyDescent="0.25">
      <c r="A1588" s="11"/>
      <c r="B1588" s="11"/>
      <c r="C1588" s="11"/>
      <c r="D1588" s="11"/>
      <c r="E1588" s="12"/>
      <c r="F1588" s="13"/>
      <c r="G1588" s="13"/>
      <c r="H1588" s="13"/>
      <c r="I1588" s="11"/>
      <c r="J1588" s="11"/>
      <c r="K1588" s="11"/>
      <c r="L1588" s="11"/>
      <c r="M1588" s="15"/>
      <c r="N1588" s="15"/>
      <c r="O1588" s="15"/>
      <c r="P1588" s="15"/>
      <c r="Q1588" s="16"/>
      <c r="R1588" s="16"/>
      <c r="S1588" s="16"/>
      <c r="T1588" s="17"/>
      <c r="U1588" s="11"/>
      <c r="V1588" s="16"/>
      <c r="W1588" s="11"/>
      <c r="X1588" s="11"/>
      <c r="Y1588" s="15"/>
      <c r="Z1588" s="11"/>
    </row>
    <row r="1589" spans="1:26" x14ac:dyDescent="0.25">
      <c r="A1589" s="11"/>
      <c r="B1589" s="11"/>
      <c r="C1589" s="11"/>
      <c r="D1589" s="11"/>
      <c r="E1589" s="12"/>
      <c r="F1589" s="13"/>
      <c r="G1589" s="13"/>
      <c r="H1589" s="13"/>
      <c r="I1589" s="11"/>
      <c r="J1589" s="11"/>
      <c r="K1589" s="11"/>
      <c r="L1589" s="11"/>
      <c r="M1589" s="15"/>
      <c r="N1589" s="15"/>
      <c r="O1589" s="15"/>
      <c r="P1589" s="15"/>
      <c r="Q1589" s="16"/>
      <c r="R1589" s="16"/>
      <c r="S1589" s="16"/>
      <c r="T1589" s="17"/>
      <c r="U1589" s="11"/>
      <c r="V1589" s="16"/>
      <c r="W1589" s="11"/>
      <c r="X1589" s="11"/>
      <c r="Y1589" s="15"/>
      <c r="Z1589" s="11"/>
    </row>
    <row r="1590" spans="1:26" x14ac:dyDescent="0.25">
      <c r="A1590" s="11"/>
      <c r="B1590" s="11"/>
      <c r="C1590" s="11"/>
      <c r="D1590" s="11"/>
      <c r="E1590" s="12"/>
      <c r="F1590" s="13"/>
      <c r="G1590" s="13"/>
      <c r="H1590" s="13"/>
      <c r="I1590" s="11"/>
      <c r="J1590" s="11"/>
      <c r="K1590" s="11"/>
      <c r="L1590" s="11"/>
      <c r="M1590" s="15"/>
      <c r="N1590" s="15"/>
      <c r="O1590" s="15"/>
      <c r="P1590" s="15"/>
      <c r="Q1590" s="16"/>
      <c r="R1590" s="16"/>
      <c r="S1590" s="16"/>
      <c r="T1590" s="17"/>
      <c r="U1590" s="11"/>
      <c r="V1590" s="16"/>
      <c r="W1590" s="11"/>
      <c r="X1590" s="11"/>
      <c r="Y1590" s="15"/>
      <c r="Z1590" s="11"/>
    </row>
    <row r="1591" spans="1:26" x14ac:dyDescent="0.25">
      <c r="A1591" s="11"/>
      <c r="B1591" s="11"/>
      <c r="C1591" s="11"/>
      <c r="D1591" s="11"/>
      <c r="E1591" s="12"/>
      <c r="F1591" s="13"/>
      <c r="G1591" s="13"/>
      <c r="H1591" s="13"/>
      <c r="I1591" s="11"/>
      <c r="J1591" s="11"/>
      <c r="K1591" s="11"/>
      <c r="L1591" s="11"/>
      <c r="M1591" s="15"/>
      <c r="N1591" s="15"/>
      <c r="O1591" s="15"/>
      <c r="P1591" s="15"/>
      <c r="Q1591" s="16"/>
      <c r="R1591" s="16"/>
      <c r="S1591" s="16"/>
      <c r="T1591" s="17"/>
      <c r="U1591" s="11"/>
      <c r="V1591" s="16"/>
      <c r="W1591" s="11"/>
      <c r="X1591" s="11"/>
      <c r="Y1591" s="15"/>
      <c r="Z1591" s="11"/>
    </row>
    <row r="1592" spans="1:26" x14ac:dyDescent="0.25">
      <c r="A1592" s="11"/>
      <c r="B1592" s="11"/>
      <c r="C1592" s="11"/>
      <c r="D1592" s="11"/>
      <c r="E1592" s="12"/>
      <c r="F1592" s="13"/>
      <c r="G1592" s="13"/>
      <c r="H1592" s="13"/>
      <c r="I1592" s="11"/>
      <c r="J1592" s="11"/>
      <c r="K1592" s="11"/>
      <c r="L1592" s="11"/>
      <c r="M1592" s="15"/>
      <c r="N1592" s="15"/>
      <c r="O1592" s="15"/>
      <c r="P1592" s="15"/>
      <c r="Q1592" s="16"/>
      <c r="R1592" s="16"/>
      <c r="S1592" s="16"/>
      <c r="T1592" s="17"/>
      <c r="U1592" s="11"/>
      <c r="V1592" s="16"/>
      <c r="W1592" s="11"/>
      <c r="X1592" s="11"/>
      <c r="Y1592" s="15"/>
      <c r="Z1592" s="11"/>
    </row>
    <row r="1593" spans="1:26" x14ac:dyDescent="0.25">
      <c r="A1593" s="11"/>
      <c r="B1593" s="11"/>
      <c r="C1593" s="11"/>
      <c r="D1593" s="11"/>
      <c r="E1593" s="12"/>
      <c r="F1593" s="13"/>
      <c r="G1593" s="13"/>
      <c r="H1593" s="13"/>
      <c r="I1593" s="11"/>
      <c r="J1593" s="11"/>
      <c r="K1593" s="11"/>
      <c r="L1593" s="11"/>
      <c r="M1593" s="15"/>
      <c r="N1593" s="15"/>
      <c r="O1593" s="15"/>
      <c r="P1593" s="15"/>
      <c r="Q1593" s="16"/>
      <c r="R1593" s="16"/>
      <c r="S1593" s="16"/>
      <c r="T1593" s="17"/>
      <c r="U1593" s="11"/>
      <c r="V1593" s="16"/>
      <c r="W1593" s="11"/>
      <c r="X1593" s="11"/>
      <c r="Y1593" s="15"/>
      <c r="Z1593" s="11"/>
    </row>
    <row r="1594" spans="1:26" x14ac:dyDescent="0.25">
      <c r="A1594" s="11"/>
      <c r="B1594" s="11"/>
      <c r="C1594" s="11"/>
      <c r="D1594" s="11"/>
      <c r="E1594" s="12"/>
      <c r="F1594" s="13"/>
      <c r="G1594" s="13"/>
      <c r="H1594" s="13"/>
      <c r="I1594" s="11"/>
      <c r="J1594" s="11"/>
      <c r="K1594" s="11"/>
      <c r="L1594" s="11"/>
      <c r="M1594" s="15"/>
      <c r="N1594" s="15"/>
      <c r="O1594" s="15"/>
      <c r="P1594" s="15"/>
      <c r="Q1594" s="16"/>
      <c r="R1594" s="16"/>
      <c r="S1594" s="16"/>
      <c r="T1594" s="17"/>
      <c r="U1594" s="11"/>
      <c r="V1594" s="16"/>
      <c r="W1594" s="11"/>
      <c r="X1594" s="11"/>
      <c r="Y1594" s="15"/>
      <c r="Z1594" s="11"/>
    </row>
    <row r="1595" spans="1:26" x14ac:dyDescent="0.25">
      <c r="A1595" s="11"/>
      <c r="B1595" s="11"/>
      <c r="C1595" s="11"/>
      <c r="D1595" s="11"/>
      <c r="E1595" s="12"/>
      <c r="F1595" s="13"/>
      <c r="G1595" s="13"/>
      <c r="H1595" s="13"/>
      <c r="I1595" s="11"/>
      <c r="J1595" s="11"/>
      <c r="K1595" s="11"/>
      <c r="L1595" s="11"/>
      <c r="M1595" s="15"/>
      <c r="N1595" s="15"/>
      <c r="O1595" s="15"/>
      <c r="P1595" s="15"/>
      <c r="Q1595" s="16"/>
      <c r="R1595" s="16"/>
      <c r="S1595" s="16"/>
      <c r="T1595" s="17"/>
      <c r="U1595" s="11"/>
      <c r="V1595" s="16"/>
      <c r="W1595" s="11"/>
      <c r="X1595" s="11"/>
      <c r="Y1595" s="15"/>
      <c r="Z1595" s="11"/>
    </row>
    <row r="1596" spans="1:26" x14ac:dyDescent="0.25">
      <c r="A1596" s="11"/>
      <c r="B1596" s="11"/>
      <c r="C1596" s="11"/>
      <c r="D1596" s="11"/>
      <c r="E1596" s="12"/>
      <c r="F1596" s="13"/>
      <c r="G1596" s="13"/>
      <c r="H1596" s="13"/>
      <c r="I1596" s="11"/>
      <c r="J1596" s="11"/>
      <c r="K1596" s="11"/>
      <c r="L1596" s="11"/>
      <c r="M1596" s="15"/>
      <c r="N1596" s="15"/>
      <c r="O1596" s="15"/>
      <c r="P1596" s="15"/>
      <c r="Q1596" s="16"/>
      <c r="R1596" s="16"/>
      <c r="S1596" s="16"/>
      <c r="T1596" s="17"/>
      <c r="U1596" s="11"/>
      <c r="V1596" s="16"/>
      <c r="W1596" s="11"/>
      <c r="X1596" s="11"/>
      <c r="Y1596" s="15"/>
      <c r="Z1596" s="11"/>
    </row>
    <row r="1597" spans="1:26" x14ac:dyDescent="0.25">
      <c r="A1597" s="18"/>
      <c r="B1597" s="18"/>
      <c r="C1597" s="18"/>
      <c r="D1597" s="18"/>
      <c r="E1597" s="19"/>
      <c r="F1597" s="20"/>
      <c r="G1597" s="13"/>
      <c r="H1597" s="20"/>
      <c r="I1597" s="18"/>
      <c r="J1597" s="18"/>
      <c r="K1597" s="18"/>
      <c r="L1597" s="18"/>
      <c r="M1597" s="21"/>
      <c r="N1597" s="21"/>
      <c r="O1597" s="21"/>
      <c r="P1597" s="21"/>
      <c r="Q1597" s="22"/>
      <c r="R1597" s="19"/>
      <c r="S1597" s="22"/>
      <c r="T1597" s="23"/>
      <c r="U1597" s="18"/>
      <c r="V1597" s="22"/>
      <c r="W1597" s="18"/>
      <c r="X1597" s="18"/>
      <c r="Y1597" s="21"/>
      <c r="Z1597" s="18"/>
    </row>
    <row r="1598" spans="1:26" x14ac:dyDescent="0.25">
      <c r="A1598" s="11"/>
      <c r="B1598" s="11"/>
      <c r="C1598" s="11"/>
      <c r="D1598" s="11"/>
      <c r="E1598" s="12"/>
      <c r="F1598" s="13"/>
      <c r="G1598" s="13"/>
      <c r="H1598" s="13"/>
      <c r="I1598" s="11"/>
      <c r="J1598" s="11"/>
      <c r="K1598" s="11"/>
      <c r="L1598" s="11"/>
      <c r="M1598" s="15"/>
      <c r="N1598" s="15"/>
      <c r="O1598" s="15"/>
      <c r="P1598" s="15"/>
      <c r="Q1598" s="16"/>
      <c r="R1598" s="16"/>
      <c r="S1598" s="16"/>
      <c r="T1598" s="17"/>
      <c r="U1598" s="11"/>
      <c r="V1598" s="16"/>
      <c r="W1598" s="11"/>
      <c r="X1598" s="11"/>
      <c r="Y1598" s="15"/>
      <c r="Z1598" s="11"/>
    </row>
    <row r="1599" spans="1:26" x14ac:dyDescent="0.25">
      <c r="A1599" s="11"/>
      <c r="B1599" s="11"/>
      <c r="C1599" s="11"/>
      <c r="D1599" s="11"/>
      <c r="E1599" s="12"/>
      <c r="F1599" s="13"/>
      <c r="G1599" s="13"/>
      <c r="H1599" s="13"/>
      <c r="I1599" s="11"/>
      <c r="J1599" s="11"/>
      <c r="K1599" s="11"/>
      <c r="L1599" s="11"/>
      <c r="M1599" s="15"/>
      <c r="N1599" s="15"/>
      <c r="O1599" s="15"/>
      <c r="P1599" s="15"/>
      <c r="Q1599" s="16"/>
      <c r="R1599" s="16"/>
      <c r="S1599" s="16"/>
      <c r="T1599" s="17"/>
      <c r="U1599" s="11"/>
      <c r="V1599" s="16"/>
      <c r="W1599" s="11"/>
      <c r="X1599" s="11"/>
      <c r="Y1599" s="15"/>
      <c r="Z1599" s="11"/>
    </row>
    <row r="1600" spans="1:26" x14ac:dyDescent="0.25">
      <c r="A1600" s="11"/>
      <c r="B1600" s="11"/>
      <c r="C1600" s="11"/>
      <c r="D1600" s="11"/>
      <c r="E1600" s="12"/>
      <c r="F1600" s="13"/>
      <c r="G1600" s="13"/>
      <c r="H1600" s="13"/>
      <c r="I1600" s="11"/>
      <c r="J1600" s="11"/>
      <c r="K1600" s="11"/>
      <c r="L1600" s="11"/>
      <c r="M1600" s="15"/>
      <c r="N1600" s="15"/>
      <c r="O1600" s="15"/>
      <c r="P1600" s="15"/>
      <c r="Q1600" s="16"/>
      <c r="R1600" s="16"/>
      <c r="S1600" s="16"/>
      <c r="T1600" s="17"/>
      <c r="U1600" s="11"/>
      <c r="V1600" s="16"/>
      <c r="W1600" s="11"/>
      <c r="X1600" s="11"/>
      <c r="Y1600" s="15"/>
      <c r="Z1600" s="11"/>
    </row>
    <row r="1601" spans="1:26" x14ac:dyDescent="0.25">
      <c r="A1601" s="11"/>
      <c r="B1601" s="11"/>
      <c r="C1601" s="11"/>
      <c r="D1601" s="11"/>
      <c r="E1601" s="12"/>
      <c r="F1601" s="13"/>
      <c r="G1601" s="13"/>
      <c r="H1601" s="13"/>
      <c r="I1601" s="11"/>
      <c r="J1601" s="11"/>
      <c r="K1601" s="11"/>
      <c r="L1601" s="11"/>
      <c r="M1601" s="15"/>
      <c r="N1601" s="15"/>
      <c r="O1601" s="15"/>
      <c r="P1601" s="15"/>
      <c r="Q1601" s="16"/>
      <c r="R1601" s="16"/>
      <c r="S1601" s="16"/>
      <c r="T1601" s="17"/>
      <c r="U1601" s="11"/>
      <c r="V1601" s="16"/>
      <c r="W1601" s="11"/>
      <c r="X1601" s="11"/>
      <c r="Y1601" s="15"/>
      <c r="Z1601" s="11"/>
    </row>
    <row r="1602" spans="1:26" x14ac:dyDescent="0.25">
      <c r="A1602" s="18"/>
      <c r="B1602" s="18"/>
      <c r="C1602" s="18"/>
      <c r="D1602" s="18"/>
      <c r="E1602" s="19"/>
      <c r="F1602" s="20"/>
      <c r="G1602" s="13"/>
      <c r="H1602" s="20"/>
      <c r="I1602" s="18"/>
      <c r="J1602" s="18"/>
      <c r="K1602" s="18"/>
      <c r="L1602" s="18"/>
      <c r="M1602" s="21"/>
      <c r="N1602" s="21"/>
      <c r="O1602" s="21"/>
      <c r="P1602" s="21"/>
      <c r="Q1602" s="22"/>
      <c r="R1602" s="19"/>
      <c r="S1602" s="22"/>
      <c r="T1602" s="23"/>
      <c r="U1602" s="18"/>
      <c r="V1602" s="22"/>
      <c r="W1602" s="18"/>
      <c r="X1602" s="18"/>
      <c r="Y1602" s="21"/>
      <c r="Z1602" s="18"/>
    </row>
    <row r="1603" spans="1:26" x14ac:dyDescent="0.25">
      <c r="A1603" s="19"/>
      <c r="B1603" s="19"/>
      <c r="C1603" s="19"/>
      <c r="D1603" s="19"/>
      <c r="E1603" s="19"/>
      <c r="F1603" s="20"/>
      <c r="G1603" s="13"/>
      <c r="H1603" s="20"/>
      <c r="I1603" s="19"/>
      <c r="J1603" s="19"/>
      <c r="K1603" s="19"/>
      <c r="L1603" s="19"/>
      <c r="M1603" s="21"/>
      <c r="N1603" s="21"/>
      <c r="O1603" s="21"/>
      <c r="P1603" s="21"/>
      <c r="Q1603" s="22"/>
      <c r="R1603" s="19"/>
      <c r="S1603" s="22"/>
      <c r="T1603" s="23"/>
      <c r="U1603" s="19"/>
      <c r="V1603" s="22"/>
      <c r="W1603" s="19"/>
      <c r="X1603" s="19"/>
      <c r="Y1603" s="21"/>
      <c r="Z1603" s="19"/>
    </row>
    <row r="1604" spans="1:26" x14ac:dyDescent="0.25">
      <c r="A1604" s="11"/>
      <c r="B1604" s="11"/>
      <c r="C1604" s="11"/>
      <c r="D1604" s="11"/>
      <c r="E1604" s="12"/>
      <c r="F1604" s="13"/>
      <c r="G1604" s="13"/>
      <c r="H1604" s="13"/>
      <c r="I1604" s="11"/>
      <c r="J1604" s="11"/>
      <c r="K1604" s="11"/>
      <c r="L1604" s="11"/>
      <c r="M1604" s="15"/>
      <c r="N1604" s="15"/>
      <c r="O1604" s="15"/>
      <c r="P1604" s="15"/>
      <c r="Q1604" s="16"/>
      <c r="R1604" s="16"/>
      <c r="S1604" s="16"/>
      <c r="T1604" s="17"/>
      <c r="U1604" s="11"/>
      <c r="V1604" s="16"/>
      <c r="W1604" s="11"/>
      <c r="X1604" s="11"/>
      <c r="Y1604" s="15"/>
      <c r="Z1604" s="11"/>
    </row>
    <row r="1605" spans="1:26" x14ac:dyDescent="0.25">
      <c r="A1605" s="11"/>
      <c r="B1605" s="11"/>
      <c r="C1605" s="11"/>
      <c r="D1605" s="11"/>
      <c r="E1605" s="12"/>
      <c r="F1605" s="13"/>
      <c r="G1605" s="13"/>
      <c r="H1605" s="13"/>
      <c r="I1605" s="11"/>
      <c r="J1605" s="11"/>
      <c r="K1605" s="11"/>
      <c r="L1605" s="11"/>
      <c r="M1605" s="15"/>
      <c r="N1605" s="15"/>
      <c r="O1605" s="15"/>
      <c r="P1605" s="15"/>
      <c r="Q1605" s="16"/>
      <c r="R1605" s="16"/>
      <c r="S1605" s="16"/>
      <c r="T1605" s="17"/>
      <c r="U1605" s="11"/>
      <c r="V1605" s="16"/>
      <c r="W1605" s="11"/>
      <c r="X1605" s="11"/>
      <c r="Y1605" s="15"/>
      <c r="Z1605" s="11"/>
    </row>
    <row r="1606" spans="1:26" x14ac:dyDescent="0.25">
      <c r="A1606" s="11"/>
      <c r="B1606" s="11"/>
      <c r="C1606" s="11"/>
      <c r="D1606" s="11"/>
      <c r="E1606" s="12"/>
      <c r="F1606" s="13"/>
      <c r="G1606" s="13"/>
      <c r="H1606" s="13"/>
      <c r="I1606" s="11"/>
      <c r="J1606" s="11"/>
      <c r="K1606" s="11"/>
      <c r="L1606" s="11"/>
      <c r="M1606" s="15"/>
      <c r="N1606" s="15"/>
      <c r="O1606" s="15"/>
      <c r="P1606" s="15"/>
      <c r="Q1606" s="16"/>
      <c r="R1606" s="16"/>
      <c r="S1606" s="16"/>
      <c r="T1606" s="17"/>
      <c r="U1606" s="11"/>
      <c r="V1606" s="16"/>
      <c r="W1606" s="11"/>
      <c r="X1606" s="11"/>
      <c r="Y1606" s="15"/>
      <c r="Z1606" s="11"/>
    </row>
    <row r="1607" spans="1:26" x14ac:dyDescent="0.25">
      <c r="A1607" s="11"/>
      <c r="B1607" s="11"/>
      <c r="C1607" s="11"/>
      <c r="D1607" s="11"/>
      <c r="E1607" s="12"/>
      <c r="F1607" s="13"/>
      <c r="G1607" s="13"/>
      <c r="H1607" s="13"/>
      <c r="I1607" s="11"/>
      <c r="J1607" s="11"/>
      <c r="K1607" s="11"/>
      <c r="L1607" s="11"/>
      <c r="M1607" s="15"/>
      <c r="N1607" s="15"/>
      <c r="O1607" s="15"/>
      <c r="P1607" s="15"/>
      <c r="Q1607" s="16"/>
      <c r="R1607" s="16"/>
      <c r="S1607" s="16"/>
      <c r="T1607" s="17"/>
      <c r="U1607" s="11"/>
      <c r="V1607" s="16"/>
      <c r="W1607" s="11"/>
      <c r="X1607" s="11"/>
      <c r="Y1607" s="15"/>
      <c r="Z1607" s="11"/>
    </row>
    <row r="1608" spans="1:26" x14ac:dyDescent="0.25">
      <c r="A1608" s="11"/>
      <c r="B1608" s="11"/>
      <c r="C1608" s="11"/>
      <c r="D1608" s="11"/>
      <c r="E1608" s="12"/>
      <c r="F1608" s="13"/>
      <c r="G1608" s="13"/>
      <c r="H1608" s="13"/>
      <c r="I1608" s="11"/>
      <c r="J1608" s="11"/>
      <c r="K1608" s="11"/>
      <c r="L1608" s="11"/>
      <c r="M1608" s="15"/>
      <c r="N1608" s="15"/>
      <c r="O1608" s="15"/>
      <c r="P1608" s="15"/>
      <c r="Q1608" s="16"/>
      <c r="R1608" s="16"/>
      <c r="S1608" s="16"/>
      <c r="T1608" s="17"/>
      <c r="U1608" s="11"/>
      <c r="V1608" s="16"/>
      <c r="W1608" s="11"/>
      <c r="X1608" s="11"/>
      <c r="Y1608" s="15"/>
      <c r="Z1608" s="11"/>
    </row>
    <row r="1609" spans="1:26" x14ac:dyDescent="0.25">
      <c r="A1609" s="11"/>
      <c r="B1609" s="11"/>
      <c r="C1609" s="11"/>
      <c r="D1609" s="11"/>
      <c r="E1609" s="12"/>
      <c r="F1609" s="13"/>
      <c r="G1609" s="13"/>
      <c r="H1609" s="13"/>
      <c r="I1609" s="11"/>
      <c r="J1609" s="11"/>
      <c r="K1609" s="11"/>
      <c r="L1609" s="11"/>
      <c r="M1609" s="15"/>
      <c r="N1609" s="15"/>
      <c r="O1609" s="15"/>
      <c r="P1609" s="15"/>
      <c r="Q1609" s="16"/>
      <c r="R1609" s="16"/>
      <c r="S1609" s="16"/>
      <c r="T1609" s="17"/>
      <c r="U1609" s="11"/>
      <c r="V1609" s="16"/>
      <c r="W1609" s="11"/>
      <c r="X1609" s="11"/>
      <c r="Y1609" s="15"/>
      <c r="Z1609" s="11"/>
    </row>
    <row r="1610" spans="1:26" x14ac:dyDescent="0.25">
      <c r="A1610" s="11"/>
      <c r="B1610" s="11"/>
      <c r="C1610" s="11"/>
      <c r="D1610" s="11"/>
      <c r="E1610" s="12"/>
      <c r="F1610" s="13"/>
      <c r="G1610" s="13"/>
      <c r="H1610" s="13"/>
      <c r="I1610" s="11"/>
      <c r="J1610" s="11"/>
      <c r="K1610" s="11"/>
      <c r="L1610" s="11"/>
      <c r="M1610" s="15"/>
      <c r="N1610" s="15"/>
      <c r="O1610" s="15"/>
      <c r="P1610" s="15"/>
      <c r="Q1610" s="16"/>
      <c r="R1610" s="16"/>
      <c r="S1610" s="16"/>
      <c r="T1610" s="17"/>
      <c r="U1610" s="11"/>
      <c r="V1610" s="16"/>
      <c r="W1610" s="11"/>
      <c r="X1610" s="11"/>
      <c r="Y1610" s="15"/>
      <c r="Z1610" s="11"/>
    </row>
    <row r="1611" spans="1:26" x14ac:dyDescent="0.25">
      <c r="A1611" s="11"/>
      <c r="B1611" s="11"/>
      <c r="C1611" s="11"/>
      <c r="D1611" s="11"/>
      <c r="E1611" s="12"/>
      <c r="F1611" s="13"/>
      <c r="G1611" s="13"/>
      <c r="H1611" s="13"/>
      <c r="I1611" s="11"/>
      <c r="J1611" s="11"/>
      <c r="K1611" s="11"/>
      <c r="L1611" s="11"/>
      <c r="M1611" s="15"/>
      <c r="N1611" s="15"/>
      <c r="O1611" s="15"/>
      <c r="P1611" s="15"/>
      <c r="Q1611" s="16"/>
      <c r="R1611" s="16"/>
      <c r="S1611" s="16"/>
      <c r="T1611" s="17"/>
      <c r="U1611" s="11"/>
      <c r="V1611" s="16"/>
      <c r="W1611" s="11"/>
      <c r="X1611" s="11"/>
      <c r="Y1611" s="15"/>
      <c r="Z1611" s="11"/>
    </row>
    <row r="1612" spans="1:26" x14ac:dyDescent="0.25">
      <c r="A1612" s="11"/>
      <c r="B1612" s="11"/>
      <c r="C1612" s="11"/>
      <c r="D1612" s="11"/>
      <c r="E1612" s="12"/>
      <c r="F1612" s="13"/>
      <c r="G1612" s="13"/>
      <c r="H1612" s="13"/>
      <c r="I1612" s="11"/>
      <c r="J1612" s="11"/>
      <c r="K1612" s="11"/>
      <c r="L1612" s="11"/>
      <c r="M1612" s="15"/>
      <c r="N1612" s="15"/>
      <c r="O1612" s="15"/>
      <c r="P1612" s="15"/>
      <c r="Q1612" s="16"/>
      <c r="R1612" s="16"/>
      <c r="S1612" s="16"/>
      <c r="T1612" s="17"/>
      <c r="U1612" s="11"/>
      <c r="V1612" s="16"/>
      <c r="W1612" s="11"/>
      <c r="X1612" s="11"/>
      <c r="Y1612" s="15"/>
      <c r="Z1612" s="11"/>
    </row>
    <row r="1613" spans="1:26" x14ac:dyDescent="0.25">
      <c r="A1613" s="11"/>
      <c r="B1613" s="11"/>
      <c r="C1613" s="11"/>
      <c r="D1613" s="11"/>
      <c r="E1613" s="12"/>
      <c r="F1613" s="13"/>
      <c r="G1613" s="13"/>
      <c r="H1613" s="13"/>
      <c r="I1613" s="11"/>
      <c r="J1613" s="11"/>
      <c r="K1613" s="11"/>
      <c r="L1613" s="11"/>
      <c r="M1613" s="15"/>
      <c r="N1613" s="15"/>
      <c r="O1613" s="15"/>
      <c r="P1613" s="15"/>
      <c r="Q1613" s="16"/>
      <c r="R1613" s="16"/>
      <c r="S1613" s="16"/>
      <c r="T1613" s="17"/>
      <c r="U1613" s="11"/>
      <c r="V1613" s="16"/>
      <c r="W1613" s="11"/>
      <c r="X1613" s="11"/>
      <c r="Y1613" s="15"/>
      <c r="Z1613" s="11"/>
    </row>
    <row r="1614" spans="1:26" x14ac:dyDescent="0.25">
      <c r="A1614" s="11"/>
      <c r="B1614" s="11"/>
      <c r="C1614" s="11"/>
      <c r="D1614" s="11"/>
      <c r="E1614" s="12"/>
      <c r="F1614" s="13"/>
      <c r="G1614" s="13"/>
      <c r="H1614" s="13"/>
      <c r="I1614" s="11"/>
      <c r="J1614" s="11"/>
      <c r="K1614" s="11"/>
      <c r="L1614" s="11"/>
      <c r="M1614" s="15"/>
      <c r="N1614" s="15"/>
      <c r="O1614" s="15"/>
      <c r="P1614" s="15"/>
      <c r="Q1614" s="16"/>
      <c r="R1614" s="16"/>
      <c r="S1614" s="16"/>
      <c r="T1614" s="17"/>
      <c r="U1614" s="11"/>
      <c r="V1614" s="16"/>
      <c r="W1614" s="11"/>
      <c r="X1614" s="11"/>
      <c r="Y1614" s="15"/>
      <c r="Z1614" s="11"/>
    </row>
    <row r="1615" spans="1:26" x14ac:dyDescent="0.25">
      <c r="A1615" s="11"/>
      <c r="B1615" s="11"/>
      <c r="C1615" s="11"/>
      <c r="D1615" s="11"/>
      <c r="E1615" s="12"/>
      <c r="F1615" s="13"/>
      <c r="G1615" s="13"/>
      <c r="H1615" s="13"/>
      <c r="I1615" s="11"/>
      <c r="J1615" s="11"/>
      <c r="K1615" s="11"/>
      <c r="L1615" s="11"/>
      <c r="M1615" s="15"/>
      <c r="N1615" s="15"/>
      <c r="O1615" s="15"/>
      <c r="P1615" s="15"/>
      <c r="Q1615" s="16"/>
      <c r="R1615" s="16"/>
      <c r="S1615" s="16"/>
      <c r="T1615" s="17"/>
      <c r="U1615" s="11"/>
      <c r="V1615" s="16"/>
      <c r="W1615" s="11"/>
      <c r="X1615" s="11"/>
      <c r="Y1615" s="15"/>
      <c r="Z1615" s="11"/>
    </row>
    <row r="1616" spans="1:26" x14ac:dyDescent="0.25">
      <c r="A1616" s="11"/>
      <c r="B1616" s="11"/>
      <c r="C1616" s="11"/>
      <c r="D1616" s="11"/>
      <c r="E1616" s="12"/>
      <c r="F1616" s="13"/>
      <c r="G1616" s="13"/>
      <c r="H1616" s="13"/>
      <c r="I1616" s="11"/>
      <c r="J1616" s="11"/>
      <c r="K1616" s="11"/>
      <c r="L1616" s="11"/>
      <c r="M1616" s="15"/>
      <c r="N1616" s="15"/>
      <c r="O1616" s="15"/>
      <c r="P1616" s="15"/>
      <c r="Q1616" s="16"/>
      <c r="R1616" s="16"/>
      <c r="S1616" s="16"/>
      <c r="T1616" s="17"/>
      <c r="U1616" s="11"/>
      <c r="V1616" s="16"/>
      <c r="W1616" s="11"/>
      <c r="X1616" s="11"/>
      <c r="Y1616" s="15"/>
      <c r="Z1616" s="11"/>
    </row>
    <row r="1617" spans="1:26" x14ac:dyDescent="0.25">
      <c r="A1617" s="11"/>
      <c r="B1617" s="11"/>
      <c r="C1617" s="11"/>
      <c r="D1617" s="11"/>
      <c r="E1617" s="12"/>
      <c r="F1617" s="13"/>
      <c r="G1617" s="13"/>
      <c r="H1617" s="13"/>
      <c r="I1617" s="11"/>
      <c r="J1617" s="11"/>
      <c r="K1617" s="11"/>
      <c r="L1617" s="11"/>
      <c r="M1617" s="15"/>
      <c r="N1617" s="15"/>
      <c r="O1617" s="15"/>
      <c r="P1617" s="15"/>
      <c r="Q1617" s="16"/>
      <c r="R1617" s="16"/>
      <c r="S1617" s="16"/>
      <c r="T1617" s="17"/>
      <c r="U1617" s="11"/>
      <c r="V1617" s="16"/>
      <c r="W1617" s="11"/>
      <c r="X1617" s="11"/>
      <c r="Y1617" s="15"/>
      <c r="Z1617" s="11"/>
    </row>
    <row r="1618" spans="1:26" x14ac:dyDescent="0.25">
      <c r="A1618" s="18"/>
      <c r="B1618" s="18"/>
      <c r="C1618" s="18"/>
      <c r="D1618" s="18"/>
      <c r="E1618" s="19"/>
      <c r="F1618" s="20"/>
      <c r="G1618" s="13"/>
      <c r="H1618" s="20"/>
      <c r="I1618" s="18"/>
      <c r="J1618" s="18"/>
      <c r="K1618" s="18"/>
      <c r="L1618" s="18"/>
      <c r="M1618" s="21"/>
      <c r="N1618" s="21"/>
      <c r="O1618" s="21"/>
      <c r="P1618" s="21"/>
      <c r="Q1618" s="22"/>
      <c r="R1618" s="19"/>
      <c r="S1618" s="22"/>
      <c r="T1618" s="23"/>
      <c r="U1618" s="18"/>
      <c r="V1618" s="22"/>
      <c r="W1618" s="18"/>
      <c r="X1618" s="18"/>
      <c r="Y1618" s="21"/>
      <c r="Z1618" s="18"/>
    </row>
    <row r="1619" spans="1:26" x14ac:dyDescent="0.25">
      <c r="A1619" s="18"/>
      <c r="B1619" s="18"/>
      <c r="C1619" s="18"/>
      <c r="D1619" s="18"/>
      <c r="E1619" s="19"/>
      <c r="F1619" s="20"/>
      <c r="G1619" s="13"/>
      <c r="H1619" s="20"/>
      <c r="I1619" s="18"/>
      <c r="J1619" s="18"/>
      <c r="K1619" s="18"/>
      <c r="L1619" s="18"/>
      <c r="M1619" s="21"/>
      <c r="N1619" s="21"/>
      <c r="O1619" s="21"/>
      <c r="P1619" s="21"/>
      <c r="Q1619" s="22"/>
      <c r="R1619" s="19"/>
      <c r="S1619" s="22"/>
      <c r="T1619" s="23"/>
      <c r="U1619" s="18"/>
      <c r="V1619" s="22"/>
      <c r="W1619" s="18"/>
      <c r="X1619" s="18"/>
      <c r="Y1619" s="21"/>
      <c r="Z1619" s="18"/>
    </row>
    <row r="1620" spans="1:26" x14ac:dyDescent="0.25">
      <c r="A1620" s="18"/>
      <c r="B1620" s="18"/>
      <c r="C1620" s="18"/>
      <c r="D1620" s="18"/>
      <c r="E1620" s="19"/>
      <c r="F1620" s="20"/>
      <c r="G1620" s="13"/>
      <c r="H1620" s="20"/>
      <c r="I1620" s="18"/>
      <c r="J1620" s="18"/>
      <c r="K1620" s="18"/>
      <c r="L1620" s="18"/>
      <c r="M1620" s="21"/>
      <c r="N1620" s="21"/>
      <c r="O1620" s="21"/>
      <c r="P1620" s="21"/>
      <c r="Q1620" s="22"/>
      <c r="R1620" s="19"/>
      <c r="S1620" s="22"/>
      <c r="T1620" s="23"/>
      <c r="U1620" s="18"/>
      <c r="V1620" s="22"/>
      <c r="W1620" s="18"/>
      <c r="X1620" s="18"/>
      <c r="Y1620" s="21"/>
      <c r="Z1620" s="18"/>
    </row>
    <row r="1621" spans="1:26" x14ac:dyDescent="0.25">
      <c r="A1621" s="19"/>
      <c r="B1621" s="19"/>
      <c r="C1621" s="19"/>
      <c r="D1621" s="19"/>
      <c r="E1621" s="19"/>
      <c r="F1621" s="20"/>
      <c r="G1621" s="13"/>
      <c r="H1621" s="20"/>
      <c r="I1621" s="19"/>
      <c r="J1621" s="19"/>
      <c r="K1621" s="19"/>
      <c r="L1621" s="19"/>
      <c r="M1621" s="21"/>
      <c r="N1621" s="21"/>
      <c r="O1621" s="21"/>
      <c r="P1621" s="21"/>
      <c r="Q1621" s="22"/>
      <c r="R1621" s="19"/>
      <c r="S1621" s="22"/>
      <c r="T1621" s="23"/>
      <c r="U1621" s="19"/>
      <c r="V1621" s="22"/>
      <c r="W1621" s="19"/>
      <c r="X1621" s="19"/>
      <c r="Y1621" s="21"/>
      <c r="Z1621" s="19"/>
    </row>
    <row r="1622" spans="1:26" x14ac:dyDescent="0.25">
      <c r="A1622" s="19"/>
      <c r="B1622" s="19"/>
      <c r="C1622" s="19"/>
      <c r="D1622" s="19"/>
      <c r="E1622" s="19"/>
      <c r="F1622" s="20"/>
      <c r="G1622" s="13"/>
      <c r="H1622" s="20"/>
      <c r="I1622" s="19"/>
      <c r="J1622" s="19"/>
      <c r="K1622" s="19"/>
      <c r="L1622" s="19"/>
      <c r="M1622" s="21"/>
      <c r="N1622" s="21"/>
      <c r="O1622" s="21"/>
      <c r="P1622" s="21"/>
      <c r="Q1622" s="22"/>
      <c r="R1622" s="19"/>
      <c r="S1622" s="22"/>
      <c r="T1622" s="23"/>
      <c r="U1622" s="19"/>
      <c r="V1622" s="22"/>
      <c r="W1622" s="19"/>
      <c r="X1622" s="19"/>
      <c r="Y1622" s="21"/>
      <c r="Z1622" s="19"/>
    </row>
    <row r="1623" spans="1:26" x14ac:dyDescent="0.25">
      <c r="A1623" s="11"/>
      <c r="B1623" s="11"/>
      <c r="C1623" s="11"/>
      <c r="D1623" s="11"/>
      <c r="E1623" s="12"/>
      <c r="F1623" s="13"/>
      <c r="G1623" s="13"/>
      <c r="H1623" s="13"/>
      <c r="I1623" s="11"/>
      <c r="J1623" s="11"/>
      <c r="K1623" s="11"/>
      <c r="L1623" s="11"/>
      <c r="M1623" s="15"/>
      <c r="N1623" s="15"/>
      <c r="O1623" s="15"/>
      <c r="P1623" s="15"/>
      <c r="Q1623" s="16"/>
      <c r="R1623" s="16"/>
      <c r="S1623" s="16"/>
      <c r="T1623" s="17"/>
      <c r="U1623" s="11"/>
      <c r="V1623" s="16"/>
      <c r="W1623" s="11"/>
      <c r="X1623" s="11"/>
      <c r="Y1623" s="15"/>
      <c r="Z1623" s="11"/>
    </row>
    <row r="1624" spans="1:26" x14ac:dyDescent="0.25">
      <c r="A1624" s="11"/>
      <c r="B1624" s="11"/>
      <c r="C1624" s="11"/>
      <c r="D1624" s="11"/>
      <c r="E1624" s="12"/>
      <c r="F1624" s="13"/>
      <c r="G1624" s="13"/>
      <c r="H1624" s="13"/>
      <c r="I1624" s="11"/>
      <c r="J1624" s="11"/>
      <c r="K1624" s="11"/>
      <c r="L1624" s="11"/>
      <c r="M1624" s="15"/>
      <c r="N1624" s="15"/>
      <c r="O1624" s="15"/>
      <c r="P1624" s="15"/>
      <c r="Q1624" s="16"/>
      <c r="R1624" s="16"/>
      <c r="S1624" s="16"/>
      <c r="T1624" s="17"/>
      <c r="U1624" s="11"/>
      <c r="V1624" s="16"/>
      <c r="W1624" s="11"/>
      <c r="X1624" s="11"/>
      <c r="Y1624" s="15"/>
      <c r="Z1624" s="11"/>
    </row>
    <row r="1625" spans="1:26" x14ac:dyDescent="0.25">
      <c r="A1625" s="11"/>
      <c r="B1625" s="11"/>
      <c r="C1625" s="11"/>
      <c r="D1625" s="11"/>
      <c r="E1625" s="12"/>
      <c r="F1625" s="13"/>
      <c r="G1625" s="13"/>
      <c r="H1625" s="13"/>
      <c r="I1625" s="11"/>
      <c r="J1625" s="11"/>
      <c r="K1625" s="11"/>
      <c r="L1625" s="11"/>
      <c r="M1625" s="15"/>
      <c r="N1625" s="15"/>
      <c r="O1625" s="15"/>
      <c r="P1625" s="15"/>
      <c r="Q1625" s="16"/>
      <c r="R1625" s="16"/>
      <c r="S1625" s="16"/>
      <c r="T1625" s="17"/>
      <c r="U1625" s="11"/>
      <c r="V1625" s="16"/>
      <c r="W1625" s="11"/>
      <c r="X1625" s="11"/>
      <c r="Y1625" s="15"/>
      <c r="Z1625" s="11"/>
    </row>
    <row r="1626" spans="1:26" x14ac:dyDescent="0.25">
      <c r="A1626" s="11"/>
      <c r="B1626" s="11"/>
      <c r="C1626" s="11"/>
      <c r="D1626" s="11"/>
      <c r="E1626" s="12"/>
      <c r="F1626" s="13"/>
      <c r="G1626" s="13"/>
      <c r="H1626" s="13"/>
      <c r="I1626" s="11"/>
      <c r="J1626" s="11"/>
      <c r="K1626" s="11"/>
      <c r="L1626" s="11"/>
      <c r="M1626" s="15"/>
      <c r="N1626" s="15"/>
      <c r="O1626" s="15"/>
      <c r="P1626" s="15"/>
      <c r="Q1626" s="16"/>
      <c r="R1626" s="16"/>
      <c r="S1626" s="16"/>
      <c r="T1626" s="17"/>
      <c r="U1626" s="11"/>
      <c r="V1626" s="16"/>
      <c r="W1626" s="11"/>
      <c r="X1626" s="11"/>
      <c r="Y1626" s="15"/>
      <c r="Z1626" s="11"/>
    </row>
    <row r="1627" spans="1:26" x14ac:dyDescent="0.25">
      <c r="A1627" s="11"/>
      <c r="B1627" s="11"/>
      <c r="C1627" s="11"/>
      <c r="D1627" s="11"/>
      <c r="E1627" s="12"/>
      <c r="F1627" s="13"/>
      <c r="G1627" s="13"/>
      <c r="H1627" s="13"/>
      <c r="I1627" s="11"/>
      <c r="J1627" s="11"/>
      <c r="K1627" s="11"/>
      <c r="L1627" s="11"/>
      <c r="M1627" s="15"/>
      <c r="N1627" s="15"/>
      <c r="O1627" s="15"/>
      <c r="P1627" s="15"/>
      <c r="Q1627" s="16"/>
      <c r="R1627" s="16"/>
      <c r="S1627" s="16"/>
      <c r="T1627" s="17"/>
      <c r="U1627" s="11"/>
      <c r="V1627" s="16"/>
      <c r="W1627" s="11"/>
      <c r="X1627" s="11"/>
      <c r="Y1627" s="15"/>
      <c r="Z1627" s="11"/>
    </row>
    <row r="1628" spans="1:26" x14ac:dyDescent="0.25">
      <c r="A1628" s="11"/>
      <c r="B1628" s="11"/>
      <c r="C1628" s="11"/>
      <c r="D1628" s="11"/>
      <c r="E1628" s="12"/>
      <c r="F1628" s="13"/>
      <c r="G1628" s="13"/>
      <c r="H1628" s="13"/>
      <c r="I1628" s="11"/>
      <c r="J1628" s="11"/>
      <c r="K1628" s="11"/>
      <c r="L1628" s="11"/>
      <c r="M1628" s="15"/>
      <c r="N1628" s="15"/>
      <c r="O1628" s="15"/>
      <c r="P1628" s="15"/>
      <c r="Q1628" s="16"/>
      <c r="R1628" s="16"/>
      <c r="S1628" s="16"/>
      <c r="T1628" s="17"/>
      <c r="U1628" s="11"/>
      <c r="V1628" s="16"/>
      <c r="W1628" s="11"/>
      <c r="X1628" s="11"/>
      <c r="Y1628" s="15"/>
      <c r="Z1628" s="11"/>
    </row>
    <row r="1629" spans="1:26" x14ac:dyDescent="0.25">
      <c r="A1629" s="11"/>
      <c r="B1629" s="11"/>
      <c r="C1629" s="11"/>
      <c r="D1629" s="11"/>
      <c r="E1629" s="12"/>
      <c r="F1629" s="13"/>
      <c r="G1629" s="13"/>
      <c r="H1629" s="13"/>
      <c r="I1629" s="11"/>
      <c r="J1629" s="11"/>
      <c r="K1629" s="11"/>
      <c r="L1629" s="11"/>
      <c r="M1629" s="15"/>
      <c r="N1629" s="15"/>
      <c r="O1629" s="15"/>
      <c r="P1629" s="15"/>
      <c r="Q1629" s="16"/>
      <c r="R1629" s="16"/>
      <c r="S1629" s="16"/>
      <c r="T1629" s="17"/>
      <c r="U1629" s="11"/>
      <c r="V1629" s="16"/>
      <c r="W1629" s="11"/>
      <c r="X1629" s="11"/>
      <c r="Y1629" s="15"/>
      <c r="Z1629" s="11"/>
    </row>
    <row r="1630" spans="1:26" x14ac:dyDescent="0.25">
      <c r="A1630" s="11"/>
      <c r="B1630" s="11"/>
      <c r="C1630" s="11"/>
      <c r="D1630" s="11"/>
      <c r="E1630" s="12"/>
      <c r="F1630" s="13"/>
      <c r="G1630" s="13"/>
      <c r="H1630" s="13"/>
      <c r="I1630" s="11"/>
      <c r="J1630" s="11"/>
      <c r="K1630" s="11"/>
      <c r="L1630" s="11"/>
      <c r="M1630" s="15"/>
      <c r="N1630" s="15"/>
      <c r="O1630" s="15"/>
      <c r="P1630" s="15"/>
      <c r="Q1630" s="16"/>
      <c r="R1630" s="16"/>
      <c r="S1630" s="16"/>
      <c r="T1630" s="17"/>
      <c r="U1630" s="11"/>
      <c r="V1630" s="16"/>
      <c r="W1630" s="11"/>
      <c r="X1630" s="11"/>
      <c r="Y1630" s="15"/>
      <c r="Z1630" s="11"/>
    </row>
    <row r="1631" spans="1:26" x14ac:dyDescent="0.25">
      <c r="A1631" s="11"/>
      <c r="B1631" s="11"/>
      <c r="C1631" s="11"/>
      <c r="D1631" s="11"/>
      <c r="E1631" s="12"/>
      <c r="F1631" s="13"/>
      <c r="G1631" s="13"/>
      <c r="H1631" s="13"/>
      <c r="I1631" s="11"/>
      <c r="J1631" s="11"/>
      <c r="K1631" s="11"/>
      <c r="L1631" s="11"/>
      <c r="M1631" s="15"/>
      <c r="N1631" s="15"/>
      <c r="O1631" s="15"/>
      <c r="P1631" s="15"/>
      <c r="Q1631" s="16"/>
      <c r="R1631" s="16"/>
      <c r="S1631" s="16"/>
      <c r="T1631" s="17"/>
      <c r="U1631" s="11"/>
      <c r="V1631" s="16"/>
      <c r="W1631" s="11"/>
      <c r="X1631" s="11"/>
      <c r="Y1631" s="15"/>
      <c r="Z1631" s="11"/>
    </row>
    <row r="1632" spans="1:26" x14ac:dyDescent="0.25">
      <c r="A1632" s="11"/>
      <c r="B1632" s="11"/>
      <c r="C1632" s="11"/>
      <c r="D1632" s="11"/>
      <c r="E1632" s="12"/>
      <c r="F1632" s="13"/>
      <c r="G1632" s="13"/>
      <c r="H1632" s="13"/>
      <c r="I1632" s="11"/>
      <c r="J1632" s="11"/>
      <c r="K1632" s="11"/>
      <c r="L1632" s="11"/>
      <c r="M1632" s="15"/>
      <c r="N1632" s="15"/>
      <c r="O1632" s="15"/>
      <c r="P1632" s="15"/>
      <c r="Q1632" s="16"/>
      <c r="R1632" s="16"/>
      <c r="S1632" s="16"/>
      <c r="T1632" s="17"/>
      <c r="U1632" s="11"/>
      <c r="V1632" s="16"/>
      <c r="W1632" s="11"/>
      <c r="X1632" s="11"/>
      <c r="Y1632" s="15"/>
      <c r="Z1632" s="11"/>
    </row>
    <row r="1633" spans="1:26" x14ac:dyDescent="0.25">
      <c r="A1633" s="11"/>
      <c r="B1633" s="11"/>
      <c r="C1633" s="11"/>
      <c r="D1633" s="11"/>
      <c r="E1633" s="12"/>
      <c r="F1633" s="13"/>
      <c r="G1633" s="13"/>
      <c r="H1633" s="13"/>
      <c r="I1633" s="11"/>
      <c r="J1633" s="11"/>
      <c r="K1633" s="11"/>
      <c r="L1633" s="11"/>
      <c r="M1633" s="15"/>
      <c r="N1633" s="15"/>
      <c r="O1633" s="15"/>
      <c r="P1633" s="15"/>
      <c r="Q1633" s="16"/>
      <c r="R1633" s="16"/>
      <c r="S1633" s="16"/>
      <c r="T1633" s="17"/>
      <c r="U1633" s="11"/>
      <c r="V1633" s="16"/>
      <c r="W1633" s="11"/>
      <c r="X1633" s="11"/>
      <c r="Y1633" s="15"/>
      <c r="Z1633" s="11"/>
    </row>
    <row r="1634" spans="1:26" x14ac:dyDescent="0.25">
      <c r="A1634" s="11"/>
      <c r="B1634" s="11"/>
      <c r="C1634" s="11"/>
      <c r="D1634" s="11"/>
      <c r="E1634" s="12"/>
      <c r="F1634" s="13"/>
      <c r="G1634" s="13"/>
      <c r="H1634" s="13"/>
      <c r="I1634" s="11"/>
      <c r="J1634" s="11"/>
      <c r="K1634" s="11"/>
      <c r="L1634" s="11"/>
      <c r="M1634" s="15"/>
      <c r="N1634" s="15"/>
      <c r="O1634" s="15"/>
      <c r="P1634" s="15"/>
      <c r="Q1634" s="16"/>
      <c r="R1634" s="16"/>
      <c r="S1634" s="16"/>
      <c r="T1634" s="17"/>
      <c r="U1634" s="11"/>
      <c r="V1634" s="16"/>
      <c r="W1634" s="11"/>
      <c r="X1634" s="11"/>
      <c r="Y1634" s="15"/>
      <c r="Z1634" s="11"/>
    </row>
    <row r="1635" spans="1:26" x14ac:dyDescent="0.25">
      <c r="A1635" s="11"/>
      <c r="B1635" s="11"/>
      <c r="C1635" s="11"/>
      <c r="D1635" s="11"/>
      <c r="E1635" s="12"/>
      <c r="F1635" s="13"/>
      <c r="G1635" s="13"/>
      <c r="H1635" s="13"/>
      <c r="I1635" s="11"/>
      <c r="J1635" s="11"/>
      <c r="K1635" s="11"/>
      <c r="L1635" s="11"/>
      <c r="M1635" s="15"/>
      <c r="N1635" s="15"/>
      <c r="O1635" s="15"/>
      <c r="P1635" s="15"/>
      <c r="Q1635" s="16"/>
      <c r="R1635" s="16"/>
      <c r="S1635" s="16"/>
      <c r="T1635" s="17"/>
      <c r="U1635" s="11"/>
      <c r="V1635" s="16"/>
      <c r="W1635" s="11"/>
      <c r="X1635" s="11"/>
      <c r="Y1635" s="15"/>
      <c r="Z1635" s="11"/>
    </row>
    <row r="1636" spans="1:26" x14ac:dyDescent="0.25">
      <c r="A1636" s="11"/>
      <c r="B1636" s="11"/>
      <c r="C1636" s="11"/>
      <c r="D1636" s="11"/>
      <c r="E1636" s="12"/>
      <c r="F1636" s="13"/>
      <c r="G1636" s="13"/>
      <c r="H1636" s="13"/>
      <c r="I1636" s="11"/>
      <c r="J1636" s="11"/>
      <c r="K1636" s="11"/>
      <c r="L1636" s="11"/>
      <c r="M1636" s="15"/>
      <c r="N1636" s="15"/>
      <c r="O1636" s="15"/>
      <c r="P1636" s="15"/>
      <c r="Q1636" s="16"/>
      <c r="R1636" s="16"/>
      <c r="S1636" s="16"/>
      <c r="T1636" s="17"/>
      <c r="U1636" s="11"/>
      <c r="V1636" s="16"/>
      <c r="W1636" s="11"/>
      <c r="X1636" s="11"/>
      <c r="Y1636" s="15"/>
      <c r="Z1636" s="11"/>
    </row>
    <row r="1637" spans="1:26" x14ac:dyDescent="0.25">
      <c r="A1637" s="11"/>
      <c r="B1637" s="11"/>
      <c r="C1637" s="11"/>
      <c r="D1637" s="11"/>
      <c r="E1637" s="12"/>
      <c r="F1637" s="13"/>
      <c r="G1637" s="13"/>
      <c r="H1637" s="13"/>
      <c r="I1637" s="11"/>
      <c r="J1637" s="11"/>
      <c r="K1637" s="11"/>
      <c r="L1637" s="11"/>
      <c r="M1637" s="15"/>
      <c r="N1637" s="15"/>
      <c r="O1637" s="15"/>
      <c r="P1637" s="15"/>
      <c r="Q1637" s="16"/>
      <c r="R1637" s="16"/>
      <c r="S1637" s="16"/>
      <c r="T1637" s="17"/>
      <c r="U1637" s="11"/>
      <c r="V1637" s="16"/>
      <c r="W1637" s="11"/>
      <c r="X1637" s="11"/>
      <c r="Y1637" s="15"/>
      <c r="Z1637" s="11"/>
    </row>
    <row r="1638" spans="1:26" x14ac:dyDescent="0.25">
      <c r="A1638" s="18"/>
      <c r="B1638" s="18"/>
      <c r="C1638" s="18"/>
      <c r="D1638" s="18"/>
      <c r="E1638" s="19"/>
      <c r="F1638" s="20"/>
      <c r="G1638" s="13"/>
      <c r="H1638" s="20"/>
      <c r="I1638" s="18"/>
      <c r="J1638" s="18"/>
      <c r="K1638" s="18"/>
      <c r="L1638" s="18"/>
      <c r="M1638" s="21"/>
      <c r="N1638" s="21"/>
      <c r="O1638" s="21"/>
      <c r="P1638" s="21"/>
      <c r="Q1638" s="22"/>
      <c r="R1638" s="19"/>
      <c r="S1638" s="22"/>
      <c r="T1638" s="23"/>
      <c r="U1638" s="18"/>
      <c r="V1638" s="22"/>
      <c r="W1638" s="18"/>
      <c r="X1638" s="18"/>
      <c r="Y1638" s="21"/>
      <c r="Z1638" s="18"/>
    </row>
    <row r="1639" spans="1:26" x14ac:dyDescent="0.25">
      <c r="A1639" s="19"/>
      <c r="B1639" s="19"/>
      <c r="C1639" s="19"/>
      <c r="D1639" s="19"/>
      <c r="E1639" s="19"/>
      <c r="F1639" s="20"/>
      <c r="G1639" s="13"/>
      <c r="H1639" s="20"/>
      <c r="I1639" s="19"/>
      <c r="J1639" s="19"/>
      <c r="K1639" s="19"/>
      <c r="L1639" s="19"/>
      <c r="M1639" s="21"/>
      <c r="N1639" s="21"/>
      <c r="O1639" s="21"/>
      <c r="P1639" s="21"/>
      <c r="Q1639" s="22"/>
      <c r="R1639" s="19"/>
      <c r="S1639" s="22"/>
      <c r="T1639" s="23"/>
      <c r="U1639" s="19"/>
      <c r="V1639" s="22"/>
      <c r="W1639" s="19"/>
      <c r="X1639" s="19"/>
      <c r="Y1639" s="21"/>
      <c r="Z1639" s="19"/>
    </row>
    <row r="1640" spans="1:26" x14ac:dyDescent="0.25">
      <c r="A1640" s="11"/>
      <c r="B1640" s="11"/>
      <c r="C1640" s="11"/>
      <c r="D1640" s="11"/>
      <c r="E1640" s="12"/>
      <c r="F1640" s="13"/>
      <c r="G1640" s="13"/>
      <c r="H1640" s="13"/>
      <c r="I1640" s="11"/>
      <c r="J1640" s="11"/>
      <c r="K1640" s="11"/>
      <c r="L1640" s="11"/>
      <c r="M1640" s="15"/>
      <c r="N1640" s="15"/>
      <c r="O1640" s="15"/>
      <c r="P1640" s="15"/>
      <c r="Q1640" s="16"/>
      <c r="R1640" s="16"/>
      <c r="S1640" s="16"/>
      <c r="T1640" s="17"/>
      <c r="U1640" s="11"/>
      <c r="V1640" s="16"/>
      <c r="W1640" s="11"/>
      <c r="X1640" s="11"/>
      <c r="Y1640" s="15"/>
      <c r="Z1640" s="11"/>
    </row>
    <row r="1641" spans="1:26" x14ac:dyDescent="0.25">
      <c r="A1641" s="11"/>
      <c r="B1641" s="11"/>
      <c r="C1641" s="11"/>
      <c r="D1641" s="11"/>
      <c r="E1641" s="12"/>
      <c r="F1641" s="13"/>
      <c r="G1641" s="13"/>
      <c r="H1641" s="13"/>
      <c r="I1641" s="11"/>
      <c r="J1641" s="11"/>
      <c r="K1641" s="11"/>
      <c r="L1641" s="11"/>
      <c r="M1641" s="15"/>
      <c r="N1641" s="15"/>
      <c r="O1641" s="15"/>
      <c r="P1641" s="15"/>
      <c r="Q1641" s="16"/>
      <c r="R1641" s="16"/>
      <c r="S1641" s="16"/>
      <c r="T1641" s="17"/>
      <c r="U1641" s="11"/>
      <c r="V1641" s="16"/>
      <c r="W1641" s="11"/>
      <c r="X1641" s="11"/>
      <c r="Y1641" s="15"/>
      <c r="Z1641" s="11"/>
    </row>
    <row r="1642" spans="1:26" x14ac:dyDescent="0.25">
      <c r="A1642" s="11"/>
      <c r="B1642" s="11"/>
      <c r="C1642" s="11"/>
      <c r="D1642" s="11"/>
      <c r="E1642" s="12"/>
      <c r="F1642" s="13"/>
      <c r="G1642" s="13"/>
      <c r="H1642" s="13"/>
      <c r="I1642" s="11"/>
      <c r="J1642" s="11"/>
      <c r="K1642" s="11"/>
      <c r="L1642" s="11"/>
      <c r="M1642" s="15"/>
      <c r="N1642" s="15"/>
      <c r="O1642" s="15"/>
      <c r="P1642" s="15"/>
      <c r="Q1642" s="16"/>
      <c r="R1642" s="16"/>
      <c r="S1642" s="16"/>
      <c r="T1642" s="17"/>
      <c r="U1642" s="11"/>
      <c r="V1642" s="16"/>
      <c r="W1642" s="11"/>
      <c r="X1642" s="11"/>
      <c r="Y1642" s="15"/>
      <c r="Z1642" s="11"/>
    </row>
    <row r="1643" spans="1:26" x14ac:dyDescent="0.25">
      <c r="A1643" s="11"/>
      <c r="B1643" s="11"/>
      <c r="C1643" s="11"/>
      <c r="D1643" s="11"/>
      <c r="E1643" s="12"/>
      <c r="F1643" s="13"/>
      <c r="G1643" s="13"/>
      <c r="H1643" s="13"/>
      <c r="I1643" s="11"/>
      <c r="J1643" s="11"/>
      <c r="K1643" s="11"/>
      <c r="L1643" s="11"/>
      <c r="M1643" s="15"/>
      <c r="N1643" s="15"/>
      <c r="O1643" s="15"/>
      <c r="P1643" s="15"/>
      <c r="Q1643" s="16"/>
      <c r="R1643" s="16"/>
      <c r="S1643" s="16"/>
      <c r="T1643" s="17"/>
      <c r="U1643" s="11"/>
      <c r="V1643" s="16"/>
      <c r="W1643" s="11"/>
      <c r="X1643" s="11"/>
      <c r="Y1643" s="15"/>
      <c r="Z1643" s="11"/>
    </row>
    <row r="1644" spans="1:26" x14ac:dyDescent="0.25">
      <c r="A1644" s="11"/>
      <c r="B1644" s="11"/>
      <c r="C1644" s="11"/>
      <c r="D1644" s="11"/>
      <c r="E1644" s="12"/>
      <c r="F1644" s="13"/>
      <c r="G1644" s="13"/>
      <c r="H1644" s="13"/>
      <c r="I1644" s="11"/>
      <c r="J1644" s="11"/>
      <c r="K1644" s="11"/>
      <c r="L1644" s="11"/>
      <c r="M1644" s="15"/>
      <c r="N1644" s="15"/>
      <c r="O1644" s="15"/>
      <c r="P1644" s="15"/>
      <c r="Q1644" s="16"/>
      <c r="R1644" s="16"/>
      <c r="S1644" s="16"/>
      <c r="T1644" s="17"/>
      <c r="U1644" s="11"/>
      <c r="V1644" s="16"/>
      <c r="W1644" s="11"/>
      <c r="X1644" s="11"/>
      <c r="Y1644" s="15"/>
      <c r="Z1644" s="11"/>
    </row>
    <row r="1645" spans="1:26" x14ac:dyDescent="0.25">
      <c r="A1645" s="11"/>
      <c r="B1645" s="11"/>
      <c r="C1645" s="11"/>
      <c r="D1645" s="11"/>
      <c r="E1645" s="12"/>
      <c r="F1645" s="13"/>
      <c r="G1645" s="13"/>
      <c r="H1645" s="13"/>
      <c r="I1645" s="11"/>
      <c r="J1645" s="11"/>
      <c r="K1645" s="11"/>
      <c r="L1645" s="11"/>
      <c r="M1645" s="15"/>
      <c r="N1645" s="15"/>
      <c r="O1645" s="15"/>
      <c r="P1645" s="15"/>
      <c r="Q1645" s="16"/>
      <c r="R1645" s="16"/>
      <c r="S1645" s="16"/>
      <c r="T1645" s="17"/>
      <c r="U1645" s="11"/>
      <c r="V1645" s="16"/>
      <c r="W1645" s="11"/>
      <c r="X1645" s="11"/>
      <c r="Y1645" s="15"/>
      <c r="Z1645" s="11"/>
    </row>
    <row r="1646" spans="1:26" x14ac:dyDescent="0.25">
      <c r="A1646" s="11"/>
      <c r="B1646" s="11"/>
      <c r="C1646" s="11"/>
      <c r="D1646" s="11"/>
      <c r="E1646" s="12"/>
      <c r="F1646" s="13"/>
      <c r="G1646" s="13"/>
      <c r="H1646" s="13"/>
      <c r="I1646" s="11"/>
      <c r="J1646" s="11"/>
      <c r="K1646" s="11"/>
      <c r="L1646" s="11"/>
      <c r="M1646" s="15"/>
      <c r="N1646" s="15"/>
      <c r="O1646" s="15"/>
      <c r="P1646" s="15"/>
      <c r="Q1646" s="16"/>
      <c r="R1646" s="16"/>
      <c r="S1646" s="16"/>
      <c r="T1646" s="17"/>
      <c r="U1646" s="11"/>
      <c r="V1646" s="16"/>
      <c r="W1646" s="11"/>
      <c r="X1646" s="11"/>
      <c r="Y1646" s="15"/>
      <c r="Z1646" s="11"/>
    </row>
    <row r="1647" spans="1:26" x14ac:dyDescent="0.25">
      <c r="A1647" s="19"/>
      <c r="B1647" s="19"/>
      <c r="C1647" s="19"/>
      <c r="D1647" s="19"/>
      <c r="E1647" s="19"/>
      <c r="F1647" s="20"/>
      <c r="G1647" s="13"/>
      <c r="H1647" s="20"/>
      <c r="I1647" s="19"/>
      <c r="J1647" s="19"/>
      <c r="K1647" s="19"/>
      <c r="L1647" s="19"/>
      <c r="M1647" s="21"/>
      <c r="N1647" s="21"/>
      <c r="O1647" s="21"/>
      <c r="P1647" s="21"/>
      <c r="Q1647" s="22"/>
      <c r="R1647" s="19"/>
      <c r="S1647" s="22"/>
      <c r="T1647" s="23"/>
      <c r="U1647" s="19"/>
      <c r="V1647" s="22"/>
      <c r="W1647" s="19"/>
      <c r="X1647" s="19"/>
      <c r="Y1647" s="21"/>
      <c r="Z1647" s="19"/>
    </row>
    <row r="1648" spans="1:26" x14ac:dyDescent="0.25">
      <c r="A1648" s="11"/>
      <c r="B1648" s="11"/>
      <c r="C1648" s="11"/>
      <c r="D1648" s="11"/>
      <c r="E1648" s="12"/>
      <c r="F1648" s="13"/>
      <c r="G1648" s="13"/>
      <c r="H1648" s="13"/>
      <c r="I1648" s="11"/>
      <c r="J1648" s="11"/>
      <c r="K1648" s="11"/>
      <c r="L1648" s="11"/>
      <c r="M1648" s="15"/>
      <c r="N1648" s="15"/>
      <c r="O1648" s="15"/>
      <c r="P1648" s="15"/>
      <c r="Q1648" s="16"/>
      <c r="R1648" s="16"/>
      <c r="S1648" s="16"/>
      <c r="T1648" s="17"/>
      <c r="U1648" s="11"/>
      <c r="V1648" s="16"/>
      <c r="W1648" s="11"/>
      <c r="X1648" s="11"/>
      <c r="Y1648" s="15"/>
      <c r="Z1648" s="11"/>
    </row>
    <row r="1649" spans="1:26" x14ac:dyDescent="0.25">
      <c r="A1649" s="11"/>
      <c r="B1649" s="11"/>
      <c r="C1649" s="11"/>
      <c r="D1649" s="11"/>
      <c r="E1649" s="12"/>
      <c r="F1649" s="13"/>
      <c r="G1649" s="13"/>
      <c r="H1649" s="13"/>
      <c r="I1649" s="11"/>
      <c r="J1649" s="11"/>
      <c r="K1649" s="11"/>
      <c r="L1649" s="11"/>
      <c r="M1649" s="15"/>
      <c r="N1649" s="15"/>
      <c r="O1649" s="15"/>
      <c r="P1649" s="15"/>
      <c r="Q1649" s="16"/>
      <c r="R1649" s="16"/>
      <c r="S1649" s="16"/>
      <c r="T1649" s="17"/>
      <c r="U1649" s="11"/>
      <c r="V1649" s="16"/>
      <c r="W1649" s="11"/>
      <c r="X1649" s="11"/>
      <c r="Y1649" s="15"/>
      <c r="Z1649" s="11"/>
    </row>
    <row r="1650" spans="1:26" x14ac:dyDescent="0.25">
      <c r="A1650" s="11"/>
      <c r="B1650" s="11"/>
      <c r="C1650" s="11"/>
      <c r="D1650" s="11"/>
      <c r="E1650" s="12"/>
      <c r="F1650" s="13"/>
      <c r="G1650" s="13"/>
      <c r="H1650" s="13"/>
      <c r="I1650" s="11"/>
      <c r="J1650" s="11"/>
      <c r="K1650" s="11"/>
      <c r="L1650" s="11"/>
      <c r="M1650" s="15"/>
      <c r="N1650" s="15"/>
      <c r="O1650" s="15"/>
      <c r="P1650" s="15"/>
      <c r="Q1650" s="16"/>
      <c r="R1650" s="16"/>
      <c r="S1650" s="16"/>
      <c r="T1650" s="17"/>
      <c r="U1650" s="11"/>
      <c r="V1650" s="16"/>
      <c r="W1650" s="11"/>
      <c r="X1650" s="11"/>
      <c r="Y1650" s="15"/>
      <c r="Z1650" s="11"/>
    </row>
    <row r="1651" spans="1:26" x14ac:dyDescent="0.25">
      <c r="A1651" s="11"/>
      <c r="B1651" s="11"/>
      <c r="C1651" s="11"/>
      <c r="D1651" s="11"/>
      <c r="E1651" s="12"/>
      <c r="F1651" s="13"/>
      <c r="G1651" s="13"/>
      <c r="H1651" s="13"/>
      <c r="I1651" s="11"/>
      <c r="J1651" s="11"/>
      <c r="K1651" s="11"/>
      <c r="L1651" s="11"/>
      <c r="M1651" s="15"/>
      <c r="N1651" s="15"/>
      <c r="O1651" s="15"/>
      <c r="P1651" s="15"/>
      <c r="Q1651" s="16"/>
      <c r="R1651" s="16"/>
      <c r="S1651" s="16"/>
      <c r="T1651" s="17"/>
      <c r="U1651" s="11"/>
      <c r="V1651" s="16"/>
      <c r="W1651" s="11"/>
      <c r="X1651" s="11"/>
      <c r="Y1651" s="15"/>
      <c r="Z1651" s="11"/>
    </row>
    <row r="1652" spans="1:26" x14ac:dyDescent="0.25">
      <c r="A1652" s="11"/>
      <c r="B1652" s="11"/>
      <c r="C1652" s="11"/>
      <c r="D1652" s="11"/>
      <c r="E1652" s="12"/>
      <c r="F1652" s="13"/>
      <c r="G1652" s="13"/>
      <c r="H1652" s="13"/>
      <c r="I1652" s="11"/>
      <c r="J1652" s="11"/>
      <c r="K1652" s="11"/>
      <c r="L1652" s="11"/>
      <c r="M1652" s="15"/>
      <c r="N1652" s="15"/>
      <c r="O1652" s="15"/>
      <c r="P1652" s="15"/>
      <c r="Q1652" s="16"/>
      <c r="R1652" s="16"/>
      <c r="S1652" s="16"/>
      <c r="T1652" s="17"/>
      <c r="U1652" s="11"/>
      <c r="V1652" s="16"/>
      <c r="W1652" s="11"/>
      <c r="X1652" s="11"/>
      <c r="Y1652" s="15"/>
      <c r="Z1652" s="11"/>
    </row>
    <row r="1653" spans="1:26" x14ac:dyDescent="0.25">
      <c r="A1653" s="11"/>
      <c r="B1653" s="11"/>
      <c r="C1653" s="11"/>
      <c r="D1653" s="11"/>
      <c r="E1653" s="12"/>
      <c r="F1653" s="13"/>
      <c r="G1653" s="13"/>
      <c r="H1653" s="13"/>
      <c r="I1653" s="11"/>
      <c r="J1653" s="11"/>
      <c r="K1653" s="11"/>
      <c r="L1653" s="11"/>
      <c r="M1653" s="15"/>
      <c r="N1653" s="15"/>
      <c r="O1653" s="15"/>
      <c r="P1653" s="15"/>
      <c r="Q1653" s="16"/>
      <c r="R1653" s="16"/>
      <c r="S1653" s="16"/>
      <c r="T1653" s="17"/>
      <c r="U1653" s="11"/>
      <c r="V1653" s="16"/>
      <c r="W1653" s="11"/>
      <c r="X1653" s="11"/>
      <c r="Y1653" s="15"/>
      <c r="Z1653" s="11"/>
    </row>
    <row r="1654" spans="1:26" x14ac:dyDescent="0.25">
      <c r="A1654" s="11"/>
      <c r="B1654" s="11"/>
      <c r="C1654" s="11"/>
      <c r="D1654" s="11"/>
      <c r="E1654" s="12"/>
      <c r="F1654" s="13"/>
      <c r="G1654" s="13"/>
      <c r="H1654" s="13"/>
      <c r="I1654" s="11"/>
      <c r="J1654" s="11"/>
      <c r="K1654" s="11"/>
      <c r="L1654" s="11"/>
      <c r="M1654" s="15"/>
      <c r="N1654" s="15"/>
      <c r="O1654" s="15"/>
      <c r="P1654" s="15"/>
      <c r="Q1654" s="16"/>
      <c r="R1654" s="16"/>
      <c r="S1654" s="16"/>
      <c r="T1654" s="17"/>
      <c r="U1654" s="11"/>
      <c r="V1654" s="16"/>
      <c r="W1654" s="11"/>
      <c r="X1654" s="11"/>
      <c r="Y1654" s="15"/>
      <c r="Z1654" s="11"/>
    </row>
    <row r="1655" spans="1:26" x14ac:dyDescent="0.25">
      <c r="A1655" s="11"/>
      <c r="B1655" s="11"/>
      <c r="C1655" s="11"/>
      <c r="D1655" s="11"/>
      <c r="E1655" s="12"/>
      <c r="F1655" s="13"/>
      <c r="G1655" s="13"/>
      <c r="H1655" s="13"/>
      <c r="I1655" s="11"/>
      <c r="J1655" s="11"/>
      <c r="K1655" s="11"/>
      <c r="L1655" s="11"/>
      <c r="M1655" s="15"/>
      <c r="N1655" s="15"/>
      <c r="O1655" s="15"/>
      <c r="P1655" s="15"/>
      <c r="Q1655" s="16"/>
      <c r="R1655" s="16"/>
      <c r="S1655" s="16"/>
      <c r="T1655" s="17"/>
      <c r="U1655" s="11"/>
      <c r="V1655" s="16"/>
      <c r="W1655" s="11"/>
      <c r="X1655" s="11"/>
      <c r="Y1655" s="15"/>
      <c r="Z1655" s="11"/>
    </row>
    <row r="1656" spans="1:26" x14ac:dyDescent="0.25">
      <c r="A1656" s="11"/>
      <c r="B1656" s="11"/>
      <c r="C1656" s="11"/>
      <c r="D1656" s="11"/>
      <c r="E1656" s="12"/>
      <c r="F1656" s="13"/>
      <c r="G1656" s="13"/>
      <c r="H1656" s="13"/>
      <c r="I1656" s="11"/>
      <c r="J1656" s="11"/>
      <c r="K1656" s="11"/>
      <c r="L1656" s="11"/>
      <c r="M1656" s="15"/>
      <c r="N1656" s="15"/>
      <c r="O1656" s="15"/>
      <c r="P1656" s="15"/>
      <c r="Q1656" s="16"/>
      <c r="R1656" s="16"/>
      <c r="S1656" s="16"/>
      <c r="T1656" s="17"/>
      <c r="U1656" s="11"/>
      <c r="V1656" s="16"/>
      <c r="W1656" s="11"/>
      <c r="X1656" s="11"/>
      <c r="Y1656" s="15"/>
      <c r="Z1656" s="11"/>
    </row>
    <row r="1657" spans="1:26" x14ac:dyDescent="0.25">
      <c r="A1657" s="11"/>
      <c r="B1657" s="11"/>
      <c r="C1657" s="11"/>
      <c r="D1657" s="11"/>
      <c r="E1657" s="12"/>
      <c r="F1657" s="13"/>
      <c r="G1657" s="13"/>
      <c r="H1657" s="13"/>
      <c r="I1657" s="11"/>
      <c r="J1657" s="11"/>
      <c r="K1657" s="11"/>
      <c r="L1657" s="11"/>
      <c r="M1657" s="15"/>
      <c r="N1657" s="15"/>
      <c r="O1657" s="15"/>
      <c r="P1657" s="15"/>
      <c r="Q1657" s="16"/>
      <c r="R1657" s="16"/>
      <c r="S1657" s="16"/>
      <c r="T1657" s="17"/>
      <c r="U1657" s="11"/>
      <c r="V1657" s="16"/>
      <c r="W1657" s="11"/>
      <c r="X1657" s="11"/>
      <c r="Y1657" s="15"/>
      <c r="Z1657" s="11"/>
    </row>
    <row r="1658" spans="1:26" x14ac:dyDescent="0.25">
      <c r="A1658" s="11"/>
      <c r="B1658" s="11"/>
      <c r="C1658" s="11"/>
      <c r="D1658" s="11"/>
      <c r="E1658" s="12"/>
      <c r="F1658" s="13"/>
      <c r="G1658" s="13"/>
      <c r="H1658" s="13"/>
      <c r="I1658" s="11"/>
      <c r="J1658" s="11"/>
      <c r="K1658" s="11"/>
      <c r="L1658" s="11"/>
      <c r="M1658" s="15"/>
      <c r="N1658" s="15"/>
      <c r="O1658" s="15"/>
      <c r="P1658" s="15"/>
      <c r="Q1658" s="16"/>
      <c r="R1658" s="16"/>
      <c r="S1658" s="16"/>
      <c r="T1658" s="17"/>
      <c r="U1658" s="11"/>
      <c r="V1658" s="16"/>
      <c r="W1658" s="11"/>
      <c r="X1658" s="11"/>
      <c r="Y1658" s="15"/>
      <c r="Z1658" s="11"/>
    </row>
    <row r="1659" spans="1:26" x14ac:dyDescent="0.25">
      <c r="A1659" s="11"/>
      <c r="B1659" s="11"/>
      <c r="C1659" s="11"/>
      <c r="D1659" s="11"/>
      <c r="E1659" s="12"/>
      <c r="F1659" s="13"/>
      <c r="G1659" s="13"/>
      <c r="H1659" s="13"/>
      <c r="I1659" s="11"/>
      <c r="J1659" s="11"/>
      <c r="K1659" s="11"/>
      <c r="L1659" s="11"/>
      <c r="M1659" s="15"/>
      <c r="N1659" s="15"/>
      <c r="O1659" s="15"/>
      <c r="P1659" s="15"/>
      <c r="Q1659" s="16"/>
      <c r="R1659" s="16"/>
      <c r="S1659" s="16"/>
      <c r="T1659" s="17"/>
      <c r="U1659" s="11"/>
      <c r="V1659" s="16"/>
      <c r="W1659" s="11"/>
      <c r="X1659" s="11"/>
      <c r="Y1659" s="15"/>
      <c r="Z1659" s="11"/>
    </row>
    <row r="1660" spans="1:26" x14ac:dyDescent="0.25">
      <c r="A1660" s="11"/>
      <c r="B1660" s="11"/>
      <c r="C1660" s="11"/>
      <c r="D1660" s="11"/>
      <c r="E1660" s="12"/>
      <c r="F1660" s="13"/>
      <c r="G1660" s="13"/>
      <c r="H1660" s="13"/>
      <c r="I1660" s="11"/>
      <c r="J1660" s="11"/>
      <c r="K1660" s="11"/>
      <c r="L1660" s="11"/>
      <c r="M1660" s="15"/>
      <c r="N1660" s="15"/>
      <c r="O1660" s="15"/>
      <c r="P1660" s="15"/>
      <c r="Q1660" s="16"/>
      <c r="R1660" s="16"/>
      <c r="S1660" s="16"/>
      <c r="T1660" s="17"/>
      <c r="U1660" s="11"/>
      <c r="V1660" s="16"/>
      <c r="W1660" s="11"/>
      <c r="X1660" s="11"/>
      <c r="Y1660" s="15"/>
      <c r="Z1660" s="11"/>
    </row>
    <row r="1661" spans="1:26" x14ac:dyDescent="0.25">
      <c r="A1661" s="11"/>
      <c r="B1661" s="11"/>
      <c r="C1661" s="11"/>
      <c r="D1661" s="11"/>
      <c r="E1661" s="12"/>
      <c r="F1661" s="13"/>
      <c r="G1661" s="13"/>
      <c r="H1661" s="13"/>
      <c r="I1661" s="11"/>
      <c r="J1661" s="11"/>
      <c r="K1661" s="11"/>
      <c r="L1661" s="11"/>
      <c r="M1661" s="15"/>
      <c r="N1661" s="15"/>
      <c r="O1661" s="15"/>
      <c r="P1661" s="15"/>
      <c r="Q1661" s="16"/>
      <c r="R1661" s="16"/>
      <c r="S1661" s="16"/>
      <c r="T1661" s="17"/>
      <c r="U1661" s="11"/>
      <c r="V1661" s="16"/>
      <c r="W1661" s="11"/>
      <c r="X1661" s="11"/>
      <c r="Y1661" s="15"/>
      <c r="Z1661" s="11"/>
    </row>
    <row r="1662" spans="1:26" x14ac:dyDescent="0.25">
      <c r="A1662" s="11"/>
      <c r="B1662" s="11"/>
      <c r="C1662" s="11"/>
      <c r="D1662" s="11"/>
      <c r="E1662" s="12"/>
      <c r="F1662" s="13"/>
      <c r="G1662" s="13"/>
      <c r="H1662" s="13"/>
      <c r="I1662" s="11"/>
      <c r="J1662" s="11"/>
      <c r="K1662" s="11"/>
      <c r="L1662" s="11"/>
      <c r="M1662" s="15"/>
      <c r="N1662" s="15"/>
      <c r="O1662" s="15"/>
      <c r="P1662" s="15"/>
      <c r="Q1662" s="16"/>
      <c r="R1662" s="16"/>
      <c r="S1662" s="16"/>
      <c r="T1662" s="17"/>
      <c r="U1662" s="11"/>
      <c r="V1662" s="16"/>
      <c r="W1662" s="11"/>
      <c r="X1662" s="11"/>
      <c r="Y1662" s="15"/>
      <c r="Z1662" s="11"/>
    </row>
    <row r="1663" spans="1:26" x14ac:dyDescent="0.25">
      <c r="A1663" s="11"/>
      <c r="B1663" s="11"/>
      <c r="C1663" s="11"/>
      <c r="D1663" s="11"/>
      <c r="E1663" s="12"/>
      <c r="F1663" s="13"/>
      <c r="G1663" s="13"/>
      <c r="H1663" s="13"/>
      <c r="I1663" s="11"/>
      <c r="J1663" s="11"/>
      <c r="K1663" s="11"/>
      <c r="L1663" s="11"/>
      <c r="M1663" s="15"/>
      <c r="N1663" s="15"/>
      <c r="O1663" s="15"/>
      <c r="P1663" s="15"/>
      <c r="Q1663" s="16"/>
      <c r="R1663" s="16"/>
      <c r="S1663" s="16"/>
      <c r="T1663" s="17"/>
      <c r="U1663" s="11"/>
      <c r="V1663" s="16"/>
      <c r="W1663" s="11"/>
      <c r="X1663" s="11"/>
      <c r="Y1663" s="15"/>
      <c r="Z1663" s="11"/>
    </row>
    <row r="1664" spans="1:26" x14ac:dyDescent="0.25">
      <c r="A1664" s="18"/>
      <c r="B1664" s="18"/>
      <c r="C1664" s="18"/>
      <c r="D1664" s="18"/>
      <c r="E1664" s="19"/>
      <c r="F1664" s="20"/>
      <c r="G1664" s="13"/>
      <c r="H1664" s="20"/>
      <c r="I1664" s="18"/>
      <c r="J1664" s="18"/>
      <c r="K1664" s="18"/>
      <c r="L1664" s="18"/>
      <c r="M1664" s="21"/>
      <c r="N1664" s="21"/>
      <c r="O1664" s="21"/>
      <c r="P1664" s="21"/>
      <c r="Q1664" s="22"/>
      <c r="R1664" s="19"/>
      <c r="S1664" s="22"/>
      <c r="T1664" s="23"/>
      <c r="U1664" s="18"/>
      <c r="V1664" s="22"/>
      <c r="W1664" s="18"/>
      <c r="X1664" s="18"/>
      <c r="Y1664" s="21"/>
      <c r="Z1664" s="18"/>
    </row>
    <row r="1665" spans="1:26" x14ac:dyDescent="0.25">
      <c r="A1665" s="18"/>
      <c r="B1665" s="18"/>
      <c r="C1665" s="18"/>
      <c r="D1665" s="18"/>
      <c r="E1665" s="19"/>
      <c r="F1665" s="20"/>
      <c r="G1665" s="13"/>
      <c r="H1665" s="20"/>
      <c r="I1665" s="18"/>
      <c r="J1665" s="18"/>
      <c r="K1665" s="18"/>
      <c r="L1665" s="18"/>
      <c r="M1665" s="21"/>
      <c r="N1665" s="21"/>
      <c r="O1665" s="21"/>
      <c r="P1665" s="21"/>
      <c r="Q1665" s="22"/>
      <c r="R1665" s="19"/>
      <c r="S1665" s="22"/>
      <c r="T1665" s="23"/>
      <c r="U1665" s="18"/>
      <c r="V1665" s="22"/>
      <c r="W1665" s="18"/>
      <c r="X1665" s="18"/>
      <c r="Y1665" s="21"/>
      <c r="Z1665" s="18"/>
    </row>
    <row r="1666" spans="1:26" x14ac:dyDescent="0.25">
      <c r="A1666" s="19"/>
      <c r="B1666" s="19"/>
      <c r="C1666" s="19"/>
      <c r="D1666" s="19"/>
      <c r="E1666" s="19"/>
      <c r="F1666" s="20"/>
      <c r="G1666" s="13"/>
      <c r="H1666" s="20"/>
      <c r="I1666" s="19"/>
      <c r="J1666" s="19"/>
      <c r="K1666" s="19"/>
      <c r="L1666" s="19"/>
      <c r="M1666" s="21"/>
      <c r="N1666" s="21"/>
      <c r="O1666" s="21"/>
      <c r="P1666" s="21"/>
      <c r="Q1666" s="22"/>
      <c r="R1666" s="19"/>
      <c r="S1666" s="22"/>
      <c r="T1666" s="23"/>
      <c r="U1666" s="19"/>
      <c r="V1666" s="22"/>
      <c r="W1666" s="19"/>
      <c r="X1666" s="19"/>
      <c r="Y1666" s="21"/>
      <c r="Z1666" s="19"/>
    </row>
    <row r="1667" spans="1:26" x14ac:dyDescent="0.25">
      <c r="A1667" s="11"/>
      <c r="B1667" s="11"/>
      <c r="C1667" s="11"/>
      <c r="D1667" s="11"/>
      <c r="E1667" s="12"/>
      <c r="F1667" s="13"/>
      <c r="G1667" s="13"/>
      <c r="H1667" s="13"/>
      <c r="I1667" s="11"/>
      <c r="J1667" s="11"/>
      <c r="K1667" s="11"/>
      <c r="L1667" s="11"/>
      <c r="M1667" s="15"/>
      <c r="N1667" s="15"/>
      <c r="O1667" s="15"/>
      <c r="P1667" s="15"/>
      <c r="Q1667" s="16"/>
      <c r="R1667" s="16"/>
      <c r="S1667" s="16"/>
      <c r="T1667" s="17"/>
      <c r="U1667" s="11"/>
      <c r="V1667" s="16"/>
      <c r="W1667" s="11"/>
      <c r="X1667" s="11"/>
      <c r="Y1667" s="15"/>
      <c r="Z1667" s="11"/>
    </row>
    <row r="1668" spans="1:26" x14ac:dyDescent="0.25">
      <c r="A1668" s="11"/>
      <c r="B1668" s="11"/>
      <c r="C1668" s="11"/>
      <c r="D1668" s="11"/>
      <c r="E1668" s="12"/>
      <c r="F1668" s="13"/>
      <c r="G1668" s="13"/>
      <c r="H1668" s="13"/>
      <c r="I1668" s="11"/>
      <c r="J1668" s="11"/>
      <c r="K1668" s="11"/>
      <c r="L1668" s="11"/>
      <c r="M1668" s="15"/>
      <c r="N1668" s="15"/>
      <c r="O1668" s="15"/>
      <c r="P1668" s="15"/>
      <c r="Q1668" s="16"/>
      <c r="R1668" s="16"/>
      <c r="S1668" s="16"/>
      <c r="T1668" s="17"/>
      <c r="U1668" s="11"/>
      <c r="V1668" s="16"/>
      <c r="W1668" s="11"/>
      <c r="X1668" s="11"/>
      <c r="Y1668" s="15"/>
      <c r="Z1668" s="11"/>
    </row>
    <row r="1669" spans="1:26" x14ac:dyDescent="0.25">
      <c r="A1669" s="11"/>
      <c r="B1669" s="11"/>
      <c r="C1669" s="11"/>
      <c r="D1669" s="11"/>
      <c r="E1669" s="12"/>
      <c r="F1669" s="13"/>
      <c r="G1669" s="13"/>
      <c r="H1669" s="13"/>
      <c r="I1669" s="11"/>
      <c r="J1669" s="11"/>
      <c r="K1669" s="11"/>
      <c r="L1669" s="11"/>
      <c r="M1669" s="15"/>
      <c r="N1669" s="15"/>
      <c r="O1669" s="15"/>
      <c r="P1669" s="15"/>
      <c r="Q1669" s="16"/>
      <c r="R1669" s="16"/>
      <c r="S1669" s="16"/>
      <c r="T1669" s="17"/>
      <c r="U1669" s="11"/>
      <c r="V1669" s="16"/>
      <c r="W1669" s="11"/>
      <c r="X1669" s="11"/>
      <c r="Y1669" s="15"/>
      <c r="Z1669" s="11"/>
    </row>
    <row r="1670" spans="1:26" x14ac:dyDescent="0.25">
      <c r="A1670" s="11"/>
      <c r="B1670" s="11"/>
      <c r="C1670" s="11"/>
      <c r="D1670" s="11"/>
      <c r="E1670" s="12"/>
      <c r="F1670" s="13"/>
      <c r="G1670" s="13"/>
      <c r="H1670" s="13"/>
      <c r="I1670" s="11"/>
      <c r="J1670" s="11"/>
      <c r="K1670" s="11"/>
      <c r="L1670" s="11"/>
      <c r="M1670" s="15"/>
      <c r="N1670" s="15"/>
      <c r="O1670" s="15"/>
      <c r="P1670" s="15"/>
      <c r="Q1670" s="16"/>
      <c r="R1670" s="16"/>
      <c r="S1670" s="16"/>
      <c r="T1670" s="17"/>
      <c r="U1670" s="11"/>
      <c r="V1670" s="16"/>
      <c r="W1670" s="11"/>
      <c r="X1670" s="11"/>
      <c r="Y1670" s="15"/>
      <c r="Z1670" s="11"/>
    </row>
    <row r="1671" spans="1:26" x14ac:dyDescent="0.25">
      <c r="A1671" s="11"/>
      <c r="B1671" s="11"/>
      <c r="C1671" s="11"/>
      <c r="D1671" s="11"/>
      <c r="E1671" s="12"/>
      <c r="F1671" s="13"/>
      <c r="G1671" s="13"/>
      <c r="H1671" s="13"/>
      <c r="I1671" s="11"/>
      <c r="J1671" s="11"/>
      <c r="K1671" s="11"/>
      <c r="L1671" s="11"/>
      <c r="M1671" s="15"/>
      <c r="N1671" s="15"/>
      <c r="O1671" s="15"/>
      <c r="P1671" s="15"/>
      <c r="Q1671" s="16"/>
      <c r="R1671" s="16"/>
      <c r="S1671" s="16"/>
      <c r="T1671" s="17"/>
      <c r="U1671" s="11"/>
      <c r="V1671" s="16"/>
      <c r="W1671" s="11"/>
      <c r="X1671" s="11"/>
      <c r="Y1671" s="15"/>
      <c r="Z1671" s="11"/>
    </row>
    <row r="1672" spans="1:26" x14ac:dyDescent="0.25">
      <c r="A1672" s="11"/>
      <c r="B1672" s="11"/>
      <c r="C1672" s="11"/>
      <c r="D1672" s="11"/>
      <c r="E1672" s="12"/>
      <c r="F1672" s="13"/>
      <c r="G1672" s="13"/>
      <c r="H1672" s="13"/>
      <c r="I1672" s="11"/>
      <c r="J1672" s="11"/>
      <c r="K1672" s="11"/>
      <c r="L1672" s="11"/>
      <c r="M1672" s="15"/>
      <c r="N1672" s="15"/>
      <c r="O1672" s="15"/>
      <c r="P1672" s="15"/>
      <c r="Q1672" s="16"/>
      <c r="R1672" s="16"/>
      <c r="S1672" s="16"/>
      <c r="T1672" s="17"/>
      <c r="U1672" s="11"/>
      <c r="V1672" s="16"/>
      <c r="W1672" s="11"/>
      <c r="X1672" s="11"/>
      <c r="Y1672" s="15"/>
      <c r="Z1672" s="11"/>
    </row>
    <row r="1673" spans="1:26" x14ac:dyDescent="0.25">
      <c r="A1673" s="11"/>
      <c r="B1673" s="11"/>
      <c r="C1673" s="11"/>
      <c r="D1673" s="11"/>
      <c r="E1673" s="12"/>
      <c r="F1673" s="13"/>
      <c r="G1673" s="13"/>
      <c r="H1673" s="13"/>
      <c r="I1673" s="11"/>
      <c r="J1673" s="11"/>
      <c r="K1673" s="11"/>
      <c r="L1673" s="11"/>
      <c r="M1673" s="15"/>
      <c r="N1673" s="15"/>
      <c r="O1673" s="15"/>
      <c r="P1673" s="15"/>
      <c r="Q1673" s="16"/>
      <c r="R1673" s="16"/>
      <c r="S1673" s="16"/>
      <c r="T1673" s="17"/>
      <c r="U1673" s="11"/>
      <c r="V1673" s="16"/>
      <c r="W1673" s="11"/>
      <c r="X1673" s="11"/>
      <c r="Y1673" s="15"/>
      <c r="Z1673" s="11"/>
    </row>
    <row r="1674" spans="1:26" x14ac:dyDescent="0.25">
      <c r="A1674" s="11"/>
      <c r="B1674" s="11"/>
      <c r="C1674" s="11"/>
      <c r="D1674" s="11"/>
      <c r="E1674" s="12"/>
      <c r="F1674" s="13"/>
      <c r="G1674" s="13"/>
      <c r="H1674" s="13"/>
      <c r="I1674" s="11"/>
      <c r="J1674" s="11"/>
      <c r="K1674" s="11"/>
      <c r="L1674" s="11"/>
      <c r="M1674" s="15"/>
      <c r="N1674" s="15"/>
      <c r="O1674" s="15"/>
      <c r="P1674" s="15"/>
      <c r="Q1674" s="16"/>
      <c r="R1674" s="16"/>
      <c r="S1674" s="16"/>
      <c r="T1674" s="17"/>
      <c r="U1674" s="11"/>
      <c r="V1674" s="16"/>
      <c r="W1674" s="11"/>
      <c r="X1674" s="11"/>
      <c r="Y1674" s="15"/>
      <c r="Z1674" s="11"/>
    </row>
    <row r="1675" spans="1:26" x14ac:dyDescent="0.25">
      <c r="A1675" s="11"/>
      <c r="B1675" s="11"/>
      <c r="C1675" s="11"/>
      <c r="D1675" s="11"/>
      <c r="E1675" s="12"/>
      <c r="F1675" s="13"/>
      <c r="G1675" s="13"/>
      <c r="H1675" s="13"/>
      <c r="I1675" s="11"/>
      <c r="J1675" s="11"/>
      <c r="K1675" s="11"/>
      <c r="L1675" s="11"/>
      <c r="M1675" s="15"/>
      <c r="N1675" s="15"/>
      <c r="O1675" s="15"/>
      <c r="P1675" s="15"/>
      <c r="Q1675" s="16"/>
      <c r="R1675" s="16"/>
      <c r="S1675" s="16"/>
      <c r="T1675" s="17"/>
      <c r="U1675" s="11"/>
      <c r="V1675" s="16"/>
      <c r="W1675" s="11"/>
      <c r="X1675" s="11"/>
      <c r="Y1675" s="15"/>
      <c r="Z1675" s="11"/>
    </row>
    <row r="1676" spans="1:26" x14ac:dyDescent="0.25">
      <c r="A1676" s="11"/>
      <c r="B1676" s="11"/>
      <c r="C1676" s="11"/>
      <c r="D1676" s="11"/>
      <c r="E1676" s="12"/>
      <c r="F1676" s="13"/>
      <c r="G1676" s="13"/>
      <c r="H1676" s="13"/>
      <c r="I1676" s="11"/>
      <c r="J1676" s="11"/>
      <c r="K1676" s="11"/>
      <c r="L1676" s="11"/>
      <c r="M1676" s="15"/>
      <c r="N1676" s="15"/>
      <c r="O1676" s="15"/>
      <c r="P1676" s="15"/>
      <c r="Q1676" s="16"/>
      <c r="R1676" s="16"/>
      <c r="S1676" s="16"/>
      <c r="T1676" s="17"/>
      <c r="U1676" s="11"/>
      <c r="V1676" s="16"/>
      <c r="W1676" s="11"/>
      <c r="X1676" s="11"/>
      <c r="Y1676" s="15"/>
      <c r="Z1676" s="11"/>
    </row>
    <row r="1677" spans="1:26" x14ac:dyDescent="0.25">
      <c r="A1677" s="11"/>
      <c r="B1677" s="11"/>
      <c r="C1677" s="11"/>
      <c r="D1677" s="11"/>
      <c r="E1677" s="12"/>
      <c r="F1677" s="13"/>
      <c r="G1677" s="13"/>
      <c r="H1677" s="13"/>
      <c r="I1677" s="11"/>
      <c r="J1677" s="11"/>
      <c r="K1677" s="11"/>
      <c r="L1677" s="11"/>
      <c r="M1677" s="15"/>
      <c r="N1677" s="15"/>
      <c r="O1677" s="15"/>
      <c r="P1677" s="15"/>
      <c r="Q1677" s="16"/>
      <c r="R1677" s="16"/>
      <c r="S1677" s="16"/>
      <c r="T1677" s="17"/>
      <c r="U1677" s="11"/>
      <c r="V1677" s="16"/>
      <c r="W1677" s="11"/>
      <c r="X1677" s="11"/>
      <c r="Y1677" s="15"/>
      <c r="Z1677" s="11"/>
    </row>
    <row r="1678" spans="1:26" x14ac:dyDescent="0.25">
      <c r="A1678" s="18"/>
      <c r="B1678" s="18"/>
      <c r="C1678" s="18"/>
      <c r="D1678" s="18"/>
      <c r="E1678" s="19"/>
      <c r="F1678" s="20"/>
      <c r="G1678" s="13"/>
      <c r="H1678" s="20"/>
      <c r="I1678" s="18"/>
      <c r="J1678" s="18"/>
      <c r="K1678" s="18"/>
      <c r="L1678" s="18"/>
      <c r="M1678" s="21"/>
      <c r="N1678" s="21"/>
      <c r="O1678" s="21"/>
      <c r="P1678" s="21"/>
      <c r="Q1678" s="22"/>
      <c r="R1678" s="19"/>
      <c r="S1678" s="22"/>
      <c r="T1678" s="23"/>
      <c r="U1678" s="18"/>
      <c r="V1678" s="22"/>
      <c r="W1678" s="18"/>
      <c r="X1678" s="18"/>
      <c r="Y1678" s="21"/>
      <c r="Z1678" s="18"/>
    </row>
    <row r="1679" spans="1:26" x14ac:dyDescent="0.25">
      <c r="A1679" s="11"/>
      <c r="B1679" s="11"/>
      <c r="C1679" s="11"/>
      <c r="D1679" s="11"/>
      <c r="E1679" s="12"/>
      <c r="F1679" s="13"/>
      <c r="G1679" s="13"/>
      <c r="H1679" s="13"/>
      <c r="I1679" s="11"/>
      <c r="J1679" s="11"/>
      <c r="K1679" s="11"/>
      <c r="L1679" s="11"/>
      <c r="M1679" s="15"/>
      <c r="N1679" s="15"/>
      <c r="O1679" s="15"/>
      <c r="P1679" s="15"/>
      <c r="Q1679" s="16"/>
      <c r="R1679" s="16"/>
      <c r="S1679" s="16"/>
      <c r="T1679" s="17"/>
      <c r="U1679" s="11"/>
      <c r="V1679" s="16"/>
      <c r="W1679" s="11"/>
      <c r="X1679" s="11"/>
      <c r="Y1679" s="15"/>
      <c r="Z1679" s="11"/>
    </row>
    <row r="1680" spans="1:26" x14ac:dyDescent="0.25">
      <c r="A1680" s="11"/>
      <c r="B1680" s="11"/>
      <c r="C1680" s="11"/>
      <c r="D1680" s="11"/>
      <c r="E1680" s="12"/>
      <c r="F1680" s="13"/>
      <c r="G1680" s="13"/>
      <c r="H1680" s="13"/>
      <c r="I1680" s="11"/>
      <c r="J1680" s="11"/>
      <c r="K1680" s="11"/>
      <c r="L1680" s="11"/>
      <c r="M1680" s="15"/>
      <c r="N1680" s="15"/>
      <c r="O1680" s="15"/>
      <c r="P1680" s="15"/>
      <c r="Q1680" s="16"/>
      <c r="R1680" s="16"/>
      <c r="S1680" s="16"/>
      <c r="T1680" s="17"/>
      <c r="U1680" s="11"/>
      <c r="V1680" s="16"/>
      <c r="W1680" s="11"/>
      <c r="X1680" s="11"/>
      <c r="Y1680" s="15"/>
      <c r="Z1680" s="11"/>
    </row>
    <row r="1681" spans="1:26" x14ac:dyDescent="0.25">
      <c r="A1681" s="11"/>
      <c r="B1681" s="11"/>
      <c r="C1681" s="11"/>
      <c r="D1681" s="11"/>
      <c r="E1681" s="12"/>
      <c r="F1681" s="13"/>
      <c r="G1681" s="13"/>
      <c r="H1681" s="13"/>
      <c r="I1681" s="11"/>
      <c r="J1681" s="11"/>
      <c r="K1681" s="11"/>
      <c r="L1681" s="11"/>
      <c r="M1681" s="15"/>
      <c r="N1681" s="15"/>
      <c r="O1681" s="15"/>
      <c r="P1681" s="15"/>
      <c r="Q1681" s="16"/>
      <c r="R1681" s="16"/>
      <c r="S1681" s="16"/>
      <c r="T1681" s="17"/>
      <c r="U1681" s="11"/>
      <c r="V1681" s="16"/>
      <c r="W1681" s="11"/>
      <c r="X1681" s="11"/>
      <c r="Y1681" s="15"/>
      <c r="Z1681" s="11"/>
    </row>
    <row r="1682" spans="1:26" x14ac:dyDescent="0.25">
      <c r="A1682" s="11"/>
      <c r="B1682" s="11"/>
      <c r="C1682" s="11"/>
      <c r="D1682" s="11"/>
      <c r="E1682" s="12"/>
      <c r="F1682" s="13"/>
      <c r="G1682" s="13"/>
      <c r="H1682" s="13"/>
      <c r="I1682" s="11"/>
      <c r="J1682" s="11"/>
      <c r="K1682" s="11"/>
      <c r="L1682" s="11"/>
      <c r="M1682" s="15"/>
      <c r="N1682" s="15"/>
      <c r="O1682" s="15"/>
      <c r="P1682" s="15"/>
      <c r="Q1682" s="16"/>
      <c r="R1682" s="16"/>
      <c r="S1682" s="16"/>
      <c r="T1682" s="17"/>
      <c r="U1682" s="11"/>
      <c r="V1682" s="16"/>
      <c r="W1682" s="11"/>
      <c r="X1682" s="11"/>
      <c r="Y1682" s="15"/>
      <c r="Z1682" s="11"/>
    </row>
    <row r="1683" spans="1:26" x14ac:dyDescent="0.25">
      <c r="A1683" s="11"/>
      <c r="B1683" s="11"/>
      <c r="C1683" s="11"/>
      <c r="D1683" s="11"/>
      <c r="E1683" s="12"/>
      <c r="F1683" s="13"/>
      <c r="G1683" s="13"/>
      <c r="H1683" s="13"/>
      <c r="I1683" s="11"/>
      <c r="J1683" s="11"/>
      <c r="K1683" s="11"/>
      <c r="L1683" s="11"/>
      <c r="M1683" s="15"/>
      <c r="N1683" s="15"/>
      <c r="O1683" s="15"/>
      <c r="P1683" s="15"/>
      <c r="Q1683" s="16"/>
      <c r="R1683" s="16"/>
      <c r="S1683" s="16"/>
      <c r="T1683" s="17"/>
      <c r="U1683" s="11"/>
      <c r="V1683" s="16"/>
      <c r="W1683" s="11"/>
      <c r="X1683" s="11"/>
      <c r="Y1683" s="15"/>
      <c r="Z1683" s="11"/>
    </row>
    <row r="1684" spans="1:26" x14ac:dyDescent="0.25">
      <c r="A1684" s="11"/>
      <c r="B1684" s="11"/>
      <c r="C1684" s="11"/>
      <c r="D1684" s="11"/>
      <c r="E1684" s="12"/>
      <c r="F1684" s="13"/>
      <c r="G1684" s="13"/>
      <c r="H1684" s="13"/>
      <c r="I1684" s="11"/>
      <c r="J1684" s="11"/>
      <c r="K1684" s="11"/>
      <c r="L1684" s="11"/>
      <c r="M1684" s="15"/>
      <c r="N1684" s="15"/>
      <c r="O1684" s="15"/>
      <c r="P1684" s="15"/>
      <c r="Q1684" s="16"/>
      <c r="R1684" s="16"/>
      <c r="S1684" s="16"/>
      <c r="T1684" s="17"/>
      <c r="U1684" s="11"/>
      <c r="V1684" s="16"/>
      <c r="W1684" s="11"/>
      <c r="X1684" s="11"/>
      <c r="Y1684" s="15"/>
      <c r="Z1684" s="11"/>
    </row>
    <row r="1685" spans="1:26" x14ac:dyDescent="0.25">
      <c r="A1685" s="11"/>
      <c r="B1685" s="11"/>
      <c r="C1685" s="11"/>
      <c r="D1685" s="11"/>
      <c r="E1685" s="12"/>
      <c r="F1685" s="13"/>
      <c r="G1685" s="13"/>
      <c r="H1685" s="13"/>
      <c r="I1685" s="11"/>
      <c r="J1685" s="11"/>
      <c r="K1685" s="11"/>
      <c r="L1685" s="11"/>
      <c r="M1685" s="15"/>
      <c r="N1685" s="15"/>
      <c r="O1685" s="15"/>
      <c r="P1685" s="15"/>
      <c r="Q1685" s="16"/>
      <c r="R1685" s="16"/>
      <c r="S1685" s="16"/>
      <c r="T1685" s="17"/>
      <c r="U1685" s="11"/>
      <c r="V1685" s="16"/>
      <c r="W1685" s="11"/>
      <c r="X1685" s="11"/>
      <c r="Y1685" s="15"/>
      <c r="Z1685" s="11"/>
    </row>
    <row r="1686" spans="1:26" x14ac:dyDescent="0.25">
      <c r="A1686" s="11"/>
      <c r="B1686" s="11"/>
      <c r="C1686" s="11"/>
      <c r="D1686" s="11"/>
      <c r="E1686" s="12"/>
      <c r="F1686" s="13"/>
      <c r="G1686" s="13"/>
      <c r="H1686" s="13"/>
      <c r="I1686" s="11"/>
      <c r="J1686" s="11"/>
      <c r="K1686" s="11"/>
      <c r="L1686" s="11"/>
      <c r="M1686" s="15"/>
      <c r="N1686" s="15"/>
      <c r="O1686" s="15"/>
      <c r="P1686" s="15"/>
      <c r="Q1686" s="16"/>
      <c r="R1686" s="16"/>
      <c r="S1686" s="16"/>
      <c r="T1686" s="17"/>
      <c r="U1686" s="11"/>
      <c r="V1686" s="16"/>
      <c r="W1686" s="11"/>
      <c r="X1686" s="11"/>
      <c r="Y1686" s="15"/>
      <c r="Z1686" s="11"/>
    </row>
    <row r="1687" spans="1:26" x14ac:dyDescent="0.25">
      <c r="A1687" s="11"/>
      <c r="B1687" s="11"/>
      <c r="C1687" s="11"/>
      <c r="D1687" s="11"/>
      <c r="E1687" s="12"/>
      <c r="F1687" s="13"/>
      <c r="G1687" s="13"/>
      <c r="H1687" s="13"/>
      <c r="I1687" s="11"/>
      <c r="J1687" s="11"/>
      <c r="K1687" s="11"/>
      <c r="L1687" s="11"/>
      <c r="M1687" s="15"/>
      <c r="N1687" s="15"/>
      <c r="O1687" s="15"/>
      <c r="P1687" s="15"/>
      <c r="Q1687" s="16"/>
      <c r="R1687" s="16"/>
      <c r="S1687" s="16"/>
      <c r="T1687" s="17"/>
      <c r="U1687" s="11"/>
      <c r="V1687" s="16"/>
      <c r="W1687" s="11"/>
      <c r="X1687" s="11"/>
      <c r="Y1687" s="15"/>
      <c r="Z1687" s="11"/>
    </row>
    <row r="1688" spans="1:26" x14ac:dyDescent="0.25">
      <c r="A1688" s="11"/>
      <c r="B1688" s="11"/>
      <c r="C1688" s="11"/>
      <c r="D1688" s="11"/>
      <c r="E1688" s="12"/>
      <c r="F1688" s="13"/>
      <c r="G1688" s="13"/>
      <c r="H1688" s="13"/>
      <c r="I1688" s="11"/>
      <c r="J1688" s="11"/>
      <c r="K1688" s="11"/>
      <c r="L1688" s="11"/>
      <c r="M1688" s="15"/>
      <c r="N1688" s="15"/>
      <c r="O1688" s="15"/>
      <c r="P1688" s="15"/>
      <c r="Q1688" s="16"/>
      <c r="R1688" s="16"/>
      <c r="S1688" s="16"/>
      <c r="T1688" s="17"/>
      <c r="U1688" s="11"/>
      <c r="V1688" s="16"/>
      <c r="W1688" s="11"/>
      <c r="X1688" s="11"/>
      <c r="Y1688" s="15"/>
      <c r="Z1688" s="11"/>
    </row>
    <row r="1689" spans="1:26" x14ac:dyDescent="0.25">
      <c r="A1689" s="11"/>
      <c r="B1689" s="11"/>
      <c r="C1689" s="11"/>
      <c r="D1689" s="11"/>
      <c r="E1689" s="12"/>
      <c r="F1689" s="13"/>
      <c r="G1689" s="13"/>
      <c r="H1689" s="13"/>
      <c r="I1689" s="11"/>
      <c r="J1689" s="11"/>
      <c r="K1689" s="11"/>
      <c r="L1689" s="11"/>
      <c r="M1689" s="15"/>
      <c r="N1689" s="15"/>
      <c r="O1689" s="15"/>
      <c r="P1689" s="15"/>
      <c r="Q1689" s="16"/>
      <c r="R1689" s="16"/>
      <c r="S1689" s="16"/>
      <c r="T1689" s="17"/>
      <c r="U1689" s="11"/>
      <c r="V1689" s="16"/>
      <c r="W1689" s="11"/>
      <c r="X1689" s="11"/>
      <c r="Y1689" s="15"/>
      <c r="Z1689" s="11"/>
    </row>
    <row r="1690" spans="1:26" x14ac:dyDescent="0.25">
      <c r="A1690" s="11"/>
      <c r="B1690" s="11"/>
      <c r="C1690" s="11"/>
      <c r="D1690" s="11"/>
      <c r="E1690" s="12"/>
      <c r="F1690" s="13"/>
      <c r="G1690" s="13"/>
      <c r="H1690" s="13"/>
      <c r="I1690" s="11"/>
      <c r="J1690" s="11"/>
      <c r="K1690" s="11"/>
      <c r="L1690" s="11"/>
      <c r="M1690" s="15"/>
      <c r="N1690" s="15"/>
      <c r="O1690" s="15"/>
      <c r="P1690" s="15"/>
      <c r="Q1690" s="16"/>
      <c r="R1690" s="16"/>
      <c r="S1690" s="16"/>
      <c r="T1690" s="17"/>
      <c r="U1690" s="11"/>
      <c r="V1690" s="16"/>
      <c r="W1690" s="11"/>
      <c r="X1690" s="11"/>
      <c r="Y1690" s="15"/>
      <c r="Z1690" s="11"/>
    </row>
    <row r="1691" spans="1:26" x14ac:dyDescent="0.25">
      <c r="A1691" s="11"/>
      <c r="B1691" s="11"/>
      <c r="C1691" s="11"/>
      <c r="D1691" s="11"/>
      <c r="E1691" s="12"/>
      <c r="F1691" s="13"/>
      <c r="G1691" s="13"/>
      <c r="H1691" s="13"/>
      <c r="I1691" s="11"/>
      <c r="J1691" s="11"/>
      <c r="K1691" s="11"/>
      <c r="L1691" s="11"/>
      <c r="M1691" s="15"/>
      <c r="N1691" s="15"/>
      <c r="O1691" s="15"/>
      <c r="P1691" s="15"/>
      <c r="Q1691" s="16"/>
      <c r="R1691" s="16"/>
      <c r="S1691" s="16"/>
      <c r="T1691" s="17"/>
      <c r="U1691" s="11"/>
      <c r="V1691" s="16"/>
      <c r="W1691" s="11"/>
      <c r="X1691" s="11"/>
      <c r="Y1691" s="15"/>
      <c r="Z1691" s="11"/>
    </row>
    <row r="1692" spans="1:26" x14ac:dyDescent="0.25">
      <c r="A1692" s="11"/>
      <c r="B1692" s="11"/>
      <c r="C1692" s="11"/>
      <c r="D1692" s="11"/>
      <c r="E1692" s="12"/>
      <c r="F1692" s="13"/>
      <c r="G1692" s="13"/>
      <c r="H1692" s="13"/>
      <c r="I1692" s="11"/>
      <c r="J1692" s="11"/>
      <c r="K1692" s="11"/>
      <c r="L1692" s="11"/>
      <c r="M1692" s="15"/>
      <c r="N1692" s="15"/>
      <c r="O1692" s="15"/>
      <c r="P1692" s="15"/>
      <c r="Q1692" s="16"/>
      <c r="R1692" s="16"/>
      <c r="S1692" s="16"/>
      <c r="T1692" s="17"/>
      <c r="U1692" s="11"/>
      <c r="V1692" s="16"/>
      <c r="W1692" s="11"/>
      <c r="X1692" s="11"/>
      <c r="Y1692" s="15"/>
      <c r="Z1692" s="11"/>
    </row>
    <row r="1693" spans="1:26" x14ac:dyDescent="0.25">
      <c r="A1693" s="11"/>
      <c r="B1693" s="11"/>
      <c r="C1693" s="11"/>
      <c r="D1693" s="11"/>
      <c r="E1693" s="12"/>
      <c r="F1693" s="13"/>
      <c r="G1693" s="13"/>
      <c r="H1693" s="13"/>
      <c r="I1693" s="11"/>
      <c r="J1693" s="11"/>
      <c r="K1693" s="11"/>
      <c r="L1693" s="11"/>
      <c r="M1693" s="15"/>
      <c r="N1693" s="15"/>
      <c r="O1693" s="15"/>
      <c r="P1693" s="15"/>
      <c r="Q1693" s="16"/>
      <c r="R1693" s="16"/>
      <c r="S1693" s="16"/>
      <c r="T1693" s="17"/>
      <c r="U1693" s="11"/>
      <c r="V1693" s="16"/>
      <c r="W1693" s="11"/>
      <c r="X1693" s="11"/>
      <c r="Y1693" s="15"/>
      <c r="Z1693" s="11"/>
    </row>
    <row r="1694" spans="1:26" x14ac:dyDescent="0.25">
      <c r="A1694" s="11"/>
      <c r="B1694" s="11"/>
      <c r="C1694" s="11"/>
      <c r="D1694" s="11"/>
      <c r="E1694" s="12"/>
      <c r="F1694" s="13"/>
      <c r="G1694" s="13"/>
      <c r="H1694" s="13"/>
      <c r="I1694" s="11"/>
      <c r="J1694" s="11"/>
      <c r="K1694" s="11"/>
      <c r="L1694" s="11"/>
      <c r="M1694" s="15"/>
      <c r="N1694" s="15"/>
      <c r="O1694" s="15"/>
      <c r="P1694" s="15"/>
      <c r="Q1694" s="16"/>
      <c r="R1694" s="16"/>
      <c r="S1694" s="16"/>
      <c r="T1694" s="17"/>
      <c r="U1694" s="11"/>
      <c r="V1694" s="16"/>
      <c r="W1694" s="11"/>
      <c r="X1694" s="11"/>
      <c r="Y1694" s="15"/>
      <c r="Z1694" s="11"/>
    </row>
    <row r="1695" spans="1:26" x14ac:dyDescent="0.25">
      <c r="A1695" s="18"/>
      <c r="B1695" s="18"/>
      <c r="C1695" s="18"/>
      <c r="D1695" s="18"/>
      <c r="E1695" s="19"/>
      <c r="F1695" s="20"/>
      <c r="G1695" s="13"/>
      <c r="H1695" s="20"/>
      <c r="I1695" s="18"/>
      <c r="J1695" s="18"/>
      <c r="K1695" s="18"/>
      <c r="L1695" s="18"/>
      <c r="M1695" s="21"/>
      <c r="N1695" s="21"/>
      <c r="O1695" s="21"/>
      <c r="P1695" s="21"/>
      <c r="Q1695" s="22"/>
      <c r="R1695" s="19"/>
      <c r="S1695" s="22"/>
      <c r="T1695" s="23"/>
      <c r="U1695" s="18"/>
      <c r="V1695" s="22"/>
      <c r="W1695" s="18"/>
      <c r="X1695" s="18"/>
      <c r="Y1695" s="21"/>
      <c r="Z1695" s="18"/>
    </row>
    <row r="1696" spans="1:26" x14ac:dyDescent="0.25">
      <c r="A1696" s="18"/>
      <c r="B1696" s="18"/>
      <c r="C1696" s="18"/>
      <c r="D1696" s="18"/>
      <c r="E1696" s="19"/>
      <c r="F1696" s="20"/>
      <c r="G1696" s="13"/>
      <c r="H1696" s="20"/>
      <c r="I1696" s="18"/>
      <c r="J1696" s="18"/>
      <c r="K1696" s="18"/>
      <c r="L1696" s="18"/>
      <c r="M1696" s="21"/>
      <c r="N1696" s="21"/>
      <c r="O1696" s="21"/>
      <c r="P1696" s="21"/>
      <c r="Q1696" s="22"/>
      <c r="R1696" s="19"/>
      <c r="S1696" s="22"/>
      <c r="T1696" s="23"/>
      <c r="U1696" s="18"/>
      <c r="V1696" s="22"/>
      <c r="W1696" s="18"/>
      <c r="X1696" s="18"/>
      <c r="Y1696" s="21"/>
      <c r="Z1696" s="18"/>
    </row>
    <row r="1697" spans="1:26" x14ac:dyDescent="0.25">
      <c r="A1697" s="18"/>
      <c r="B1697" s="18"/>
      <c r="C1697" s="18"/>
      <c r="D1697" s="18"/>
      <c r="E1697" s="19"/>
      <c r="F1697" s="20"/>
      <c r="G1697" s="13"/>
      <c r="H1697" s="20"/>
      <c r="I1697" s="18"/>
      <c r="J1697" s="18"/>
      <c r="K1697" s="18"/>
      <c r="L1697" s="18"/>
      <c r="M1697" s="21"/>
      <c r="N1697" s="21"/>
      <c r="O1697" s="21"/>
      <c r="P1697" s="21"/>
      <c r="Q1697" s="22"/>
      <c r="R1697" s="19"/>
      <c r="S1697" s="22"/>
      <c r="T1697" s="23"/>
      <c r="U1697" s="18"/>
      <c r="V1697" s="22"/>
      <c r="W1697" s="18"/>
      <c r="X1697" s="18"/>
      <c r="Y1697" s="21"/>
      <c r="Z1697" s="18"/>
    </row>
    <row r="1698" spans="1:26" x14ac:dyDescent="0.25">
      <c r="A1698" s="19"/>
      <c r="B1698" s="19"/>
      <c r="C1698" s="19"/>
      <c r="D1698" s="19"/>
      <c r="E1698" s="19"/>
      <c r="F1698" s="20"/>
      <c r="G1698" s="13"/>
      <c r="H1698" s="20"/>
      <c r="I1698" s="19"/>
      <c r="J1698" s="19"/>
      <c r="K1698" s="19"/>
      <c r="L1698" s="19"/>
      <c r="M1698" s="21"/>
      <c r="N1698" s="21"/>
      <c r="O1698" s="21"/>
      <c r="P1698" s="21"/>
      <c r="Q1698" s="22"/>
      <c r="R1698" s="19"/>
      <c r="S1698" s="22"/>
      <c r="T1698" s="23"/>
      <c r="U1698" s="19"/>
      <c r="V1698" s="22"/>
      <c r="W1698" s="19"/>
      <c r="X1698" s="19"/>
      <c r="Y1698" s="21"/>
      <c r="Z1698" s="19"/>
    </row>
    <row r="1699" spans="1:26" x14ac:dyDescent="0.25">
      <c r="A1699" s="11"/>
      <c r="B1699" s="11"/>
      <c r="C1699" s="11"/>
      <c r="D1699" s="11"/>
      <c r="E1699" s="12"/>
      <c r="F1699" s="13"/>
      <c r="G1699" s="13"/>
      <c r="H1699" s="13"/>
      <c r="I1699" s="11"/>
      <c r="J1699" s="11"/>
      <c r="K1699" s="11"/>
      <c r="L1699" s="11"/>
      <c r="M1699" s="15"/>
      <c r="N1699" s="15"/>
      <c r="O1699" s="15"/>
      <c r="P1699" s="15"/>
      <c r="Q1699" s="16"/>
      <c r="R1699" s="16"/>
      <c r="S1699" s="16"/>
      <c r="T1699" s="17"/>
      <c r="U1699" s="11"/>
      <c r="V1699" s="16"/>
      <c r="W1699" s="11"/>
      <c r="X1699" s="11"/>
      <c r="Y1699" s="15"/>
      <c r="Z1699" s="11"/>
    </row>
    <row r="1700" spans="1:26" x14ac:dyDescent="0.25">
      <c r="A1700" s="11"/>
      <c r="B1700" s="11"/>
      <c r="C1700" s="11"/>
      <c r="D1700" s="11"/>
      <c r="E1700" s="12"/>
      <c r="F1700" s="13"/>
      <c r="G1700" s="13"/>
      <c r="H1700" s="13"/>
      <c r="I1700" s="11"/>
      <c r="J1700" s="11"/>
      <c r="K1700" s="11"/>
      <c r="L1700" s="11"/>
      <c r="M1700" s="15"/>
      <c r="N1700" s="15"/>
      <c r="O1700" s="15"/>
      <c r="P1700" s="15"/>
      <c r="Q1700" s="16"/>
      <c r="R1700" s="16"/>
      <c r="S1700" s="16"/>
      <c r="T1700" s="17"/>
      <c r="U1700" s="11"/>
      <c r="V1700" s="16"/>
      <c r="W1700" s="11"/>
      <c r="X1700" s="11"/>
      <c r="Y1700" s="15"/>
      <c r="Z1700" s="11"/>
    </row>
    <row r="1701" spans="1:26" x14ac:dyDescent="0.25">
      <c r="A1701" s="11"/>
      <c r="B1701" s="11"/>
      <c r="C1701" s="11"/>
      <c r="D1701" s="11"/>
      <c r="E1701" s="12"/>
      <c r="F1701" s="13"/>
      <c r="G1701" s="13"/>
      <c r="H1701" s="13"/>
      <c r="I1701" s="11"/>
      <c r="J1701" s="11"/>
      <c r="K1701" s="11"/>
      <c r="L1701" s="11"/>
      <c r="M1701" s="15"/>
      <c r="N1701" s="15"/>
      <c r="O1701" s="15"/>
      <c r="P1701" s="15"/>
      <c r="Q1701" s="16"/>
      <c r="R1701" s="16"/>
      <c r="S1701" s="16"/>
      <c r="T1701" s="17"/>
      <c r="U1701" s="11"/>
      <c r="V1701" s="16"/>
      <c r="W1701" s="11"/>
      <c r="X1701" s="11"/>
      <c r="Y1701" s="15"/>
      <c r="Z1701" s="11"/>
    </row>
    <row r="1702" spans="1:26" x14ac:dyDescent="0.25">
      <c r="A1702" s="11"/>
      <c r="B1702" s="11"/>
      <c r="C1702" s="11"/>
      <c r="D1702" s="11"/>
      <c r="E1702" s="12"/>
      <c r="F1702" s="13"/>
      <c r="G1702" s="13"/>
      <c r="H1702" s="13"/>
      <c r="I1702" s="11"/>
      <c r="J1702" s="11"/>
      <c r="K1702" s="11"/>
      <c r="L1702" s="11"/>
      <c r="M1702" s="15"/>
      <c r="N1702" s="15"/>
      <c r="O1702" s="15"/>
      <c r="P1702" s="15"/>
      <c r="Q1702" s="16"/>
      <c r="R1702" s="16"/>
      <c r="S1702" s="16"/>
      <c r="T1702" s="17"/>
      <c r="U1702" s="11"/>
      <c r="V1702" s="16"/>
      <c r="W1702" s="11"/>
      <c r="X1702" s="11"/>
      <c r="Y1702" s="15"/>
      <c r="Z1702" s="11"/>
    </row>
    <row r="1703" spans="1:26" x14ac:dyDescent="0.25">
      <c r="A1703" s="11"/>
      <c r="B1703" s="11"/>
      <c r="C1703" s="11"/>
      <c r="D1703" s="11"/>
      <c r="E1703" s="12"/>
      <c r="F1703" s="13"/>
      <c r="G1703" s="13"/>
      <c r="H1703" s="13"/>
      <c r="I1703" s="11"/>
      <c r="J1703" s="11"/>
      <c r="K1703" s="11"/>
      <c r="L1703" s="11"/>
      <c r="M1703" s="15"/>
      <c r="N1703" s="15"/>
      <c r="O1703" s="15"/>
      <c r="P1703" s="15"/>
      <c r="Q1703" s="16"/>
      <c r="R1703" s="16"/>
      <c r="S1703" s="16"/>
      <c r="T1703" s="17"/>
      <c r="U1703" s="11"/>
      <c r="V1703" s="16"/>
      <c r="W1703" s="11"/>
      <c r="X1703" s="11"/>
      <c r="Y1703" s="15"/>
      <c r="Z1703" s="11"/>
    </row>
    <row r="1704" spans="1:26" x14ac:dyDescent="0.25">
      <c r="A1704" s="11"/>
      <c r="B1704" s="11"/>
      <c r="C1704" s="11"/>
      <c r="D1704" s="11"/>
      <c r="E1704" s="12"/>
      <c r="F1704" s="13"/>
      <c r="G1704" s="13"/>
      <c r="H1704" s="13"/>
      <c r="I1704" s="11"/>
      <c r="J1704" s="11"/>
      <c r="K1704" s="11"/>
      <c r="L1704" s="11"/>
      <c r="M1704" s="15"/>
      <c r="N1704" s="15"/>
      <c r="O1704" s="15"/>
      <c r="P1704" s="15"/>
      <c r="Q1704" s="16"/>
      <c r="R1704" s="16"/>
      <c r="S1704" s="16"/>
      <c r="T1704" s="17"/>
      <c r="U1704" s="11"/>
      <c r="V1704" s="16"/>
      <c r="W1704" s="11"/>
      <c r="X1704" s="11"/>
      <c r="Y1704" s="15"/>
      <c r="Z1704" s="11"/>
    </row>
    <row r="1705" spans="1:26" x14ac:dyDescent="0.25">
      <c r="A1705" s="11"/>
      <c r="B1705" s="11"/>
      <c r="C1705" s="11"/>
      <c r="D1705" s="11"/>
      <c r="E1705" s="12"/>
      <c r="F1705" s="13"/>
      <c r="G1705" s="13"/>
      <c r="H1705" s="13"/>
      <c r="I1705" s="11"/>
      <c r="J1705" s="11"/>
      <c r="K1705" s="11"/>
      <c r="L1705" s="11"/>
      <c r="M1705" s="15"/>
      <c r="N1705" s="15"/>
      <c r="O1705" s="15"/>
      <c r="P1705" s="15"/>
      <c r="Q1705" s="16"/>
      <c r="R1705" s="16"/>
      <c r="S1705" s="16"/>
      <c r="T1705" s="17"/>
      <c r="U1705" s="11"/>
      <c r="V1705" s="16"/>
      <c r="W1705" s="11"/>
      <c r="X1705" s="11"/>
      <c r="Y1705" s="15"/>
      <c r="Z1705" s="11"/>
    </row>
    <row r="1706" spans="1:26" x14ac:dyDescent="0.25">
      <c r="A1706" s="11"/>
      <c r="B1706" s="11"/>
      <c r="C1706" s="11"/>
      <c r="D1706" s="11"/>
      <c r="E1706" s="12"/>
      <c r="F1706" s="13"/>
      <c r="G1706" s="13"/>
      <c r="H1706" s="13"/>
      <c r="I1706" s="11"/>
      <c r="J1706" s="11"/>
      <c r="K1706" s="11"/>
      <c r="L1706" s="11"/>
      <c r="M1706" s="15"/>
      <c r="N1706" s="15"/>
      <c r="O1706" s="15"/>
      <c r="P1706" s="15"/>
      <c r="Q1706" s="16"/>
      <c r="R1706" s="16"/>
      <c r="S1706" s="16"/>
      <c r="T1706" s="17"/>
      <c r="U1706" s="11"/>
      <c r="V1706" s="16"/>
      <c r="W1706" s="11"/>
      <c r="X1706" s="11"/>
      <c r="Y1706" s="15"/>
      <c r="Z1706" s="11"/>
    </row>
    <row r="1707" spans="1:26" x14ac:dyDescent="0.25">
      <c r="A1707" s="11"/>
      <c r="B1707" s="11"/>
      <c r="C1707" s="11"/>
      <c r="D1707" s="11"/>
      <c r="E1707" s="12"/>
      <c r="F1707" s="13"/>
      <c r="G1707" s="13"/>
      <c r="H1707" s="13"/>
      <c r="I1707" s="11"/>
      <c r="J1707" s="11"/>
      <c r="K1707" s="11"/>
      <c r="L1707" s="11"/>
      <c r="M1707" s="15"/>
      <c r="N1707" s="15"/>
      <c r="O1707" s="15"/>
      <c r="P1707" s="15"/>
      <c r="Q1707" s="16"/>
      <c r="R1707" s="16"/>
      <c r="S1707" s="16"/>
      <c r="T1707" s="17"/>
      <c r="U1707" s="11"/>
      <c r="V1707" s="16"/>
      <c r="W1707" s="11"/>
      <c r="X1707" s="11"/>
      <c r="Y1707" s="15"/>
      <c r="Z1707" s="11"/>
    </row>
    <row r="1708" spans="1:26" x14ac:dyDescent="0.25">
      <c r="A1708" s="11"/>
      <c r="B1708" s="11"/>
      <c r="C1708" s="11"/>
      <c r="D1708" s="11"/>
      <c r="E1708" s="12"/>
      <c r="F1708" s="13"/>
      <c r="G1708" s="13"/>
      <c r="H1708" s="13"/>
      <c r="I1708" s="11"/>
      <c r="J1708" s="11"/>
      <c r="K1708" s="11"/>
      <c r="L1708" s="11"/>
      <c r="M1708" s="15"/>
      <c r="N1708" s="15"/>
      <c r="O1708" s="15"/>
      <c r="P1708" s="15"/>
      <c r="Q1708" s="16"/>
      <c r="R1708" s="16"/>
      <c r="S1708" s="16"/>
      <c r="T1708" s="17"/>
      <c r="U1708" s="11"/>
      <c r="V1708" s="16"/>
      <c r="W1708" s="11"/>
      <c r="X1708" s="11"/>
      <c r="Y1708" s="15"/>
      <c r="Z1708" s="11"/>
    </row>
    <row r="1709" spans="1:26" x14ac:dyDescent="0.25">
      <c r="A1709" s="11"/>
      <c r="B1709" s="11"/>
      <c r="C1709" s="11"/>
      <c r="D1709" s="11"/>
      <c r="E1709" s="12"/>
      <c r="F1709" s="13"/>
      <c r="G1709" s="13"/>
      <c r="H1709" s="13"/>
      <c r="I1709" s="11"/>
      <c r="J1709" s="11"/>
      <c r="K1709" s="11"/>
      <c r="L1709" s="11"/>
      <c r="M1709" s="15"/>
      <c r="N1709" s="15"/>
      <c r="O1709" s="15"/>
      <c r="P1709" s="15"/>
      <c r="Q1709" s="16"/>
      <c r="R1709" s="16"/>
      <c r="S1709" s="16"/>
      <c r="T1709" s="17"/>
      <c r="U1709" s="11"/>
      <c r="V1709" s="16"/>
      <c r="W1709" s="11"/>
      <c r="X1709" s="11"/>
      <c r="Y1709" s="15"/>
      <c r="Z1709" s="11"/>
    </row>
    <row r="1710" spans="1:26" x14ac:dyDescent="0.25">
      <c r="A1710" s="19"/>
      <c r="B1710" s="19"/>
      <c r="C1710" s="19"/>
      <c r="D1710" s="19"/>
      <c r="E1710" s="19"/>
      <c r="F1710" s="20"/>
      <c r="G1710" s="13"/>
      <c r="H1710" s="20"/>
      <c r="I1710" s="19"/>
      <c r="J1710" s="19"/>
      <c r="K1710" s="19"/>
      <c r="L1710" s="19"/>
      <c r="M1710" s="21"/>
      <c r="N1710" s="21"/>
      <c r="O1710" s="21"/>
      <c r="P1710" s="21"/>
      <c r="Q1710" s="22"/>
      <c r="R1710" s="19"/>
      <c r="S1710" s="22"/>
      <c r="T1710" s="23"/>
      <c r="U1710" s="19"/>
      <c r="V1710" s="22"/>
      <c r="W1710" s="19"/>
      <c r="X1710" s="19"/>
      <c r="Y1710" s="21"/>
      <c r="Z1710" s="19"/>
    </row>
    <row r="1711" spans="1:26" x14ac:dyDescent="0.25">
      <c r="A1711" s="11"/>
      <c r="B1711" s="11"/>
      <c r="C1711" s="11"/>
      <c r="D1711" s="11"/>
      <c r="E1711" s="12"/>
      <c r="F1711" s="13"/>
      <c r="G1711" s="13"/>
      <c r="H1711" s="13"/>
      <c r="I1711" s="11"/>
      <c r="J1711" s="11"/>
      <c r="K1711" s="11"/>
      <c r="L1711" s="11"/>
      <c r="M1711" s="15"/>
      <c r="N1711" s="15"/>
      <c r="O1711" s="15"/>
      <c r="P1711" s="15"/>
      <c r="Q1711" s="16"/>
      <c r="R1711" s="16"/>
      <c r="S1711" s="16"/>
      <c r="T1711" s="17"/>
      <c r="U1711" s="11"/>
      <c r="V1711" s="16"/>
      <c r="W1711" s="11"/>
      <c r="X1711" s="11"/>
      <c r="Y1711" s="15"/>
      <c r="Z1711" s="11"/>
    </row>
    <row r="1712" spans="1:26" x14ac:dyDescent="0.25">
      <c r="A1712" s="11"/>
      <c r="B1712" s="11"/>
      <c r="C1712" s="11"/>
      <c r="D1712" s="11"/>
      <c r="E1712" s="12"/>
      <c r="F1712" s="13"/>
      <c r="G1712" s="13"/>
      <c r="H1712" s="13"/>
      <c r="I1712" s="11"/>
      <c r="J1712" s="11"/>
      <c r="K1712" s="11"/>
      <c r="L1712" s="11"/>
      <c r="M1712" s="15"/>
      <c r="N1712" s="15"/>
      <c r="O1712" s="15"/>
      <c r="P1712" s="15"/>
      <c r="Q1712" s="16"/>
      <c r="R1712" s="16"/>
      <c r="S1712" s="16"/>
      <c r="T1712" s="17"/>
      <c r="U1712" s="11"/>
      <c r="V1712" s="16"/>
      <c r="W1712" s="11"/>
      <c r="X1712" s="11"/>
      <c r="Y1712" s="15"/>
      <c r="Z1712" s="11"/>
    </row>
    <row r="1713" spans="1:26" x14ac:dyDescent="0.25">
      <c r="A1713" s="11"/>
      <c r="B1713" s="11"/>
      <c r="C1713" s="11"/>
      <c r="D1713" s="11"/>
      <c r="E1713" s="12"/>
      <c r="F1713" s="13"/>
      <c r="G1713" s="13"/>
      <c r="H1713" s="13"/>
      <c r="I1713" s="11"/>
      <c r="J1713" s="11"/>
      <c r="K1713" s="11"/>
      <c r="L1713" s="11"/>
      <c r="M1713" s="15"/>
      <c r="N1713" s="15"/>
      <c r="O1713" s="15"/>
      <c r="P1713" s="15"/>
      <c r="Q1713" s="16"/>
      <c r="R1713" s="16"/>
      <c r="S1713" s="16"/>
      <c r="T1713" s="17"/>
      <c r="U1713" s="11"/>
      <c r="V1713" s="16"/>
      <c r="W1713" s="11"/>
      <c r="X1713" s="11"/>
      <c r="Y1713" s="15"/>
      <c r="Z1713" s="11"/>
    </row>
    <row r="1714" spans="1:26" x14ac:dyDescent="0.25">
      <c r="A1714" s="11"/>
      <c r="B1714" s="11"/>
      <c r="C1714" s="11"/>
      <c r="D1714" s="11"/>
      <c r="E1714" s="12"/>
      <c r="F1714" s="13"/>
      <c r="G1714" s="13"/>
      <c r="H1714" s="13"/>
      <c r="I1714" s="11"/>
      <c r="J1714" s="11"/>
      <c r="K1714" s="11"/>
      <c r="L1714" s="11"/>
      <c r="M1714" s="15"/>
      <c r="N1714" s="15"/>
      <c r="O1714" s="15"/>
      <c r="P1714" s="15"/>
      <c r="Q1714" s="16"/>
      <c r="R1714" s="16"/>
      <c r="S1714" s="16"/>
      <c r="T1714" s="17"/>
      <c r="U1714" s="11"/>
      <c r="V1714" s="16"/>
      <c r="W1714" s="11"/>
      <c r="X1714" s="11"/>
      <c r="Y1714" s="15"/>
      <c r="Z1714" s="11"/>
    </row>
    <row r="1715" spans="1:26" x14ac:dyDescent="0.25">
      <c r="A1715" s="11"/>
      <c r="B1715" s="11"/>
      <c r="C1715" s="11"/>
      <c r="D1715" s="11"/>
      <c r="E1715" s="12"/>
      <c r="F1715" s="13"/>
      <c r="G1715" s="13"/>
      <c r="H1715" s="13"/>
      <c r="I1715" s="11"/>
      <c r="J1715" s="11"/>
      <c r="K1715" s="11"/>
      <c r="L1715" s="11"/>
      <c r="M1715" s="15"/>
      <c r="N1715" s="15"/>
      <c r="O1715" s="15"/>
      <c r="P1715" s="15"/>
      <c r="Q1715" s="16"/>
      <c r="R1715" s="16"/>
      <c r="S1715" s="16"/>
      <c r="T1715" s="17"/>
      <c r="U1715" s="11"/>
      <c r="V1715" s="16"/>
      <c r="W1715" s="11"/>
      <c r="X1715" s="11"/>
      <c r="Y1715" s="15"/>
      <c r="Z1715" s="11"/>
    </row>
    <row r="1716" spans="1:26" x14ac:dyDescent="0.25">
      <c r="A1716" s="11"/>
      <c r="B1716" s="11"/>
      <c r="C1716" s="11"/>
      <c r="D1716" s="11"/>
      <c r="E1716" s="12"/>
      <c r="F1716" s="13"/>
      <c r="G1716" s="13"/>
      <c r="H1716" s="13"/>
      <c r="I1716" s="11"/>
      <c r="J1716" s="11"/>
      <c r="K1716" s="11"/>
      <c r="L1716" s="11"/>
      <c r="M1716" s="15"/>
      <c r="N1716" s="15"/>
      <c r="O1716" s="15"/>
      <c r="P1716" s="15"/>
      <c r="Q1716" s="16"/>
      <c r="R1716" s="16"/>
      <c r="S1716" s="16"/>
      <c r="T1716" s="17"/>
      <c r="U1716" s="11"/>
      <c r="V1716" s="16"/>
      <c r="W1716" s="11"/>
      <c r="X1716" s="11"/>
      <c r="Y1716" s="15"/>
      <c r="Z1716" s="11"/>
    </row>
    <row r="1717" spans="1:26" x14ac:dyDescent="0.25">
      <c r="A1717" s="11"/>
      <c r="B1717" s="11"/>
      <c r="C1717" s="11"/>
      <c r="D1717" s="11"/>
      <c r="E1717" s="12"/>
      <c r="F1717" s="13"/>
      <c r="G1717" s="13"/>
      <c r="H1717" s="13"/>
      <c r="I1717" s="11"/>
      <c r="J1717" s="11"/>
      <c r="K1717" s="11"/>
      <c r="L1717" s="11"/>
      <c r="M1717" s="15"/>
      <c r="N1717" s="15"/>
      <c r="O1717" s="15"/>
      <c r="P1717" s="15"/>
      <c r="Q1717" s="16"/>
      <c r="R1717" s="16"/>
      <c r="S1717" s="16"/>
      <c r="T1717" s="17"/>
      <c r="U1717" s="11"/>
      <c r="V1717" s="16"/>
      <c r="W1717" s="11"/>
      <c r="X1717" s="11"/>
      <c r="Y1717" s="15"/>
      <c r="Z1717" s="11"/>
    </row>
    <row r="1718" spans="1:26" x14ac:dyDescent="0.25">
      <c r="A1718" s="11"/>
      <c r="B1718" s="11"/>
      <c r="C1718" s="11"/>
      <c r="D1718" s="11"/>
      <c r="E1718" s="12"/>
      <c r="F1718" s="13"/>
      <c r="G1718" s="13"/>
      <c r="H1718" s="13"/>
      <c r="I1718" s="11"/>
      <c r="J1718" s="11"/>
      <c r="K1718" s="11"/>
      <c r="L1718" s="11"/>
      <c r="M1718" s="15"/>
      <c r="N1718" s="15"/>
      <c r="O1718" s="15"/>
      <c r="P1718" s="15"/>
      <c r="Q1718" s="16"/>
      <c r="R1718" s="16"/>
      <c r="S1718" s="16"/>
      <c r="T1718" s="17"/>
      <c r="U1718" s="11"/>
      <c r="V1718" s="16"/>
      <c r="W1718" s="11"/>
      <c r="X1718" s="11"/>
      <c r="Y1718" s="15"/>
      <c r="Z1718" s="11"/>
    </row>
    <row r="1719" spans="1:26" x14ac:dyDescent="0.25">
      <c r="A1719" s="11"/>
      <c r="B1719" s="11"/>
      <c r="C1719" s="11"/>
      <c r="D1719" s="11"/>
      <c r="E1719" s="12"/>
      <c r="F1719" s="13"/>
      <c r="G1719" s="13"/>
      <c r="H1719" s="13"/>
      <c r="I1719" s="11"/>
      <c r="J1719" s="11"/>
      <c r="K1719" s="11"/>
      <c r="L1719" s="11"/>
      <c r="M1719" s="15"/>
      <c r="N1719" s="15"/>
      <c r="O1719" s="15"/>
      <c r="P1719" s="15"/>
      <c r="Q1719" s="16"/>
      <c r="R1719" s="16"/>
      <c r="S1719" s="16"/>
      <c r="T1719" s="17"/>
      <c r="U1719" s="11"/>
      <c r="V1719" s="16"/>
      <c r="W1719" s="11"/>
      <c r="X1719" s="11"/>
      <c r="Y1719" s="15"/>
      <c r="Z1719" s="11"/>
    </row>
    <row r="1720" spans="1:26" x14ac:dyDescent="0.25">
      <c r="A1720" s="11"/>
      <c r="B1720" s="11"/>
      <c r="C1720" s="11"/>
      <c r="D1720" s="11"/>
      <c r="E1720" s="12"/>
      <c r="F1720" s="13"/>
      <c r="G1720" s="13"/>
      <c r="H1720" s="13"/>
      <c r="I1720" s="11"/>
      <c r="J1720" s="11"/>
      <c r="K1720" s="11"/>
      <c r="L1720" s="11"/>
      <c r="M1720" s="15"/>
      <c r="N1720" s="15"/>
      <c r="O1720" s="15"/>
      <c r="P1720" s="15"/>
      <c r="Q1720" s="16"/>
      <c r="R1720" s="16"/>
      <c r="S1720" s="16"/>
      <c r="T1720" s="17"/>
      <c r="U1720" s="11"/>
      <c r="V1720" s="16"/>
      <c r="W1720" s="11"/>
      <c r="X1720" s="11"/>
      <c r="Y1720" s="15"/>
      <c r="Z1720" s="11"/>
    </row>
    <row r="1721" spans="1:26" x14ac:dyDescent="0.25">
      <c r="A1721" s="11"/>
      <c r="B1721" s="11"/>
      <c r="C1721" s="11"/>
      <c r="D1721" s="11"/>
      <c r="E1721" s="12"/>
      <c r="F1721" s="13"/>
      <c r="G1721" s="13"/>
      <c r="H1721" s="13"/>
      <c r="I1721" s="11"/>
      <c r="J1721" s="11"/>
      <c r="K1721" s="11"/>
      <c r="L1721" s="11"/>
      <c r="M1721" s="15"/>
      <c r="N1721" s="15"/>
      <c r="O1721" s="15"/>
      <c r="P1721" s="15"/>
      <c r="Q1721" s="16"/>
      <c r="R1721" s="16"/>
      <c r="S1721" s="16"/>
      <c r="T1721" s="17"/>
      <c r="U1721" s="11"/>
      <c r="V1721" s="16"/>
      <c r="W1721" s="11"/>
      <c r="X1721" s="11"/>
      <c r="Y1721" s="15"/>
      <c r="Z1721" s="11"/>
    </row>
    <row r="1722" spans="1:26" x14ac:dyDescent="0.25">
      <c r="A1722" s="11"/>
      <c r="B1722" s="11"/>
      <c r="C1722" s="11"/>
      <c r="D1722" s="11"/>
      <c r="E1722" s="12"/>
      <c r="F1722" s="13"/>
      <c r="G1722" s="13"/>
      <c r="H1722" s="13"/>
      <c r="I1722" s="11"/>
      <c r="J1722" s="11"/>
      <c r="K1722" s="11"/>
      <c r="L1722" s="11"/>
      <c r="M1722" s="15"/>
      <c r="N1722" s="15"/>
      <c r="O1722" s="15"/>
      <c r="P1722" s="15"/>
      <c r="Q1722" s="16"/>
      <c r="R1722" s="16"/>
      <c r="S1722" s="16"/>
      <c r="T1722" s="17"/>
      <c r="U1722" s="11"/>
      <c r="V1722" s="16"/>
      <c r="W1722" s="11"/>
      <c r="X1722" s="11"/>
      <c r="Y1722" s="15"/>
      <c r="Z1722" s="11"/>
    </row>
    <row r="1723" spans="1:26" x14ac:dyDescent="0.25">
      <c r="A1723" s="11"/>
      <c r="B1723" s="11"/>
      <c r="C1723" s="11"/>
      <c r="D1723" s="11"/>
      <c r="E1723" s="12"/>
      <c r="F1723" s="13"/>
      <c r="G1723" s="13"/>
      <c r="H1723" s="13"/>
      <c r="I1723" s="11"/>
      <c r="J1723" s="11"/>
      <c r="K1723" s="11"/>
      <c r="L1723" s="11"/>
      <c r="M1723" s="15"/>
      <c r="N1723" s="15"/>
      <c r="O1723" s="15"/>
      <c r="P1723" s="15"/>
      <c r="Q1723" s="16"/>
      <c r="R1723" s="16"/>
      <c r="S1723" s="16"/>
      <c r="T1723" s="17"/>
      <c r="U1723" s="11"/>
      <c r="V1723" s="16"/>
      <c r="W1723" s="11"/>
      <c r="X1723" s="11"/>
      <c r="Y1723" s="15"/>
      <c r="Z1723" s="11"/>
    </row>
    <row r="1724" spans="1:26" x14ac:dyDescent="0.25">
      <c r="A1724" s="18"/>
      <c r="B1724" s="18"/>
      <c r="C1724" s="18"/>
      <c r="D1724" s="18"/>
      <c r="E1724" s="19"/>
      <c r="F1724" s="20"/>
      <c r="G1724" s="13"/>
      <c r="H1724" s="20"/>
      <c r="I1724" s="18"/>
      <c r="J1724" s="18"/>
      <c r="K1724" s="18"/>
      <c r="L1724" s="18"/>
      <c r="M1724" s="21"/>
      <c r="N1724" s="21"/>
      <c r="O1724" s="21"/>
      <c r="P1724" s="21"/>
      <c r="Q1724" s="22"/>
      <c r="R1724" s="19"/>
      <c r="S1724" s="22"/>
      <c r="T1724" s="23"/>
      <c r="U1724" s="18"/>
      <c r="V1724" s="22"/>
      <c r="W1724" s="18"/>
      <c r="X1724" s="18"/>
      <c r="Y1724" s="21"/>
      <c r="Z1724" s="18"/>
    </row>
    <row r="1725" spans="1:26" x14ac:dyDescent="0.25">
      <c r="A1725" s="11"/>
      <c r="B1725" s="11"/>
      <c r="C1725" s="11"/>
      <c r="D1725" s="11"/>
      <c r="E1725" s="12"/>
      <c r="F1725" s="13"/>
      <c r="G1725" s="13"/>
      <c r="H1725" s="13"/>
      <c r="I1725" s="11"/>
      <c r="J1725" s="11"/>
      <c r="K1725" s="11"/>
      <c r="L1725" s="11"/>
      <c r="M1725" s="15"/>
      <c r="N1725" s="15"/>
      <c r="O1725" s="15"/>
      <c r="P1725" s="15"/>
      <c r="Q1725" s="16"/>
      <c r="R1725" s="16"/>
      <c r="S1725" s="16"/>
      <c r="T1725" s="17"/>
      <c r="U1725" s="11"/>
      <c r="V1725" s="16"/>
      <c r="W1725" s="11"/>
      <c r="X1725" s="11"/>
      <c r="Y1725" s="15"/>
      <c r="Z1725" s="11"/>
    </row>
    <row r="1726" spans="1:26" x14ac:dyDescent="0.25">
      <c r="A1726" s="11"/>
      <c r="B1726" s="11"/>
      <c r="C1726" s="11"/>
      <c r="D1726" s="11"/>
      <c r="E1726" s="12"/>
      <c r="F1726" s="13"/>
      <c r="G1726" s="13"/>
      <c r="H1726" s="13"/>
      <c r="I1726" s="11"/>
      <c r="J1726" s="11"/>
      <c r="K1726" s="11"/>
      <c r="L1726" s="11"/>
      <c r="M1726" s="15"/>
      <c r="N1726" s="15"/>
      <c r="O1726" s="15"/>
      <c r="P1726" s="15"/>
      <c r="Q1726" s="16"/>
      <c r="R1726" s="16"/>
      <c r="S1726" s="16"/>
      <c r="T1726" s="17"/>
      <c r="U1726" s="11"/>
      <c r="V1726" s="16"/>
      <c r="W1726" s="11"/>
      <c r="X1726" s="11"/>
      <c r="Y1726" s="15"/>
      <c r="Z1726" s="11"/>
    </row>
    <row r="1727" spans="1:26" x14ac:dyDescent="0.25">
      <c r="A1727" s="11"/>
      <c r="B1727" s="11"/>
      <c r="C1727" s="11"/>
      <c r="D1727" s="11"/>
      <c r="E1727" s="12"/>
      <c r="F1727" s="13"/>
      <c r="G1727" s="13"/>
      <c r="H1727" s="13"/>
      <c r="I1727" s="11"/>
      <c r="J1727" s="11"/>
      <c r="K1727" s="11"/>
      <c r="L1727" s="11"/>
      <c r="M1727" s="15"/>
      <c r="N1727" s="15"/>
      <c r="O1727" s="15"/>
      <c r="P1727" s="15"/>
      <c r="Q1727" s="16"/>
      <c r="R1727" s="16"/>
      <c r="S1727" s="16"/>
      <c r="T1727" s="17"/>
      <c r="U1727" s="11"/>
      <c r="V1727" s="16"/>
      <c r="W1727" s="11"/>
      <c r="X1727" s="11"/>
      <c r="Y1727" s="15"/>
      <c r="Z1727" s="11"/>
    </row>
    <row r="1728" spans="1:26" x14ac:dyDescent="0.25">
      <c r="A1728" s="11"/>
      <c r="B1728" s="11"/>
      <c r="C1728" s="11"/>
      <c r="D1728" s="11"/>
      <c r="E1728" s="12"/>
      <c r="F1728" s="13"/>
      <c r="G1728" s="13"/>
      <c r="H1728" s="13"/>
      <c r="I1728" s="11"/>
      <c r="J1728" s="11"/>
      <c r="K1728" s="11"/>
      <c r="L1728" s="11"/>
      <c r="M1728" s="15"/>
      <c r="N1728" s="15"/>
      <c r="O1728" s="15"/>
      <c r="P1728" s="15"/>
      <c r="Q1728" s="16"/>
      <c r="R1728" s="16"/>
      <c r="S1728" s="16"/>
      <c r="T1728" s="17"/>
      <c r="U1728" s="11"/>
      <c r="V1728" s="16"/>
      <c r="W1728" s="11"/>
      <c r="X1728" s="11"/>
      <c r="Y1728" s="15"/>
      <c r="Z1728" s="11"/>
    </row>
    <row r="1729" spans="1:26" x14ac:dyDescent="0.25">
      <c r="A1729" s="11"/>
      <c r="B1729" s="11"/>
      <c r="C1729" s="11"/>
      <c r="D1729" s="11"/>
      <c r="E1729" s="12"/>
      <c r="F1729" s="13"/>
      <c r="G1729" s="13"/>
      <c r="H1729" s="13"/>
      <c r="I1729" s="11"/>
      <c r="J1729" s="11"/>
      <c r="K1729" s="11"/>
      <c r="L1729" s="11"/>
      <c r="M1729" s="15"/>
      <c r="N1729" s="15"/>
      <c r="O1729" s="15"/>
      <c r="P1729" s="15"/>
      <c r="Q1729" s="16"/>
      <c r="R1729" s="16"/>
      <c r="S1729" s="16"/>
      <c r="T1729" s="17"/>
      <c r="U1729" s="11"/>
      <c r="V1729" s="16"/>
      <c r="W1729" s="11"/>
      <c r="X1729" s="11"/>
      <c r="Y1729" s="15"/>
      <c r="Z1729" s="11"/>
    </row>
    <row r="1730" spans="1:26" x14ac:dyDescent="0.25">
      <c r="A1730" s="11"/>
      <c r="B1730" s="11"/>
      <c r="C1730" s="11"/>
      <c r="D1730" s="11"/>
      <c r="E1730" s="12"/>
      <c r="F1730" s="13"/>
      <c r="G1730" s="13"/>
      <c r="H1730" s="13"/>
      <c r="I1730" s="11"/>
      <c r="J1730" s="11"/>
      <c r="K1730" s="11"/>
      <c r="L1730" s="11"/>
      <c r="M1730" s="15"/>
      <c r="N1730" s="15"/>
      <c r="O1730" s="15"/>
      <c r="P1730" s="15"/>
      <c r="Q1730" s="16"/>
      <c r="R1730" s="16"/>
      <c r="S1730" s="16"/>
      <c r="T1730" s="17"/>
      <c r="U1730" s="11"/>
      <c r="V1730" s="16"/>
      <c r="W1730" s="11"/>
      <c r="X1730" s="11"/>
      <c r="Y1730" s="15"/>
      <c r="Z1730" s="11"/>
    </row>
    <row r="1731" spans="1:26" x14ac:dyDescent="0.25">
      <c r="A1731" s="11"/>
      <c r="B1731" s="11"/>
      <c r="C1731" s="11"/>
      <c r="D1731" s="11"/>
      <c r="E1731" s="12"/>
      <c r="F1731" s="13"/>
      <c r="G1731" s="13"/>
      <c r="H1731" s="13"/>
      <c r="I1731" s="11"/>
      <c r="J1731" s="11"/>
      <c r="K1731" s="11"/>
      <c r="L1731" s="11"/>
      <c r="M1731" s="15"/>
      <c r="N1731" s="15"/>
      <c r="O1731" s="15"/>
      <c r="P1731" s="15"/>
      <c r="Q1731" s="16"/>
      <c r="R1731" s="16"/>
      <c r="S1731" s="16"/>
      <c r="T1731" s="17"/>
      <c r="U1731" s="11"/>
      <c r="V1731" s="16"/>
      <c r="W1731" s="11"/>
      <c r="X1731" s="11"/>
      <c r="Y1731" s="15"/>
      <c r="Z1731" s="11"/>
    </row>
    <row r="1732" spans="1:26" x14ac:dyDescent="0.25">
      <c r="A1732" s="11"/>
      <c r="B1732" s="11"/>
      <c r="C1732" s="11"/>
      <c r="D1732" s="11"/>
      <c r="E1732" s="12"/>
      <c r="F1732" s="13"/>
      <c r="G1732" s="13"/>
      <c r="H1732" s="13"/>
      <c r="I1732" s="11"/>
      <c r="J1732" s="11"/>
      <c r="K1732" s="11"/>
      <c r="L1732" s="11"/>
      <c r="M1732" s="15"/>
      <c r="N1732" s="15"/>
      <c r="O1732" s="15"/>
      <c r="P1732" s="15"/>
      <c r="Q1732" s="16"/>
      <c r="R1732" s="16"/>
      <c r="S1732" s="16"/>
      <c r="T1732" s="17"/>
      <c r="U1732" s="11"/>
      <c r="V1732" s="16"/>
      <c r="W1732" s="11"/>
      <c r="X1732" s="11"/>
      <c r="Y1732" s="15"/>
      <c r="Z1732" s="11"/>
    </row>
    <row r="1733" spans="1:26" x14ac:dyDescent="0.25">
      <c r="A1733" s="11"/>
      <c r="B1733" s="11"/>
      <c r="C1733" s="11"/>
      <c r="D1733" s="11"/>
      <c r="E1733" s="12"/>
      <c r="F1733" s="13"/>
      <c r="G1733" s="13"/>
      <c r="H1733" s="13"/>
      <c r="I1733" s="11"/>
      <c r="J1733" s="11"/>
      <c r="K1733" s="11"/>
      <c r="L1733" s="11"/>
      <c r="M1733" s="15"/>
      <c r="N1733" s="15"/>
      <c r="O1733" s="15"/>
      <c r="P1733" s="15"/>
      <c r="Q1733" s="16"/>
      <c r="R1733" s="16"/>
      <c r="S1733" s="16"/>
      <c r="T1733" s="17"/>
      <c r="U1733" s="11"/>
      <c r="V1733" s="16"/>
      <c r="W1733" s="11"/>
      <c r="X1733" s="11"/>
      <c r="Y1733" s="15"/>
      <c r="Z1733" s="11"/>
    </row>
    <row r="1734" spans="1:26" x14ac:dyDescent="0.25">
      <c r="A1734" s="11"/>
      <c r="B1734" s="11"/>
      <c r="C1734" s="11"/>
      <c r="D1734" s="11"/>
      <c r="E1734" s="12"/>
      <c r="F1734" s="13"/>
      <c r="G1734" s="13"/>
      <c r="H1734" s="13"/>
      <c r="I1734" s="11"/>
      <c r="J1734" s="11"/>
      <c r="K1734" s="11"/>
      <c r="L1734" s="11"/>
      <c r="M1734" s="15"/>
      <c r="N1734" s="15"/>
      <c r="O1734" s="15"/>
      <c r="P1734" s="15"/>
      <c r="Q1734" s="16"/>
      <c r="R1734" s="16"/>
      <c r="S1734" s="16"/>
      <c r="T1734" s="17"/>
      <c r="U1734" s="11"/>
      <c r="V1734" s="16"/>
      <c r="W1734" s="11"/>
      <c r="X1734" s="11"/>
      <c r="Y1734" s="15"/>
      <c r="Z1734" s="11"/>
    </row>
    <row r="1735" spans="1:26" x14ac:dyDescent="0.25">
      <c r="A1735" s="11"/>
      <c r="B1735" s="11"/>
      <c r="C1735" s="11"/>
      <c r="D1735" s="11"/>
      <c r="E1735" s="12"/>
      <c r="F1735" s="13"/>
      <c r="G1735" s="13"/>
      <c r="H1735" s="13"/>
      <c r="I1735" s="11"/>
      <c r="J1735" s="11"/>
      <c r="K1735" s="11"/>
      <c r="L1735" s="11"/>
      <c r="M1735" s="15"/>
      <c r="N1735" s="15"/>
      <c r="O1735" s="15"/>
      <c r="P1735" s="15"/>
      <c r="Q1735" s="16"/>
      <c r="R1735" s="16"/>
      <c r="S1735" s="16"/>
      <c r="T1735" s="17"/>
      <c r="U1735" s="11"/>
      <c r="V1735" s="16"/>
      <c r="W1735" s="11"/>
      <c r="X1735" s="11"/>
      <c r="Y1735" s="15"/>
      <c r="Z1735" s="11"/>
    </row>
    <row r="1736" spans="1:26" x14ac:dyDescent="0.25">
      <c r="A1736" s="11"/>
      <c r="B1736" s="11"/>
      <c r="C1736" s="11"/>
      <c r="D1736" s="11"/>
      <c r="E1736" s="12"/>
      <c r="F1736" s="13"/>
      <c r="G1736" s="13"/>
      <c r="H1736" s="13"/>
      <c r="I1736" s="11"/>
      <c r="J1736" s="11"/>
      <c r="K1736" s="11"/>
      <c r="L1736" s="11"/>
      <c r="M1736" s="15"/>
      <c r="N1736" s="15"/>
      <c r="O1736" s="15"/>
      <c r="P1736" s="15"/>
      <c r="Q1736" s="16"/>
      <c r="R1736" s="16"/>
      <c r="S1736" s="16"/>
      <c r="T1736" s="17"/>
      <c r="U1736" s="11"/>
      <c r="V1736" s="16"/>
      <c r="W1736" s="11"/>
      <c r="X1736" s="11"/>
      <c r="Y1736" s="15"/>
      <c r="Z1736" s="11"/>
    </row>
    <row r="1737" spans="1:26" x14ac:dyDescent="0.25">
      <c r="A1737" s="11"/>
      <c r="B1737" s="11"/>
      <c r="C1737" s="11"/>
      <c r="D1737" s="11"/>
      <c r="E1737" s="12"/>
      <c r="F1737" s="13"/>
      <c r="G1737" s="13"/>
      <c r="H1737" s="13"/>
      <c r="I1737" s="11"/>
      <c r="J1737" s="11"/>
      <c r="K1737" s="11"/>
      <c r="L1737" s="11"/>
      <c r="M1737" s="15"/>
      <c r="N1737" s="15"/>
      <c r="O1737" s="15"/>
      <c r="P1737" s="15"/>
      <c r="Q1737" s="16"/>
      <c r="R1737" s="16"/>
      <c r="S1737" s="16"/>
      <c r="T1737" s="17"/>
      <c r="U1737" s="11"/>
      <c r="V1737" s="16"/>
      <c r="W1737" s="11"/>
      <c r="X1737" s="11"/>
      <c r="Y1737" s="15"/>
      <c r="Z1737" s="11"/>
    </row>
    <row r="1738" spans="1:26" x14ac:dyDescent="0.25">
      <c r="A1738" s="11"/>
      <c r="B1738" s="11"/>
      <c r="C1738" s="11"/>
      <c r="D1738" s="11"/>
      <c r="E1738" s="12"/>
      <c r="F1738" s="13"/>
      <c r="G1738" s="13"/>
      <c r="H1738" s="13"/>
      <c r="I1738" s="11"/>
      <c r="J1738" s="11"/>
      <c r="K1738" s="11"/>
      <c r="L1738" s="11"/>
      <c r="M1738" s="15"/>
      <c r="N1738" s="15"/>
      <c r="O1738" s="15"/>
      <c r="P1738" s="15"/>
      <c r="Q1738" s="16"/>
      <c r="R1738" s="16"/>
      <c r="S1738" s="16"/>
      <c r="T1738" s="17"/>
      <c r="U1738" s="11"/>
      <c r="V1738" s="16"/>
      <c r="W1738" s="11"/>
      <c r="X1738" s="11"/>
      <c r="Y1738" s="15"/>
      <c r="Z1738" s="11"/>
    </row>
    <row r="1739" spans="1:26" x14ac:dyDescent="0.25">
      <c r="A1739" s="11"/>
      <c r="B1739" s="11"/>
      <c r="C1739" s="11"/>
      <c r="D1739" s="11"/>
      <c r="E1739" s="12"/>
      <c r="F1739" s="13"/>
      <c r="G1739" s="13"/>
      <c r="H1739" s="13"/>
      <c r="I1739" s="11"/>
      <c r="J1739" s="11"/>
      <c r="K1739" s="11"/>
      <c r="L1739" s="11"/>
      <c r="M1739" s="15"/>
      <c r="N1739" s="15"/>
      <c r="O1739" s="15"/>
      <c r="P1739" s="15"/>
      <c r="Q1739" s="16"/>
      <c r="R1739" s="16"/>
      <c r="S1739" s="16"/>
      <c r="T1739" s="17"/>
      <c r="U1739" s="11"/>
      <c r="V1739" s="16"/>
      <c r="W1739" s="11"/>
      <c r="X1739" s="11"/>
      <c r="Y1739" s="15"/>
      <c r="Z1739" s="11"/>
    </row>
    <row r="1740" spans="1:26" x14ac:dyDescent="0.25">
      <c r="A1740" s="11"/>
      <c r="B1740" s="11"/>
      <c r="C1740" s="11"/>
      <c r="D1740" s="11"/>
      <c r="E1740" s="12"/>
      <c r="F1740" s="13"/>
      <c r="G1740" s="13"/>
      <c r="H1740" s="13"/>
      <c r="I1740" s="11"/>
      <c r="J1740" s="11"/>
      <c r="K1740" s="11"/>
      <c r="L1740" s="11"/>
      <c r="M1740" s="15"/>
      <c r="N1740" s="15"/>
      <c r="O1740" s="15"/>
      <c r="P1740" s="15"/>
      <c r="Q1740" s="16"/>
      <c r="R1740" s="16"/>
      <c r="S1740" s="16"/>
      <c r="T1740" s="17"/>
      <c r="U1740" s="11"/>
      <c r="V1740" s="16"/>
      <c r="W1740" s="11"/>
      <c r="X1740" s="11"/>
      <c r="Y1740" s="15"/>
      <c r="Z1740" s="11"/>
    </row>
    <row r="1741" spans="1:26" x14ac:dyDescent="0.25">
      <c r="A1741" s="11"/>
      <c r="B1741" s="11"/>
      <c r="C1741" s="11"/>
      <c r="D1741" s="11"/>
      <c r="E1741" s="12"/>
      <c r="F1741" s="13"/>
      <c r="G1741" s="13"/>
      <c r="H1741" s="13"/>
      <c r="I1741" s="11"/>
      <c r="J1741" s="11"/>
      <c r="K1741" s="11"/>
      <c r="L1741" s="11"/>
      <c r="M1741" s="15"/>
      <c r="N1741" s="15"/>
      <c r="O1741" s="15"/>
      <c r="P1741" s="15"/>
      <c r="Q1741" s="16"/>
      <c r="R1741" s="16"/>
      <c r="S1741" s="16"/>
      <c r="T1741" s="17"/>
      <c r="U1741" s="11"/>
      <c r="V1741" s="16"/>
      <c r="W1741" s="11"/>
      <c r="X1741" s="11"/>
      <c r="Y1741" s="15"/>
      <c r="Z1741" s="11"/>
    </row>
    <row r="1742" spans="1:26" x14ac:dyDescent="0.25">
      <c r="A1742" s="11"/>
      <c r="B1742" s="11"/>
      <c r="C1742" s="11"/>
      <c r="D1742" s="11"/>
      <c r="E1742" s="12"/>
      <c r="F1742" s="13"/>
      <c r="G1742" s="13"/>
      <c r="H1742" s="13"/>
      <c r="I1742" s="11"/>
      <c r="J1742" s="11"/>
      <c r="K1742" s="11"/>
      <c r="L1742" s="11"/>
      <c r="M1742" s="15"/>
      <c r="N1742" s="15"/>
      <c r="O1742" s="15"/>
      <c r="P1742" s="15"/>
      <c r="Q1742" s="16"/>
      <c r="R1742" s="16"/>
      <c r="S1742" s="16"/>
      <c r="T1742" s="17"/>
      <c r="U1742" s="11"/>
      <c r="V1742" s="16"/>
      <c r="W1742" s="11"/>
      <c r="X1742" s="11"/>
      <c r="Y1742" s="15"/>
      <c r="Z1742" s="11"/>
    </row>
    <row r="1743" spans="1:26" x14ac:dyDescent="0.25">
      <c r="A1743" s="18"/>
      <c r="B1743" s="18"/>
      <c r="C1743" s="18"/>
      <c r="D1743" s="18"/>
      <c r="E1743" s="19"/>
      <c r="F1743" s="20"/>
      <c r="G1743" s="13"/>
      <c r="H1743" s="20"/>
      <c r="I1743" s="18"/>
      <c r="J1743" s="18"/>
      <c r="K1743" s="18"/>
      <c r="L1743" s="18"/>
      <c r="M1743" s="21"/>
      <c r="N1743" s="21"/>
      <c r="O1743" s="21"/>
      <c r="P1743" s="21"/>
      <c r="Q1743" s="22"/>
      <c r="R1743" s="19"/>
      <c r="S1743" s="22"/>
      <c r="T1743" s="23"/>
      <c r="U1743" s="18"/>
      <c r="V1743" s="22"/>
      <c r="W1743" s="18"/>
      <c r="X1743" s="18"/>
      <c r="Y1743" s="21"/>
      <c r="Z1743" s="18"/>
    </row>
    <row r="1744" spans="1:26" x14ac:dyDescent="0.25">
      <c r="A1744" s="19"/>
      <c r="B1744" s="19"/>
      <c r="C1744" s="19"/>
      <c r="D1744" s="19"/>
      <c r="E1744" s="19"/>
      <c r="F1744" s="20"/>
      <c r="G1744" s="13"/>
      <c r="H1744" s="20"/>
      <c r="I1744" s="19"/>
      <c r="J1744" s="19"/>
      <c r="K1744" s="19"/>
      <c r="L1744" s="19"/>
      <c r="M1744" s="21"/>
      <c r="N1744" s="21"/>
      <c r="O1744" s="21"/>
      <c r="P1744" s="21"/>
      <c r="Q1744" s="22"/>
      <c r="R1744" s="19"/>
      <c r="S1744" s="22"/>
      <c r="T1744" s="23"/>
      <c r="U1744" s="19"/>
      <c r="V1744" s="22"/>
      <c r="W1744" s="19"/>
      <c r="X1744" s="19"/>
      <c r="Y1744" s="21"/>
      <c r="Z1744" s="19"/>
    </row>
    <row r="1745" spans="1:26" x14ac:dyDescent="0.25">
      <c r="A1745" s="11"/>
      <c r="B1745" s="11"/>
      <c r="C1745" s="11"/>
      <c r="D1745" s="11"/>
      <c r="E1745" s="12"/>
      <c r="F1745" s="13"/>
      <c r="G1745" s="13"/>
      <c r="H1745" s="13"/>
      <c r="I1745" s="11"/>
      <c r="J1745" s="11"/>
      <c r="K1745" s="11"/>
      <c r="L1745" s="11"/>
      <c r="M1745" s="15"/>
      <c r="N1745" s="15"/>
      <c r="O1745" s="15"/>
      <c r="P1745" s="15"/>
      <c r="Q1745" s="16"/>
      <c r="R1745" s="16"/>
      <c r="S1745" s="16"/>
      <c r="T1745" s="17"/>
      <c r="U1745" s="11"/>
      <c r="V1745" s="16"/>
      <c r="W1745" s="11"/>
      <c r="X1745" s="11"/>
      <c r="Y1745" s="15"/>
      <c r="Z1745" s="11"/>
    </row>
    <row r="1746" spans="1:26" x14ac:dyDescent="0.25">
      <c r="A1746" s="11"/>
      <c r="B1746" s="11"/>
      <c r="C1746" s="11"/>
      <c r="D1746" s="11"/>
      <c r="E1746" s="12"/>
      <c r="F1746" s="13"/>
      <c r="G1746" s="13"/>
      <c r="H1746" s="13"/>
      <c r="I1746" s="11"/>
      <c r="J1746" s="11"/>
      <c r="K1746" s="11"/>
      <c r="L1746" s="11"/>
      <c r="M1746" s="15"/>
      <c r="N1746" s="15"/>
      <c r="O1746" s="15"/>
      <c r="P1746" s="15"/>
      <c r="Q1746" s="16"/>
      <c r="R1746" s="16"/>
      <c r="S1746" s="16"/>
      <c r="T1746" s="17"/>
      <c r="U1746" s="11"/>
      <c r="V1746" s="16"/>
      <c r="W1746" s="11"/>
      <c r="X1746" s="11"/>
      <c r="Y1746" s="15"/>
      <c r="Z1746" s="11"/>
    </row>
    <row r="1747" spans="1:26" x14ac:dyDescent="0.25">
      <c r="A1747" s="11"/>
      <c r="B1747" s="11"/>
      <c r="C1747" s="11"/>
      <c r="D1747" s="11"/>
      <c r="E1747" s="12"/>
      <c r="F1747" s="13"/>
      <c r="G1747" s="13"/>
      <c r="H1747" s="13"/>
      <c r="I1747" s="11"/>
      <c r="J1747" s="11"/>
      <c r="K1747" s="11"/>
      <c r="L1747" s="11"/>
      <c r="M1747" s="15"/>
      <c r="N1747" s="15"/>
      <c r="O1747" s="15"/>
      <c r="P1747" s="15"/>
      <c r="Q1747" s="16"/>
      <c r="R1747" s="16"/>
      <c r="S1747" s="16"/>
      <c r="T1747" s="17"/>
      <c r="U1747" s="11"/>
      <c r="V1747" s="16"/>
      <c r="W1747" s="11"/>
      <c r="X1747" s="11"/>
      <c r="Y1747" s="15"/>
      <c r="Z1747" s="11"/>
    </row>
    <row r="1748" spans="1:26" x14ac:dyDescent="0.25">
      <c r="A1748" s="18"/>
      <c r="B1748" s="18"/>
      <c r="C1748" s="18"/>
      <c r="D1748" s="18"/>
      <c r="E1748" s="19"/>
      <c r="F1748" s="20"/>
      <c r="G1748" s="13"/>
      <c r="H1748" s="20"/>
      <c r="I1748" s="18"/>
      <c r="J1748" s="18"/>
      <c r="K1748" s="18"/>
      <c r="L1748" s="18"/>
      <c r="M1748" s="21"/>
      <c r="N1748" s="21"/>
      <c r="O1748" s="21"/>
      <c r="P1748" s="21"/>
      <c r="Q1748" s="22"/>
      <c r="R1748" s="19"/>
      <c r="S1748" s="22"/>
      <c r="T1748" s="23"/>
      <c r="U1748" s="18"/>
      <c r="V1748" s="22"/>
      <c r="W1748" s="18"/>
      <c r="X1748" s="18"/>
      <c r="Y1748" s="21"/>
      <c r="Z1748" s="18"/>
    </row>
    <row r="1749" spans="1:26" x14ac:dyDescent="0.25">
      <c r="A1749" s="18"/>
      <c r="B1749" s="18"/>
      <c r="C1749" s="18"/>
      <c r="D1749" s="18"/>
      <c r="E1749" s="19"/>
      <c r="F1749" s="20"/>
      <c r="G1749" s="13"/>
      <c r="H1749" s="20"/>
      <c r="I1749" s="18"/>
      <c r="J1749" s="18"/>
      <c r="K1749" s="18"/>
      <c r="L1749" s="18"/>
      <c r="M1749" s="21"/>
      <c r="N1749" s="21"/>
      <c r="O1749" s="21"/>
      <c r="P1749" s="21"/>
      <c r="Q1749" s="22"/>
      <c r="R1749" s="19"/>
      <c r="S1749" s="22"/>
      <c r="T1749" s="23"/>
      <c r="U1749" s="18"/>
      <c r="V1749" s="22"/>
      <c r="W1749" s="18"/>
      <c r="X1749" s="18"/>
      <c r="Y1749" s="21"/>
      <c r="Z1749" s="18"/>
    </row>
    <row r="1750" spans="1:26" x14ac:dyDescent="0.25">
      <c r="A1750" s="11"/>
      <c r="B1750" s="11"/>
      <c r="C1750" s="11"/>
      <c r="D1750" s="11"/>
      <c r="E1750" s="12"/>
      <c r="F1750" s="13"/>
      <c r="G1750" s="13"/>
      <c r="H1750" s="13"/>
      <c r="I1750" s="11"/>
      <c r="J1750" s="11"/>
      <c r="K1750" s="11"/>
      <c r="L1750" s="11"/>
      <c r="M1750" s="15"/>
      <c r="N1750" s="15"/>
      <c r="O1750" s="15"/>
      <c r="P1750" s="15"/>
      <c r="Q1750" s="16"/>
      <c r="R1750" s="16"/>
      <c r="S1750" s="16"/>
      <c r="T1750" s="17"/>
      <c r="U1750" s="11"/>
      <c r="V1750" s="16"/>
      <c r="W1750" s="11"/>
      <c r="X1750" s="11"/>
      <c r="Y1750" s="15"/>
      <c r="Z1750" s="11"/>
    </row>
    <row r="1751" spans="1:26" x14ac:dyDescent="0.25">
      <c r="A1751" s="11"/>
      <c r="B1751" s="11"/>
      <c r="C1751" s="11"/>
      <c r="D1751" s="11"/>
      <c r="E1751" s="12"/>
      <c r="F1751" s="13"/>
      <c r="G1751" s="13"/>
      <c r="H1751" s="13"/>
      <c r="I1751" s="11"/>
      <c r="J1751" s="11"/>
      <c r="K1751" s="11"/>
      <c r="L1751" s="11"/>
      <c r="M1751" s="15"/>
      <c r="N1751" s="15"/>
      <c r="O1751" s="15"/>
      <c r="P1751" s="15"/>
      <c r="Q1751" s="16"/>
      <c r="R1751" s="16"/>
      <c r="S1751" s="16"/>
      <c r="T1751" s="17"/>
      <c r="U1751" s="11"/>
      <c r="V1751" s="16"/>
      <c r="W1751" s="11"/>
      <c r="X1751" s="11"/>
      <c r="Y1751" s="15"/>
      <c r="Z1751" s="11"/>
    </row>
    <row r="1752" spans="1:26" x14ac:dyDescent="0.25">
      <c r="A1752" s="11"/>
      <c r="B1752" s="11"/>
      <c r="C1752" s="11"/>
      <c r="D1752" s="11"/>
      <c r="E1752" s="12"/>
      <c r="F1752" s="13"/>
      <c r="G1752" s="13"/>
      <c r="H1752" s="13"/>
      <c r="I1752" s="11"/>
      <c r="J1752" s="11"/>
      <c r="K1752" s="11"/>
      <c r="L1752" s="11"/>
      <c r="M1752" s="15"/>
      <c r="N1752" s="15"/>
      <c r="O1752" s="15"/>
      <c r="P1752" s="15"/>
      <c r="Q1752" s="16"/>
      <c r="R1752" s="16"/>
      <c r="S1752" s="16"/>
      <c r="T1752" s="17"/>
      <c r="U1752" s="11"/>
      <c r="V1752" s="16"/>
      <c r="W1752" s="11"/>
      <c r="X1752" s="11"/>
      <c r="Y1752" s="15"/>
      <c r="Z1752" s="11"/>
    </row>
    <row r="1753" spans="1:26" x14ac:dyDescent="0.25">
      <c r="A1753" s="11"/>
      <c r="B1753" s="11"/>
      <c r="C1753" s="11"/>
      <c r="D1753" s="11"/>
      <c r="E1753" s="12"/>
      <c r="F1753" s="13"/>
      <c r="G1753" s="13"/>
      <c r="H1753" s="13"/>
      <c r="I1753" s="11"/>
      <c r="J1753" s="11"/>
      <c r="K1753" s="11"/>
      <c r="L1753" s="11"/>
      <c r="M1753" s="15"/>
      <c r="N1753" s="15"/>
      <c r="O1753" s="15"/>
      <c r="P1753" s="15"/>
      <c r="Q1753" s="16"/>
      <c r="R1753" s="16"/>
      <c r="S1753" s="16"/>
      <c r="T1753" s="17"/>
      <c r="U1753" s="11"/>
      <c r="V1753" s="16"/>
      <c r="W1753" s="11"/>
      <c r="X1753" s="11"/>
      <c r="Y1753" s="15"/>
      <c r="Z1753" s="11"/>
    </row>
    <row r="1754" spans="1:26" x14ac:dyDescent="0.25">
      <c r="A1754" s="11"/>
      <c r="B1754" s="11"/>
      <c r="C1754" s="11"/>
      <c r="D1754" s="11"/>
      <c r="E1754" s="12"/>
      <c r="F1754" s="13"/>
      <c r="G1754" s="13"/>
      <c r="H1754" s="13"/>
      <c r="I1754" s="11"/>
      <c r="J1754" s="11"/>
      <c r="K1754" s="11"/>
      <c r="L1754" s="11"/>
      <c r="M1754" s="15"/>
      <c r="N1754" s="15"/>
      <c r="O1754" s="15"/>
      <c r="P1754" s="15"/>
      <c r="Q1754" s="16"/>
      <c r="R1754" s="16"/>
      <c r="S1754" s="16"/>
      <c r="T1754" s="17"/>
      <c r="U1754" s="11"/>
      <c r="V1754" s="16"/>
      <c r="W1754" s="11"/>
      <c r="X1754" s="11"/>
      <c r="Y1754" s="15"/>
      <c r="Z1754" s="11"/>
    </row>
    <row r="1755" spans="1:26" x14ac:dyDescent="0.25">
      <c r="A1755" s="11"/>
      <c r="B1755" s="11"/>
      <c r="C1755" s="11"/>
      <c r="D1755" s="11"/>
      <c r="E1755" s="12"/>
      <c r="F1755" s="13"/>
      <c r="G1755" s="13"/>
      <c r="H1755" s="13"/>
      <c r="I1755" s="11"/>
      <c r="J1755" s="11"/>
      <c r="K1755" s="11"/>
      <c r="L1755" s="11"/>
      <c r="M1755" s="15"/>
      <c r="N1755" s="15"/>
      <c r="O1755" s="15"/>
      <c r="P1755" s="15"/>
      <c r="Q1755" s="16"/>
      <c r="R1755" s="16"/>
      <c r="S1755" s="16"/>
      <c r="T1755" s="17"/>
      <c r="U1755" s="11"/>
      <c r="V1755" s="16"/>
      <c r="W1755" s="11"/>
      <c r="X1755" s="11"/>
      <c r="Y1755" s="15"/>
      <c r="Z1755" s="11"/>
    </row>
    <row r="1756" spans="1:26" x14ac:dyDescent="0.25">
      <c r="A1756" s="11"/>
      <c r="B1756" s="11"/>
      <c r="C1756" s="11"/>
      <c r="D1756" s="11"/>
      <c r="E1756" s="12"/>
      <c r="F1756" s="13"/>
      <c r="G1756" s="13"/>
      <c r="H1756" s="13"/>
      <c r="I1756" s="11"/>
      <c r="J1756" s="11"/>
      <c r="K1756" s="11"/>
      <c r="L1756" s="11"/>
      <c r="M1756" s="15"/>
      <c r="N1756" s="15"/>
      <c r="O1756" s="15"/>
      <c r="P1756" s="15"/>
      <c r="Q1756" s="16"/>
      <c r="R1756" s="16"/>
      <c r="S1756" s="16"/>
      <c r="T1756" s="17"/>
      <c r="U1756" s="11"/>
      <c r="V1756" s="16"/>
      <c r="W1756" s="11"/>
      <c r="X1756" s="11"/>
      <c r="Y1756" s="15"/>
      <c r="Z1756" s="11"/>
    </row>
    <row r="1757" spans="1:26" x14ac:dyDescent="0.25">
      <c r="A1757" s="11"/>
      <c r="B1757" s="11"/>
      <c r="C1757" s="11"/>
      <c r="D1757" s="11"/>
      <c r="E1757" s="12"/>
      <c r="F1757" s="13"/>
      <c r="G1757" s="13"/>
      <c r="H1757" s="13"/>
      <c r="I1757" s="11"/>
      <c r="J1757" s="11"/>
      <c r="K1757" s="11"/>
      <c r="L1757" s="11"/>
      <c r="M1757" s="15"/>
      <c r="N1757" s="15"/>
      <c r="O1757" s="15"/>
      <c r="P1757" s="15"/>
      <c r="Q1757" s="16"/>
      <c r="R1757" s="16"/>
      <c r="S1757" s="16"/>
      <c r="T1757" s="17"/>
      <c r="U1757" s="11"/>
      <c r="V1757" s="16"/>
      <c r="W1757" s="11"/>
      <c r="X1757" s="11"/>
      <c r="Y1757" s="15"/>
      <c r="Z1757" s="11"/>
    </row>
    <row r="1758" spans="1:26" x14ac:dyDescent="0.25">
      <c r="A1758" s="11"/>
      <c r="B1758" s="11"/>
      <c r="C1758" s="11"/>
      <c r="D1758" s="11"/>
      <c r="E1758" s="12"/>
      <c r="F1758" s="13"/>
      <c r="G1758" s="13"/>
      <c r="H1758" s="13"/>
      <c r="I1758" s="11"/>
      <c r="J1758" s="11"/>
      <c r="K1758" s="11"/>
      <c r="L1758" s="11"/>
      <c r="M1758" s="15"/>
      <c r="N1758" s="15"/>
      <c r="O1758" s="15"/>
      <c r="P1758" s="15"/>
      <c r="Q1758" s="16"/>
      <c r="R1758" s="16"/>
      <c r="S1758" s="16"/>
      <c r="T1758" s="17"/>
      <c r="U1758" s="11"/>
      <c r="V1758" s="16"/>
      <c r="W1758" s="11"/>
      <c r="X1758" s="11"/>
      <c r="Y1758" s="15"/>
      <c r="Z1758" s="11"/>
    </row>
    <row r="1759" spans="1:26" x14ac:dyDescent="0.25">
      <c r="A1759" s="11"/>
      <c r="B1759" s="11"/>
      <c r="C1759" s="11"/>
      <c r="D1759" s="11"/>
      <c r="E1759" s="12"/>
      <c r="F1759" s="13"/>
      <c r="G1759" s="13"/>
      <c r="H1759" s="13"/>
      <c r="I1759" s="11"/>
      <c r="J1759" s="11"/>
      <c r="K1759" s="11"/>
      <c r="L1759" s="11"/>
      <c r="M1759" s="15"/>
      <c r="N1759" s="15"/>
      <c r="O1759" s="15"/>
      <c r="P1759" s="15"/>
      <c r="Q1759" s="16"/>
      <c r="R1759" s="16"/>
      <c r="S1759" s="16"/>
      <c r="T1759" s="17"/>
      <c r="U1759" s="11"/>
      <c r="V1759" s="16"/>
      <c r="W1759" s="11"/>
      <c r="X1759" s="11"/>
      <c r="Y1759" s="15"/>
      <c r="Z1759" s="11"/>
    </row>
    <row r="1760" spans="1:26" x14ac:dyDescent="0.25">
      <c r="A1760" s="11"/>
      <c r="B1760" s="11"/>
      <c r="C1760" s="11"/>
      <c r="D1760" s="11"/>
      <c r="E1760" s="12"/>
      <c r="F1760" s="13"/>
      <c r="G1760" s="13"/>
      <c r="H1760" s="13"/>
      <c r="I1760" s="11"/>
      <c r="J1760" s="11"/>
      <c r="K1760" s="11"/>
      <c r="L1760" s="11"/>
      <c r="M1760" s="15"/>
      <c r="N1760" s="15"/>
      <c r="O1760" s="15"/>
      <c r="P1760" s="15"/>
      <c r="Q1760" s="16"/>
      <c r="R1760" s="16"/>
      <c r="S1760" s="16"/>
      <c r="T1760" s="17"/>
      <c r="U1760" s="11"/>
      <c r="V1760" s="16"/>
      <c r="W1760" s="11"/>
      <c r="X1760" s="11"/>
      <c r="Y1760" s="15"/>
      <c r="Z1760" s="11"/>
    </row>
    <row r="1761" spans="1:26" x14ac:dyDescent="0.25">
      <c r="A1761" s="11"/>
      <c r="B1761" s="11"/>
      <c r="C1761" s="11"/>
      <c r="D1761" s="11"/>
      <c r="E1761" s="12"/>
      <c r="F1761" s="13"/>
      <c r="G1761" s="13"/>
      <c r="H1761" s="13"/>
      <c r="I1761" s="11"/>
      <c r="J1761" s="11"/>
      <c r="K1761" s="11"/>
      <c r="L1761" s="11"/>
      <c r="M1761" s="15"/>
      <c r="N1761" s="15"/>
      <c r="O1761" s="15"/>
      <c r="P1761" s="15"/>
      <c r="Q1761" s="16"/>
      <c r="R1761" s="16"/>
      <c r="S1761" s="16"/>
      <c r="T1761" s="17"/>
      <c r="U1761" s="11"/>
      <c r="V1761" s="16"/>
      <c r="W1761" s="11"/>
      <c r="X1761" s="11"/>
      <c r="Y1761" s="15"/>
      <c r="Z1761" s="11"/>
    </row>
    <row r="1762" spans="1:26" x14ac:dyDescent="0.25">
      <c r="A1762" s="11"/>
      <c r="B1762" s="11"/>
      <c r="C1762" s="11"/>
      <c r="D1762" s="11"/>
      <c r="E1762" s="12"/>
      <c r="F1762" s="13"/>
      <c r="G1762" s="13"/>
      <c r="H1762" s="13"/>
      <c r="I1762" s="11"/>
      <c r="J1762" s="11"/>
      <c r="K1762" s="11"/>
      <c r="L1762" s="11"/>
      <c r="M1762" s="15"/>
      <c r="N1762" s="15"/>
      <c r="O1762" s="15"/>
      <c r="P1762" s="15"/>
      <c r="Q1762" s="16"/>
      <c r="R1762" s="16"/>
      <c r="S1762" s="16"/>
      <c r="T1762" s="17"/>
      <c r="U1762" s="11"/>
      <c r="V1762" s="16"/>
      <c r="W1762" s="11"/>
      <c r="X1762" s="11"/>
      <c r="Y1762" s="15"/>
      <c r="Z1762" s="11"/>
    </row>
    <row r="1763" spans="1:26" x14ac:dyDescent="0.25">
      <c r="A1763" s="11"/>
      <c r="B1763" s="11"/>
      <c r="C1763" s="11"/>
      <c r="D1763" s="11"/>
      <c r="E1763" s="12"/>
      <c r="F1763" s="13"/>
      <c r="G1763" s="13"/>
      <c r="H1763" s="13"/>
      <c r="I1763" s="11"/>
      <c r="J1763" s="11"/>
      <c r="K1763" s="11"/>
      <c r="L1763" s="11"/>
      <c r="M1763" s="15"/>
      <c r="N1763" s="15"/>
      <c r="O1763" s="15"/>
      <c r="P1763" s="15"/>
      <c r="Q1763" s="16"/>
      <c r="R1763" s="16"/>
      <c r="S1763" s="16"/>
      <c r="T1763" s="17"/>
      <c r="U1763" s="11"/>
      <c r="V1763" s="16"/>
      <c r="W1763" s="11"/>
      <c r="X1763" s="11"/>
      <c r="Y1763" s="15"/>
      <c r="Z1763" s="11"/>
    </row>
    <row r="1764" spans="1:26" x14ac:dyDescent="0.25">
      <c r="A1764" s="11"/>
      <c r="B1764" s="11"/>
      <c r="C1764" s="11"/>
      <c r="D1764" s="11"/>
      <c r="E1764" s="12"/>
      <c r="F1764" s="13"/>
      <c r="G1764" s="13"/>
      <c r="H1764" s="13"/>
      <c r="I1764" s="11"/>
      <c r="J1764" s="11"/>
      <c r="K1764" s="11"/>
      <c r="L1764" s="11"/>
      <c r="M1764" s="15"/>
      <c r="N1764" s="15"/>
      <c r="O1764" s="15"/>
      <c r="P1764" s="15"/>
      <c r="Q1764" s="16"/>
      <c r="R1764" s="16"/>
      <c r="S1764" s="16"/>
      <c r="T1764" s="17"/>
      <c r="U1764" s="11"/>
      <c r="V1764" s="16"/>
      <c r="W1764" s="11"/>
      <c r="X1764" s="11"/>
      <c r="Y1764" s="15"/>
      <c r="Z1764" s="11"/>
    </row>
    <row r="1765" spans="1:26" x14ac:dyDescent="0.25">
      <c r="A1765" s="11"/>
      <c r="B1765" s="11"/>
      <c r="C1765" s="11"/>
      <c r="D1765" s="11"/>
      <c r="E1765" s="12"/>
      <c r="F1765" s="13"/>
      <c r="G1765" s="13"/>
      <c r="H1765" s="13"/>
      <c r="I1765" s="11"/>
      <c r="J1765" s="11"/>
      <c r="K1765" s="11"/>
      <c r="L1765" s="11"/>
      <c r="M1765" s="15"/>
      <c r="N1765" s="15"/>
      <c r="O1765" s="15"/>
      <c r="P1765" s="15"/>
      <c r="Q1765" s="16"/>
      <c r="R1765" s="16"/>
      <c r="S1765" s="16"/>
      <c r="T1765" s="17"/>
      <c r="U1765" s="11"/>
      <c r="V1765" s="16"/>
      <c r="W1765" s="11"/>
      <c r="X1765" s="11"/>
      <c r="Y1765" s="15"/>
      <c r="Z1765" s="11"/>
    </row>
    <row r="1766" spans="1:26" x14ac:dyDescent="0.25">
      <c r="A1766" s="11"/>
      <c r="B1766" s="11"/>
      <c r="C1766" s="11"/>
      <c r="D1766" s="11"/>
      <c r="E1766" s="12"/>
      <c r="F1766" s="13"/>
      <c r="G1766" s="13"/>
      <c r="H1766" s="13"/>
      <c r="I1766" s="11"/>
      <c r="J1766" s="11"/>
      <c r="K1766" s="11"/>
      <c r="L1766" s="11"/>
      <c r="M1766" s="15"/>
      <c r="N1766" s="15"/>
      <c r="O1766" s="15"/>
      <c r="P1766" s="15"/>
      <c r="Q1766" s="16"/>
      <c r="R1766" s="16"/>
      <c r="S1766" s="16"/>
      <c r="T1766" s="17"/>
      <c r="U1766" s="11"/>
      <c r="V1766" s="16"/>
      <c r="W1766" s="11"/>
      <c r="X1766" s="11"/>
      <c r="Y1766" s="15"/>
      <c r="Z1766" s="11"/>
    </row>
    <row r="1767" spans="1:26" x14ac:dyDescent="0.25">
      <c r="A1767" s="11"/>
      <c r="B1767" s="11"/>
      <c r="C1767" s="11"/>
      <c r="D1767" s="11"/>
      <c r="E1767" s="12"/>
      <c r="F1767" s="13"/>
      <c r="G1767" s="13"/>
      <c r="H1767" s="13"/>
      <c r="I1767" s="11"/>
      <c r="J1767" s="11"/>
      <c r="K1767" s="11"/>
      <c r="L1767" s="11"/>
      <c r="M1767" s="15"/>
      <c r="N1767" s="15"/>
      <c r="O1767" s="15"/>
      <c r="P1767" s="15"/>
      <c r="Q1767" s="16"/>
      <c r="R1767" s="16"/>
      <c r="S1767" s="16"/>
      <c r="T1767" s="17"/>
      <c r="U1767" s="11"/>
      <c r="V1767" s="16"/>
      <c r="W1767" s="11"/>
      <c r="X1767" s="11"/>
      <c r="Y1767" s="15"/>
      <c r="Z1767" s="11"/>
    </row>
    <row r="1768" spans="1:26" x14ac:dyDescent="0.25">
      <c r="A1768" s="11"/>
      <c r="B1768" s="11"/>
      <c r="C1768" s="11"/>
      <c r="D1768" s="11"/>
      <c r="E1768" s="12"/>
      <c r="F1768" s="13"/>
      <c r="G1768" s="13"/>
      <c r="H1768" s="13"/>
      <c r="I1768" s="11"/>
      <c r="J1768" s="11"/>
      <c r="K1768" s="11"/>
      <c r="L1768" s="11"/>
      <c r="M1768" s="15"/>
      <c r="N1768" s="15"/>
      <c r="O1768" s="15"/>
      <c r="P1768" s="15"/>
      <c r="Q1768" s="16"/>
      <c r="R1768" s="16"/>
      <c r="S1768" s="16"/>
      <c r="T1768" s="17"/>
      <c r="U1768" s="11"/>
      <c r="V1768" s="16"/>
      <c r="W1768" s="11"/>
      <c r="X1768" s="11"/>
      <c r="Y1768" s="15"/>
      <c r="Z1768" s="11"/>
    </row>
    <row r="1769" spans="1:26" x14ac:dyDescent="0.25">
      <c r="A1769" s="11"/>
      <c r="B1769" s="11"/>
      <c r="C1769" s="11"/>
      <c r="D1769" s="11"/>
      <c r="E1769" s="12"/>
      <c r="F1769" s="13"/>
      <c r="G1769" s="13"/>
      <c r="H1769" s="13"/>
      <c r="I1769" s="11"/>
      <c r="J1769" s="11"/>
      <c r="K1769" s="11"/>
      <c r="L1769" s="11"/>
      <c r="M1769" s="15"/>
      <c r="N1769" s="15"/>
      <c r="O1769" s="15"/>
      <c r="P1769" s="15"/>
      <c r="Q1769" s="16"/>
      <c r="R1769" s="16"/>
      <c r="S1769" s="16"/>
      <c r="T1769" s="17"/>
      <c r="U1769" s="11"/>
      <c r="V1769" s="16"/>
      <c r="W1769" s="11"/>
      <c r="X1769" s="11"/>
      <c r="Y1769" s="15"/>
      <c r="Z1769" s="11"/>
    </row>
    <row r="1770" spans="1:26" x14ac:dyDescent="0.25">
      <c r="A1770" s="11"/>
      <c r="B1770" s="11"/>
      <c r="C1770" s="11"/>
      <c r="D1770" s="11"/>
      <c r="E1770" s="12"/>
      <c r="F1770" s="13"/>
      <c r="G1770" s="13"/>
      <c r="H1770" s="13"/>
      <c r="I1770" s="11"/>
      <c r="J1770" s="11"/>
      <c r="K1770" s="11"/>
      <c r="L1770" s="11"/>
      <c r="M1770" s="15"/>
      <c r="N1770" s="15"/>
      <c r="O1770" s="15"/>
      <c r="P1770" s="15"/>
      <c r="Q1770" s="16"/>
      <c r="R1770" s="16"/>
      <c r="S1770" s="16"/>
      <c r="T1770" s="17"/>
      <c r="U1770" s="11"/>
      <c r="V1770" s="16"/>
      <c r="W1770" s="11"/>
      <c r="X1770" s="11"/>
      <c r="Y1770" s="15"/>
      <c r="Z1770" s="11"/>
    </row>
    <row r="1771" spans="1:26" x14ac:dyDescent="0.25">
      <c r="A1771" s="11"/>
      <c r="B1771" s="11"/>
      <c r="C1771" s="11"/>
      <c r="D1771" s="11"/>
      <c r="E1771" s="12"/>
      <c r="F1771" s="13"/>
      <c r="G1771" s="13"/>
      <c r="H1771" s="13"/>
      <c r="I1771" s="11"/>
      <c r="J1771" s="11"/>
      <c r="K1771" s="11"/>
      <c r="L1771" s="11"/>
      <c r="M1771" s="15"/>
      <c r="N1771" s="15"/>
      <c r="O1771" s="15"/>
      <c r="P1771" s="15"/>
      <c r="Q1771" s="16"/>
      <c r="R1771" s="16"/>
      <c r="S1771" s="16"/>
      <c r="T1771" s="17"/>
      <c r="U1771" s="11"/>
      <c r="V1771" s="16"/>
      <c r="W1771" s="11"/>
      <c r="X1771" s="11"/>
      <c r="Y1771" s="15"/>
      <c r="Z1771" s="11"/>
    </row>
    <row r="1772" spans="1:26" x14ac:dyDescent="0.25">
      <c r="A1772" s="11"/>
      <c r="B1772" s="11"/>
      <c r="C1772" s="11"/>
      <c r="D1772" s="11"/>
      <c r="E1772" s="12"/>
      <c r="F1772" s="13"/>
      <c r="G1772" s="13"/>
      <c r="H1772" s="13"/>
      <c r="I1772" s="11"/>
      <c r="J1772" s="11"/>
      <c r="K1772" s="11"/>
      <c r="L1772" s="11"/>
      <c r="M1772" s="15"/>
      <c r="N1772" s="15"/>
      <c r="O1772" s="15"/>
      <c r="P1772" s="15"/>
      <c r="Q1772" s="16"/>
      <c r="R1772" s="16"/>
      <c r="S1772" s="16"/>
      <c r="T1772" s="17"/>
      <c r="U1772" s="11"/>
      <c r="V1772" s="16"/>
      <c r="W1772" s="11"/>
      <c r="X1772" s="11"/>
      <c r="Y1772" s="15"/>
      <c r="Z1772" s="11"/>
    </row>
    <row r="1773" spans="1:26" x14ac:dyDescent="0.25">
      <c r="A1773" s="11"/>
      <c r="B1773" s="11"/>
      <c r="C1773" s="11"/>
      <c r="D1773" s="11"/>
      <c r="E1773" s="12"/>
      <c r="F1773" s="13"/>
      <c r="G1773" s="13"/>
      <c r="H1773" s="13"/>
      <c r="I1773" s="11"/>
      <c r="J1773" s="11"/>
      <c r="K1773" s="11"/>
      <c r="L1773" s="11"/>
      <c r="M1773" s="15"/>
      <c r="N1773" s="15"/>
      <c r="O1773" s="15"/>
      <c r="P1773" s="15"/>
      <c r="Q1773" s="16"/>
      <c r="R1773" s="16"/>
      <c r="S1773" s="16"/>
      <c r="T1773" s="17"/>
      <c r="U1773" s="11"/>
      <c r="V1773" s="16"/>
      <c r="W1773" s="11"/>
      <c r="X1773" s="11"/>
      <c r="Y1773" s="15"/>
      <c r="Z1773" s="11"/>
    </row>
    <row r="1774" spans="1:26" x14ac:dyDescent="0.25">
      <c r="A1774" s="19"/>
      <c r="B1774" s="19"/>
      <c r="C1774" s="19"/>
      <c r="D1774" s="19"/>
      <c r="E1774" s="19"/>
      <c r="F1774" s="20"/>
      <c r="G1774" s="13"/>
      <c r="H1774" s="20"/>
      <c r="I1774" s="19"/>
      <c r="J1774" s="19"/>
      <c r="K1774" s="19"/>
      <c r="L1774" s="19"/>
      <c r="M1774" s="21"/>
      <c r="N1774" s="21"/>
      <c r="O1774" s="21"/>
      <c r="P1774" s="21"/>
      <c r="Q1774" s="22"/>
      <c r="R1774" s="19"/>
      <c r="S1774" s="22"/>
      <c r="T1774" s="23"/>
      <c r="U1774" s="19"/>
      <c r="V1774" s="22"/>
      <c r="W1774" s="19"/>
      <c r="X1774" s="19"/>
      <c r="Y1774" s="21"/>
      <c r="Z1774" s="19"/>
    </row>
    <row r="1775" spans="1:26" x14ac:dyDescent="0.25">
      <c r="A1775" s="19"/>
      <c r="B1775" s="19"/>
      <c r="C1775" s="19"/>
      <c r="D1775" s="19"/>
      <c r="E1775" s="19"/>
      <c r="F1775" s="20"/>
      <c r="G1775" s="13"/>
      <c r="H1775" s="20"/>
      <c r="I1775" s="19"/>
      <c r="J1775" s="19"/>
      <c r="K1775" s="19"/>
      <c r="L1775" s="19"/>
      <c r="M1775" s="21"/>
      <c r="N1775" s="21"/>
      <c r="O1775" s="21"/>
      <c r="P1775" s="21"/>
      <c r="Q1775" s="22"/>
      <c r="R1775" s="19"/>
      <c r="S1775" s="22"/>
      <c r="T1775" s="23"/>
      <c r="U1775" s="19"/>
      <c r="V1775" s="22"/>
      <c r="W1775" s="19"/>
      <c r="X1775" s="19"/>
      <c r="Y1775" s="21"/>
      <c r="Z1775" s="19"/>
    </row>
    <row r="1776" spans="1:26" x14ac:dyDescent="0.25">
      <c r="A1776" s="11"/>
      <c r="B1776" s="11"/>
      <c r="C1776" s="11"/>
      <c r="D1776" s="11"/>
      <c r="E1776" s="12"/>
      <c r="F1776" s="13"/>
      <c r="G1776" s="13"/>
      <c r="H1776" s="13"/>
      <c r="I1776" s="11"/>
      <c r="J1776" s="11"/>
      <c r="K1776" s="11"/>
      <c r="L1776" s="11"/>
      <c r="M1776" s="15"/>
      <c r="N1776" s="15"/>
      <c r="O1776" s="15"/>
      <c r="P1776" s="15"/>
      <c r="Q1776" s="16"/>
      <c r="R1776" s="16"/>
      <c r="S1776" s="16"/>
      <c r="T1776" s="17"/>
      <c r="U1776" s="11"/>
      <c r="V1776" s="16"/>
      <c r="W1776" s="11"/>
      <c r="X1776" s="11"/>
      <c r="Y1776" s="15"/>
      <c r="Z1776" s="11"/>
    </row>
    <row r="1777" spans="1:26" x14ac:dyDescent="0.25">
      <c r="A1777" s="11"/>
      <c r="B1777" s="11"/>
      <c r="C1777" s="11"/>
      <c r="D1777" s="11"/>
      <c r="E1777" s="12"/>
      <c r="F1777" s="13"/>
      <c r="G1777" s="13"/>
      <c r="H1777" s="13"/>
      <c r="I1777" s="11"/>
      <c r="J1777" s="11"/>
      <c r="K1777" s="11"/>
      <c r="L1777" s="11"/>
      <c r="M1777" s="15"/>
      <c r="N1777" s="15"/>
      <c r="O1777" s="15"/>
      <c r="P1777" s="15"/>
      <c r="Q1777" s="16"/>
      <c r="R1777" s="16"/>
      <c r="S1777" s="16"/>
      <c r="T1777" s="17"/>
      <c r="U1777" s="11"/>
      <c r="V1777" s="16"/>
      <c r="W1777" s="11"/>
      <c r="X1777" s="11"/>
      <c r="Y1777" s="15"/>
      <c r="Z1777" s="11"/>
    </row>
    <row r="1778" spans="1:26" x14ac:dyDescent="0.25">
      <c r="A1778" s="11"/>
      <c r="B1778" s="11"/>
      <c r="C1778" s="11"/>
      <c r="D1778" s="11"/>
      <c r="E1778" s="12"/>
      <c r="F1778" s="13"/>
      <c r="G1778" s="13"/>
      <c r="H1778" s="13"/>
      <c r="I1778" s="11"/>
      <c r="J1778" s="11"/>
      <c r="K1778" s="11"/>
      <c r="L1778" s="11"/>
      <c r="M1778" s="15"/>
      <c r="N1778" s="15"/>
      <c r="O1778" s="15"/>
      <c r="P1778" s="15"/>
      <c r="Q1778" s="16"/>
      <c r="R1778" s="16"/>
      <c r="S1778" s="16"/>
      <c r="T1778" s="17"/>
      <c r="U1778" s="11"/>
      <c r="V1778" s="16"/>
      <c r="W1778" s="11"/>
      <c r="X1778" s="11"/>
      <c r="Y1778" s="15"/>
      <c r="Z1778" s="11"/>
    </row>
    <row r="1779" spans="1:26" x14ac:dyDescent="0.25">
      <c r="A1779" s="11"/>
      <c r="B1779" s="11"/>
      <c r="C1779" s="11"/>
      <c r="D1779" s="11"/>
      <c r="E1779" s="12"/>
      <c r="F1779" s="13"/>
      <c r="G1779" s="13"/>
      <c r="H1779" s="13"/>
      <c r="I1779" s="11"/>
      <c r="J1779" s="11"/>
      <c r="K1779" s="11"/>
      <c r="L1779" s="11"/>
      <c r="M1779" s="15"/>
      <c r="N1779" s="15"/>
      <c r="O1779" s="15"/>
      <c r="P1779" s="15"/>
      <c r="Q1779" s="16"/>
      <c r="R1779" s="16"/>
      <c r="S1779" s="16"/>
      <c r="T1779" s="17"/>
      <c r="U1779" s="11"/>
      <c r="V1779" s="16"/>
      <c r="W1779" s="11"/>
      <c r="X1779" s="11"/>
      <c r="Y1779" s="15"/>
      <c r="Z1779" s="11"/>
    </row>
    <row r="1780" spans="1:26" x14ac:dyDescent="0.25">
      <c r="A1780" s="11"/>
      <c r="B1780" s="11"/>
      <c r="C1780" s="11"/>
      <c r="D1780" s="11"/>
      <c r="E1780" s="12"/>
      <c r="F1780" s="13"/>
      <c r="G1780" s="13"/>
      <c r="H1780" s="13"/>
      <c r="I1780" s="11"/>
      <c r="J1780" s="11"/>
      <c r="K1780" s="11"/>
      <c r="L1780" s="11"/>
      <c r="M1780" s="15"/>
      <c r="N1780" s="15"/>
      <c r="O1780" s="15"/>
      <c r="P1780" s="15"/>
      <c r="Q1780" s="16"/>
      <c r="R1780" s="16"/>
      <c r="S1780" s="16"/>
      <c r="T1780" s="17"/>
      <c r="U1780" s="11"/>
      <c r="V1780" s="16"/>
      <c r="W1780" s="11"/>
      <c r="X1780" s="11"/>
      <c r="Y1780" s="15"/>
      <c r="Z1780" s="11"/>
    </row>
    <row r="1781" spans="1:26" x14ac:dyDescent="0.25">
      <c r="A1781" s="18"/>
      <c r="B1781" s="18"/>
      <c r="C1781" s="18"/>
      <c r="D1781" s="18"/>
      <c r="E1781" s="19"/>
      <c r="F1781" s="20"/>
      <c r="G1781" s="13"/>
      <c r="H1781" s="20"/>
      <c r="I1781" s="18"/>
      <c r="J1781" s="18"/>
      <c r="K1781" s="18"/>
      <c r="L1781" s="18"/>
      <c r="M1781" s="21"/>
      <c r="N1781" s="21"/>
      <c r="O1781" s="21"/>
      <c r="P1781" s="21"/>
      <c r="Q1781" s="22"/>
      <c r="R1781" s="19"/>
      <c r="S1781" s="22"/>
      <c r="T1781" s="23"/>
      <c r="U1781" s="18"/>
      <c r="V1781" s="22"/>
      <c r="W1781" s="18"/>
      <c r="X1781" s="18"/>
      <c r="Y1781" s="21"/>
      <c r="Z1781" s="18"/>
    </row>
    <row r="1782" spans="1:26" x14ac:dyDescent="0.25">
      <c r="A1782" s="18"/>
      <c r="B1782" s="18"/>
      <c r="C1782" s="18"/>
      <c r="D1782" s="18"/>
      <c r="E1782" s="19"/>
      <c r="F1782" s="20"/>
      <c r="G1782" s="13"/>
      <c r="H1782" s="20"/>
      <c r="I1782" s="18"/>
      <c r="J1782" s="18"/>
      <c r="K1782" s="18"/>
      <c r="L1782" s="18"/>
      <c r="M1782" s="21"/>
      <c r="N1782" s="21"/>
      <c r="O1782" s="21"/>
      <c r="P1782" s="21"/>
      <c r="Q1782" s="22"/>
      <c r="R1782" s="19"/>
      <c r="S1782" s="22"/>
      <c r="T1782" s="23"/>
      <c r="U1782" s="18"/>
      <c r="V1782" s="22"/>
      <c r="W1782" s="18"/>
      <c r="X1782" s="18"/>
      <c r="Y1782" s="21"/>
      <c r="Z1782" s="18"/>
    </row>
    <row r="1783" spans="1:26" x14ac:dyDescent="0.25">
      <c r="A1783" s="11"/>
      <c r="B1783" s="11"/>
      <c r="C1783" s="11"/>
      <c r="D1783" s="11"/>
      <c r="E1783" s="12"/>
      <c r="F1783" s="13"/>
      <c r="G1783" s="13"/>
      <c r="H1783" s="13"/>
      <c r="I1783" s="11"/>
      <c r="J1783" s="11"/>
      <c r="K1783" s="11"/>
      <c r="L1783" s="11"/>
      <c r="M1783" s="15"/>
      <c r="N1783" s="15"/>
      <c r="O1783" s="15"/>
      <c r="P1783" s="15"/>
      <c r="Q1783" s="16"/>
      <c r="R1783" s="16"/>
      <c r="S1783" s="16"/>
      <c r="T1783" s="17"/>
      <c r="U1783" s="11"/>
      <c r="V1783" s="16"/>
      <c r="W1783" s="11"/>
      <c r="X1783" s="11"/>
      <c r="Y1783" s="15"/>
      <c r="Z1783" s="11"/>
    </row>
    <row r="1784" spans="1:26" x14ac:dyDescent="0.25">
      <c r="A1784" s="11"/>
      <c r="B1784" s="11"/>
      <c r="C1784" s="11"/>
      <c r="D1784" s="11"/>
      <c r="E1784" s="12"/>
      <c r="F1784" s="13"/>
      <c r="G1784" s="13"/>
      <c r="H1784" s="13"/>
      <c r="I1784" s="11"/>
      <c r="J1784" s="11"/>
      <c r="K1784" s="11"/>
      <c r="L1784" s="11"/>
      <c r="M1784" s="15"/>
      <c r="N1784" s="15"/>
      <c r="O1784" s="15"/>
      <c r="P1784" s="15"/>
      <c r="Q1784" s="16"/>
      <c r="R1784" s="16"/>
      <c r="S1784" s="16"/>
      <c r="T1784" s="17"/>
      <c r="U1784" s="11"/>
      <c r="V1784" s="16"/>
      <c r="W1784" s="11"/>
      <c r="X1784" s="11"/>
      <c r="Y1784" s="15"/>
      <c r="Z1784" s="11"/>
    </row>
    <row r="1785" spans="1:26" x14ac:dyDescent="0.25">
      <c r="A1785" s="11"/>
      <c r="B1785" s="11"/>
      <c r="C1785" s="11"/>
      <c r="D1785" s="11"/>
      <c r="E1785" s="12"/>
      <c r="F1785" s="13"/>
      <c r="G1785" s="13"/>
      <c r="H1785" s="13"/>
      <c r="I1785" s="11"/>
      <c r="J1785" s="11"/>
      <c r="K1785" s="11"/>
      <c r="L1785" s="11"/>
      <c r="M1785" s="15"/>
      <c r="N1785" s="15"/>
      <c r="O1785" s="15"/>
      <c r="P1785" s="15"/>
      <c r="Q1785" s="16"/>
      <c r="R1785" s="16"/>
      <c r="S1785" s="16"/>
      <c r="T1785" s="17"/>
      <c r="U1785" s="11"/>
      <c r="V1785" s="16"/>
      <c r="W1785" s="11"/>
      <c r="X1785" s="11"/>
      <c r="Y1785" s="15"/>
      <c r="Z1785" s="11"/>
    </row>
    <row r="1786" spans="1:26" x14ac:dyDescent="0.25">
      <c r="A1786" s="11"/>
      <c r="B1786" s="11"/>
      <c r="C1786" s="11"/>
      <c r="D1786" s="11"/>
      <c r="E1786" s="12"/>
      <c r="F1786" s="13"/>
      <c r="G1786" s="13"/>
      <c r="H1786" s="13"/>
      <c r="I1786" s="11"/>
      <c r="J1786" s="11"/>
      <c r="K1786" s="11"/>
      <c r="L1786" s="11"/>
      <c r="M1786" s="15"/>
      <c r="N1786" s="15"/>
      <c r="O1786" s="15"/>
      <c r="P1786" s="15"/>
      <c r="Q1786" s="16"/>
      <c r="R1786" s="16"/>
      <c r="S1786" s="16"/>
      <c r="T1786" s="17"/>
      <c r="U1786" s="11"/>
      <c r="V1786" s="16"/>
      <c r="W1786" s="11"/>
      <c r="X1786" s="11"/>
      <c r="Y1786" s="15"/>
      <c r="Z1786" s="11"/>
    </row>
    <row r="1787" spans="1:26" x14ac:dyDescent="0.25">
      <c r="A1787" s="11"/>
      <c r="B1787" s="11"/>
      <c r="C1787" s="11"/>
      <c r="D1787" s="11"/>
      <c r="E1787" s="12"/>
      <c r="F1787" s="13"/>
      <c r="G1787" s="13"/>
      <c r="H1787" s="13"/>
      <c r="I1787" s="11"/>
      <c r="J1787" s="11"/>
      <c r="K1787" s="11"/>
      <c r="L1787" s="11"/>
      <c r="M1787" s="15"/>
      <c r="N1787" s="15"/>
      <c r="O1787" s="15"/>
      <c r="P1787" s="15"/>
      <c r="Q1787" s="16"/>
      <c r="R1787" s="16"/>
      <c r="S1787" s="16"/>
      <c r="T1787" s="17"/>
      <c r="U1787" s="11"/>
      <c r="V1787" s="16"/>
      <c r="W1787" s="11"/>
      <c r="X1787" s="11"/>
      <c r="Y1787" s="15"/>
      <c r="Z1787" s="11"/>
    </row>
    <row r="1788" spans="1:26" x14ac:dyDescent="0.25">
      <c r="A1788" s="11"/>
      <c r="B1788" s="11"/>
      <c r="C1788" s="11"/>
      <c r="D1788" s="11"/>
      <c r="E1788" s="12"/>
      <c r="F1788" s="13"/>
      <c r="G1788" s="13"/>
      <c r="H1788" s="13"/>
      <c r="I1788" s="11"/>
      <c r="J1788" s="11"/>
      <c r="K1788" s="11"/>
      <c r="L1788" s="11"/>
      <c r="M1788" s="15"/>
      <c r="N1788" s="15"/>
      <c r="O1788" s="15"/>
      <c r="P1788" s="15"/>
      <c r="Q1788" s="16"/>
      <c r="R1788" s="16"/>
      <c r="S1788" s="16"/>
      <c r="T1788" s="17"/>
      <c r="U1788" s="11"/>
      <c r="V1788" s="16"/>
      <c r="W1788" s="11"/>
      <c r="X1788" s="11"/>
      <c r="Y1788" s="15"/>
      <c r="Z1788" s="11"/>
    </row>
    <row r="1789" spans="1:26" x14ac:dyDescent="0.25">
      <c r="A1789" s="19"/>
      <c r="B1789" s="19"/>
      <c r="C1789" s="19"/>
      <c r="D1789" s="19"/>
      <c r="E1789" s="19"/>
      <c r="F1789" s="20"/>
      <c r="G1789" s="13"/>
      <c r="H1789" s="20"/>
      <c r="I1789" s="19"/>
      <c r="J1789" s="19"/>
      <c r="K1789" s="19"/>
      <c r="L1789" s="19"/>
      <c r="M1789" s="21"/>
      <c r="N1789" s="21"/>
      <c r="O1789" s="21"/>
      <c r="P1789" s="21"/>
      <c r="Q1789" s="22"/>
      <c r="R1789" s="19"/>
      <c r="S1789" s="22"/>
      <c r="T1789" s="23"/>
      <c r="U1789" s="19"/>
      <c r="V1789" s="22"/>
      <c r="W1789" s="19"/>
      <c r="X1789" s="19"/>
      <c r="Y1789" s="21"/>
      <c r="Z1789" s="19"/>
    </row>
    <row r="1790" spans="1:26" x14ac:dyDescent="0.25">
      <c r="A1790" s="11"/>
      <c r="B1790" s="11"/>
      <c r="C1790" s="11"/>
      <c r="D1790" s="11"/>
      <c r="E1790" s="12"/>
      <c r="F1790" s="13"/>
      <c r="G1790" s="13"/>
      <c r="H1790" s="13"/>
      <c r="I1790" s="11"/>
      <c r="J1790" s="11"/>
      <c r="K1790" s="11"/>
      <c r="L1790" s="11"/>
      <c r="M1790" s="15"/>
      <c r="N1790" s="15"/>
      <c r="O1790" s="15"/>
      <c r="P1790" s="15"/>
      <c r="Q1790" s="16"/>
      <c r="R1790" s="16"/>
      <c r="S1790" s="16"/>
      <c r="T1790" s="17"/>
      <c r="U1790" s="11"/>
      <c r="V1790" s="16"/>
      <c r="W1790" s="11"/>
      <c r="X1790" s="11"/>
      <c r="Y1790" s="15"/>
      <c r="Z1790" s="11"/>
    </row>
    <row r="1791" spans="1:26" x14ac:dyDescent="0.25">
      <c r="A1791" s="11"/>
      <c r="B1791" s="11"/>
      <c r="C1791" s="11"/>
      <c r="D1791" s="11"/>
      <c r="E1791" s="12"/>
      <c r="F1791" s="13"/>
      <c r="G1791" s="13"/>
      <c r="H1791" s="13"/>
      <c r="I1791" s="11"/>
      <c r="J1791" s="11"/>
      <c r="K1791" s="11"/>
      <c r="L1791" s="11"/>
      <c r="M1791" s="15"/>
      <c r="N1791" s="15"/>
      <c r="O1791" s="15"/>
      <c r="P1791" s="15"/>
      <c r="Q1791" s="16"/>
      <c r="R1791" s="16"/>
      <c r="S1791" s="16"/>
      <c r="T1791" s="17"/>
      <c r="U1791" s="11"/>
      <c r="V1791" s="16"/>
      <c r="W1791" s="11"/>
      <c r="X1791" s="11"/>
      <c r="Y1791" s="15"/>
      <c r="Z1791" s="11"/>
    </row>
    <row r="1792" spans="1:26" x14ac:dyDescent="0.25">
      <c r="A1792" s="11"/>
      <c r="B1792" s="11"/>
      <c r="C1792" s="11"/>
      <c r="D1792" s="11"/>
      <c r="E1792" s="12"/>
      <c r="F1792" s="13"/>
      <c r="G1792" s="13"/>
      <c r="H1792" s="13"/>
      <c r="I1792" s="11"/>
      <c r="J1792" s="11"/>
      <c r="K1792" s="11"/>
      <c r="L1792" s="11"/>
      <c r="M1792" s="15"/>
      <c r="N1792" s="15"/>
      <c r="O1792" s="15"/>
      <c r="P1792" s="15"/>
      <c r="Q1792" s="16"/>
      <c r="R1792" s="16"/>
      <c r="S1792" s="16"/>
      <c r="T1792" s="17"/>
      <c r="U1792" s="11"/>
      <c r="V1792" s="16"/>
      <c r="W1792" s="11"/>
      <c r="X1792" s="11"/>
      <c r="Y1792" s="15"/>
      <c r="Z1792" s="11"/>
    </row>
    <row r="1793" spans="1:26" x14ac:dyDescent="0.25">
      <c r="A1793" s="11"/>
      <c r="B1793" s="11"/>
      <c r="C1793" s="11"/>
      <c r="D1793" s="11"/>
      <c r="E1793" s="12"/>
      <c r="F1793" s="13"/>
      <c r="G1793" s="13"/>
      <c r="H1793" s="13"/>
      <c r="I1793" s="11"/>
      <c r="J1793" s="11"/>
      <c r="K1793" s="11"/>
      <c r="L1793" s="11"/>
      <c r="M1793" s="15"/>
      <c r="N1793" s="15"/>
      <c r="O1793" s="15"/>
      <c r="P1793" s="15"/>
      <c r="Q1793" s="16"/>
      <c r="R1793" s="16"/>
      <c r="S1793" s="16"/>
      <c r="T1793" s="17"/>
      <c r="U1793" s="11"/>
      <c r="V1793" s="16"/>
      <c r="W1793" s="11"/>
      <c r="X1793" s="11"/>
      <c r="Y1793" s="15"/>
      <c r="Z1793" s="11"/>
    </row>
    <row r="1794" spans="1:26" x14ac:dyDescent="0.25">
      <c r="A1794" s="18"/>
      <c r="B1794" s="18"/>
      <c r="C1794" s="18"/>
      <c r="D1794" s="18"/>
      <c r="E1794" s="19"/>
      <c r="F1794" s="20"/>
      <c r="G1794" s="13"/>
      <c r="H1794" s="20"/>
      <c r="I1794" s="18"/>
      <c r="J1794" s="18"/>
      <c r="K1794" s="18"/>
      <c r="L1794" s="18"/>
      <c r="M1794" s="21"/>
      <c r="N1794" s="21"/>
      <c r="O1794" s="21"/>
      <c r="P1794" s="21"/>
      <c r="Q1794" s="22"/>
      <c r="R1794" s="19"/>
      <c r="S1794" s="22"/>
      <c r="T1794" s="23"/>
      <c r="U1794" s="18"/>
      <c r="V1794" s="22"/>
      <c r="W1794" s="18"/>
      <c r="X1794" s="18"/>
      <c r="Y1794" s="21"/>
      <c r="Z1794" s="18"/>
    </row>
    <row r="1795" spans="1:26" x14ac:dyDescent="0.25">
      <c r="A1795" s="19"/>
      <c r="B1795" s="19"/>
      <c r="C1795" s="19"/>
      <c r="D1795" s="19"/>
      <c r="E1795" s="19"/>
      <c r="F1795" s="20"/>
      <c r="G1795" s="13"/>
      <c r="H1795" s="20"/>
      <c r="I1795" s="19"/>
      <c r="J1795" s="19"/>
      <c r="K1795" s="19"/>
      <c r="L1795" s="19"/>
      <c r="M1795" s="21"/>
      <c r="N1795" s="21"/>
      <c r="O1795" s="21"/>
      <c r="P1795" s="21"/>
      <c r="Q1795" s="22"/>
      <c r="R1795" s="19"/>
      <c r="S1795" s="22"/>
      <c r="T1795" s="23"/>
      <c r="U1795" s="19"/>
      <c r="V1795" s="22"/>
      <c r="W1795" s="19"/>
      <c r="X1795" s="19"/>
      <c r="Y1795" s="21"/>
      <c r="Z1795" s="19"/>
    </row>
    <row r="1796" spans="1:26" x14ac:dyDescent="0.25">
      <c r="A1796" s="11"/>
      <c r="B1796" s="11"/>
      <c r="C1796" s="11"/>
      <c r="D1796" s="11"/>
      <c r="E1796" s="12"/>
      <c r="F1796" s="13"/>
      <c r="G1796" s="13"/>
      <c r="H1796" s="13"/>
      <c r="I1796" s="11"/>
      <c r="J1796" s="11"/>
      <c r="K1796" s="11"/>
      <c r="L1796" s="11"/>
      <c r="M1796" s="15"/>
      <c r="N1796" s="15"/>
      <c r="O1796" s="15"/>
      <c r="P1796" s="15"/>
      <c r="Q1796" s="16"/>
      <c r="R1796" s="16"/>
      <c r="S1796" s="16"/>
      <c r="T1796" s="17"/>
      <c r="U1796" s="11"/>
      <c r="V1796" s="16"/>
      <c r="W1796" s="11"/>
      <c r="X1796" s="11"/>
      <c r="Y1796" s="15"/>
      <c r="Z1796" s="11"/>
    </row>
    <row r="1797" spans="1:26" x14ac:dyDescent="0.25">
      <c r="A1797" s="11"/>
      <c r="B1797" s="11"/>
      <c r="C1797" s="11"/>
      <c r="D1797" s="11"/>
      <c r="E1797" s="12"/>
      <c r="F1797" s="13"/>
      <c r="G1797" s="13"/>
      <c r="H1797" s="13"/>
      <c r="I1797" s="11"/>
      <c r="J1797" s="11"/>
      <c r="K1797" s="11"/>
      <c r="L1797" s="11"/>
      <c r="M1797" s="15"/>
      <c r="N1797" s="15"/>
      <c r="O1797" s="15"/>
      <c r="P1797" s="15"/>
      <c r="Q1797" s="16"/>
      <c r="R1797" s="16"/>
      <c r="S1797" s="16"/>
      <c r="T1797" s="17"/>
      <c r="U1797" s="11"/>
      <c r="V1797" s="16"/>
      <c r="W1797" s="11"/>
      <c r="X1797" s="11"/>
      <c r="Y1797" s="15"/>
      <c r="Z1797" s="11"/>
    </row>
    <row r="1798" spans="1:26" x14ac:dyDescent="0.25">
      <c r="A1798" s="11"/>
      <c r="B1798" s="11"/>
      <c r="C1798" s="11"/>
      <c r="D1798" s="11"/>
      <c r="E1798" s="12"/>
      <c r="F1798" s="13"/>
      <c r="G1798" s="13"/>
      <c r="H1798" s="13"/>
      <c r="I1798" s="11"/>
      <c r="J1798" s="11"/>
      <c r="K1798" s="11"/>
      <c r="L1798" s="11"/>
      <c r="M1798" s="15"/>
      <c r="N1798" s="15"/>
      <c r="O1798" s="15"/>
      <c r="P1798" s="15"/>
      <c r="Q1798" s="16"/>
      <c r="R1798" s="16"/>
      <c r="S1798" s="16"/>
      <c r="T1798" s="17"/>
      <c r="U1798" s="11"/>
      <c r="V1798" s="16"/>
      <c r="W1798" s="11"/>
      <c r="X1798" s="11"/>
      <c r="Y1798" s="15"/>
      <c r="Z1798" s="11"/>
    </row>
    <row r="1799" spans="1:26" x14ac:dyDescent="0.25">
      <c r="A1799" s="11"/>
      <c r="B1799" s="11"/>
      <c r="C1799" s="11"/>
      <c r="D1799" s="11"/>
      <c r="E1799" s="12"/>
      <c r="F1799" s="13"/>
      <c r="G1799" s="13"/>
      <c r="H1799" s="13"/>
      <c r="I1799" s="11"/>
      <c r="J1799" s="11"/>
      <c r="K1799" s="11"/>
      <c r="L1799" s="11"/>
      <c r="M1799" s="15"/>
      <c r="N1799" s="15"/>
      <c r="O1799" s="15"/>
      <c r="P1799" s="15"/>
      <c r="Q1799" s="16"/>
      <c r="R1799" s="16"/>
      <c r="S1799" s="16"/>
      <c r="T1799" s="17"/>
      <c r="U1799" s="11"/>
      <c r="V1799" s="16"/>
      <c r="W1799" s="11"/>
      <c r="X1799" s="11"/>
      <c r="Y1799" s="15"/>
      <c r="Z1799" s="11"/>
    </row>
    <row r="1800" spans="1:26" x14ac:dyDescent="0.25">
      <c r="A1800" s="19"/>
      <c r="B1800" s="19"/>
      <c r="C1800" s="19"/>
      <c r="D1800" s="19"/>
      <c r="E1800" s="19"/>
      <c r="F1800" s="20"/>
      <c r="G1800" s="13"/>
      <c r="H1800" s="20"/>
      <c r="I1800" s="19"/>
      <c r="J1800" s="19"/>
      <c r="K1800" s="19"/>
      <c r="L1800" s="19"/>
      <c r="M1800" s="21"/>
      <c r="N1800" s="21"/>
      <c r="O1800" s="21"/>
      <c r="P1800" s="21"/>
      <c r="Q1800" s="22"/>
      <c r="R1800" s="19"/>
      <c r="S1800" s="22"/>
      <c r="T1800" s="23"/>
      <c r="U1800" s="19"/>
      <c r="V1800" s="22"/>
      <c r="W1800" s="19"/>
      <c r="X1800" s="19"/>
      <c r="Y1800" s="21"/>
      <c r="Z1800" s="19"/>
    </row>
    <row r="1801" spans="1:26" x14ac:dyDescent="0.25">
      <c r="A1801" s="19"/>
      <c r="B1801" s="19"/>
      <c r="C1801" s="19"/>
      <c r="D1801" s="19"/>
      <c r="E1801" s="19"/>
      <c r="F1801" s="20"/>
      <c r="G1801" s="13"/>
      <c r="H1801" s="20"/>
      <c r="I1801" s="19"/>
      <c r="J1801" s="19"/>
      <c r="K1801" s="19"/>
      <c r="L1801" s="19"/>
      <c r="M1801" s="21"/>
      <c r="N1801" s="21"/>
      <c r="O1801" s="21"/>
      <c r="P1801" s="21"/>
      <c r="Q1801" s="22"/>
      <c r="R1801" s="19"/>
      <c r="S1801" s="22"/>
      <c r="T1801" s="23"/>
      <c r="U1801" s="19"/>
      <c r="V1801" s="22"/>
      <c r="W1801" s="19"/>
      <c r="X1801" s="19"/>
      <c r="Y1801" s="21"/>
      <c r="Z1801" s="19"/>
    </row>
    <row r="1802" spans="1:26" x14ac:dyDescent="0.25">
      <c r="A1802" s="11"/>
      <c r="B1802" s="11"/>
      <c r="C1802" s="11"/>
      <c r="D1802" s="11"/>
      <c r="E1802" s="12"/>
      <c r="F1802" s="13"/>
      <c r="G1802" s="13"/>
      <c r="H1802" s="13"/>
      <c r="I1802" s="11"/>
      <c r="J1802" s="11"/>
      <c r="K1802" s="11"/>
      <c r="L1802" s="11"/>
      <c r="M1802" s="15"/>
      <c r="N1802" s="15"/>
      <c r="O1802" s="15"/>
      <c r="P1802" s="15"/>
      <c r="Q1802" s="16"/>
      <c r="R1802" s="16"/>
      <c r="S1802" s="16"/>
      <c r="T1802" s="17"/>
      <c r="U1802" s="11"/>
      <c r="V1802" s="16"/>
      <c r="W1802" s="11"/>
      <c r="X1802" s="11"/>
      <c r="Y1802" s="15"/>
      <c r="Z1802" s="11"/>
    </row>
    <row r="1803" spans="1:26" x14ac:dyDescent="0.25">
      <c r="A1803" s="11"/>
      <c r="B1803" s="11"/>
      <c r="C1803" s="11"/>
      <c r="D1803" s="11"/>
      <c r="E1803" s="12"/>
      <c r="F1803" s="13"/>
      <c r="G1803" s="13"/>
      <c r="H1803" s="13"/>
      <c r="I1803" s="11"/>
      <c r="J1803" s="11"/>
      <c r="K1803" s="11"/>
      <c r="L1803" s="11"/>
      <c r="M1803" s="15"/>
      <c r="N1803" s="15"/>
      <c r="O1803" s="15"/>
      <c r="P1803" s="15"/>
      <c r="Q1803" s="16"/>
      <c r="R1803" s="16"/>
      <c r="S1803" s="16"/>
      <c r="T1803" s="17"/>
      <c r="U1803" s="11"/>
      <c r="V1803" s="16"/>
      <c r="W1803" s="11"/>
      <c r="X1803" s="11"/>
      <c r="Y1803" s="15"/>
      <c r="Z1803" s="11"/>
    </row>
    <row r="1804" spans="1:26" x14ac:dyDescent="0.25">
      <c r="A1804" s="11"/>
      <c r="B1804" s="11"/>
      <c r="C1804" s="11"/>
      <c r="D1804" s="11"/>
      <c r="E1804" s="12"/>
      <c r="F1804" s="13"/>
      <c r="G1804" s="13"/>
      <c r="H1804" s="13"/>
      <c r="I1804" s="11"/>
      <c r="J1804" s="11"/>
      <c r="K1804" s="11"/>
      <c r="L1804" s="11"/>
      <c r="M1804" s="15"/>
      <c r="N1804" s="15"/>
      <c r="O1804" s="15"/>
      <c r="P1804" s="15"/>
      <c r="Q1804" s="16"/>
      <c r="R1804" s="16"/>
      <c r="S1804" s="16"/>
      <c r="T1804" s="17"/>
      <c r="U1804" s="11"/>
      <c r="V1804" s="16"/>
      <c r="W1804" s="11"/>
      <c r="X1804" s="11"/>
      <c r="Y1804" s="15"/>
      <c r="Z1804" s="11"/>
    </row>
    <row r="1805" spans="1:26" x14ac:dyDescent="0.25">
      <c r="A1805" s="11"/>
      <c r="B1805" s="11"/>
      <c r="C1805" s="11"/>
      <c r="D1805" s="11"/>
      <c r="E1805" s="12"/>
      <c r="F1805" s="13"/>
      <c r="G1805" s="13"/>
      <c r="H1805" s="13"/>
      <c r="I1805" s="11"/>
      <c r="J1805" s="11"/>
      <c r="K1805" s="11"/>
      <c r="L1805" s="11"/>
      <c r="M1805" s="15"/>
      <c r="N1805" s="15"/>
      <c r="O1805" s="15"/>
      <c r="P1805" s="15"/>
      <c r="Q1805" s="16"/>
      <c r="R1805" s="16"/>
      <c r="S1805" s="16"/>
      <c r="T1805" s="17"/>
      <c r="U1805" s="11"/>
      <c r="V1805" s="16"/>
      <c r="W1805" s="11"/>
      <c r="X1805" s="11"/>
      <c r="Y1805" s="15"/>
      <c r="Z1805" s="11"/>
    </row>
    <row r="1806" spans="1:26" x14ac:dyDescent="0.25">
      <c r="A1806" s="11"/>
      <c r="B1806" s="11"/>
      <c r="C1806" s="11"/>
      <c r="D1806" s="11"/>
      <c r="E1806" s="12"/>
      <c r="F1806" s="13"/>
      <c r="G1806" s="13"/>
      <c r="H1806" s="13"/>
      <c r="I1806" s="11"/>
      <c r="J1806" s="11"/>
      <c r="K1806" s="11"/>
      <c r="L1806" s="11"/>
      <c r="M1806" s="15"/>
      <c r="N1806" s="15"/>
      <c r="O1806" s="15"/>
      <c r="P1806" s="15"/>
      <c r="Q1806" s="16"/>
      <c r="R1806" s="16"/>
      <c r="S1806" s="16"/>
      <c r="T1806" s="17"/>
      <c r="U1806" s="11"/>
      <c r="V1806" s="16"/>
      <c r="W1806" s="11"/>
      <c r="X1806" s="11"/>
      <c r="Y1806" s="15"/>
      <c r="Z1806" s="11"/>
    </row>
    <row r="1807" spans="1:26" x14ac:dyDescent="0.25">
      <c r="A1807" s="11"/>
      <c r="B1807" s="11"/>
      <c r="C1807" s="11"/>
      <c r="D1807" s="11"/>
      <c r="E1807" s="12"/>
      <c r="F1807" s="13"/>
      <c r="G1807" s="13"/>
      <c r="H1807" s="13"/>
      <c r="I1807" s="11"/>
      <c r="J1807" s="11"/>
      <c r="K1807" s="11"/>
      <c r="L1807" s="11"/>
      <c r="M1807" s="15"/>
      <c r="N1807" s="15"/>
      <c r="O1807" s="15"/>
      <c r="P1807" s="15"/>
      <c r="Q1807" s="16"/>
      <c r="R1807" s="16"/>
      <c r="S1807" s="16"/>
      <c r="T1807" s="17"/>
      <c r="U1807" s="11"/>
      <c r="V1807" s="16"/>
      <c r="W1807" s="11"/>
      <c r="X1807" s="11"/>
      <c r="Y1807" s="15"/>
      <c r="Z1807" s="11"/>
    </row>
    <row r="1808" spans="1:26" x14ac:dyDescent="0.25">
      <c r="A1808" s="11"/>
      <c r="B1808" s="11"/>
      <c r="C1808" s="11"/>
      <c r="D1808" s="11"/>
      <c r="E1808" s="12"/>
      <c r="F1808" s="13"/>
      <c r="G1808" s="13"/>
      <c r="H1808" s="13"/>
      <c r="I1808" s="11"/>
      <c r="J1808" s="11"/>
      <c r="K1808" s="11"/>
      <c r="L1808" s="11"/>
      <c r="M1808" s="15"/>
      <c r="N1808" s="15"/>
      <c r="O1808" s="15"/>
      <c r="P1808" s="15"/>
      <c r="Q1808" s="16"/>
      <c r="R1808" s="16"/>
      <c r="S1808" s="16"/>
      <c r="T1808" s="17"/>
      <c r="U1808" s="11"/>
      <c r="V1808" s="16"/>
      <c r="W1808" s="11"/>
      <c r="X1808" s="11"/>
      <c r="Y1808" s="15"/>
      <c r="Z1808" s="11"/>
    </row>
    <row r="1809" spans="1:26" x14ac:dyDescent="0.25">
      <c r="A1809" s="11"/>
      <c r="B1809" s="11"/>
      <c r="C1809" s="11"/>
      <c r="D1809" s="11"/>
      <c r="E1809" s="12"/>
      <c r="F1809" s="13"/>
      <c r="G1809" s="13"/>
      <c r="H1809" s="13"/>
      <c r="I1809" s="11"/>
      <c r="J1809" s="11"/>
      <c r="K1809" s="11"/>
      <c r="L1809" s="11"/>
      <c r="M1809" s="15"/>
      <c r="N1809" s="15"/>
      <c r="O1809" s="15"/>
      <c r="P1809" s="15"/>
      <c r="Q1809" s="16"/>
      <c r="R1809" s="16"/>
      <c r="S1809" s="16"/>
      <c r="T1809" s="17"/>
      <c r="U1809" s="11"/>
      <c r="V1809" s="16"/>
      <c r="W1809" s="11"/>
      <c r="X1809" s="11"/>
      <c r="Y1809" s="15"/>
      <c r="Z1809" s="11"/>
    </row>
    <row r="1810" spans="1:26" x14ac:dyDescent="0.25">
      <c r="A1810" s="11"/>
      <c r="B1810" s="11"/>
      <c r="C1810" s="11"/>
      <c r="D1810" s="11"/>
      <c r="E1810" s="12"/>
      <c r="F1810" s="13"/>
      <c r="G1810" s="13"/>
      <c r="H1810" s="13"/>
      <c r="I1810" s="11"/>
      <c r="J1810" s="11"/>
      <c r="K1810" s="11"/>
      <c r="L1810" s="11"/>
      <c r="M1810" s="15"/>
      <c r="N1810" s="15"/>
      <c r="O1810" s="15"/>
      <c r="P1810" s="15"/>
      <c r="Q1810" s="16"/>
      <c r="R1810" s="16"/>
      <c r="S1810" s="16"/>
      <c r="T1810" s="17"/>
      <c r="U1810" s="11"/>
      <c r="V1810" s="16"/>
      <c r="W1810" s="11"/>
      <c r="X1810" s="11"/>
      <c r="Y1810" s="15"/>
      <c r="Z1810" s="11"/>
    </row>
    <row r="1811" spans="1:26" x14ac:dyDescent="0.25">
      <c r="A1811" s="19"/>
      <c r="B1811" s="19"/>
      <c r="C1811" s="19"/>
      <c r="D1811" s="19"/>
      <c r="E1811" s="19"/>
      <c r="F1811" s="20"/>
      <c r="G1811" s="13"/>
      <c r="H1811" s="20"/>
      <c r="I1811" s="19"/>
      <c r="J1811" s="19"/>
      <c r="K1811" s="19"/>
      <c r="L1811" s="19"/>
      <c r="M1811" s="21"/>
      <c r="N1811" s="21"/>
      <c r="O1811" s="21"/>
      <c r="P1811" s="21"/>
      <c r="Q1811" s="22"/>
      <c r="R1811" s="19"/>
      <c r="S1811" s="22"/>
      <c r="T1811" s="23"/>
      <c r="U1811" s="19"/>
      <c r="V1811" s="22"/>
      <c r="W1811" s="19"/>
      <c r="X1811" s="19"/>
      <c r="Y1811" s="21"/>
      <c r="Z1811" s="19"/>
    </row>
    <row r="1812" spans="1:26" x14ac:dyDescent="0.25">
      <c r="A1812" s="19"/>
      <c r="B1812" s="19"/>
      <c r="C1812" s="19"/>
      <c r="D1812" s="19"/>
      <c r="E1812" s="19"/>
      <c r="F1812" s="20"/>
      <c r="G1812" s="13"/>
      <c r="H1812" s="20"/>
      <c r="I1812" s="19"/>
      <c r="J1812" s="19"/>
      <c r="K1812" s="19"/>
      <c r="L1812" s="19"/>
      <c r="M1812" s="21"/>
      <c r="N1812" s="21"/>
      <c r="O1812" s="21"/>
      <c r="P1812" s="21"/>
      <c r="Q1812" s="22"/>
      <c r="R1812" s="19"/>
      <c r="S1812" s="22"/>
      <c r="T1812" s="23"/>
      <c r="U1812" s="19"/>
      <c r="V1812" s="22"/>
      <c r="W1812" s="19"/>
      <c r="X1812" s="19"/>
      <c r="Y1812" s="21"/>
      <c r="Z1812" s="19"/>
    </row>
    <row r="1813" spans="1:26" x14ac:dyDescent="0.25">
      <c r="A1813" s="11"/>
      <c r="B1813" s="11"/>
      <c r="C1813" s="11"/>
      <c r="D1813" s="11"/>
      <c r="E1813" s="12"/>
      <c r="F1813" s="13"/>
      <c r="G1813" s="13"/>
      <c r="H1813" s="13"/>
      <c r="I1813" s="11"/>
      <c r="J1813" s="11"/>
      <c r="K1813" s="11"/>
      <c r="L1813" s="11"/>
      <c r="M1813" s="15"/>
      <c r="N1813" s="15"/>
      <c r="O1813" s="15"/>
      <c r="P1813" s="15"/>
      <c r="Q1813" s="16"/>
      <c r="R1813" s="16"/>
      <c r="S1813" s="16"/>
      <c r="T1813" s="17"/>
      <c r="U1813" s="11"/>
      <c r="V1813" s="16"/>
      <c r="W1813" s="11"/>
      <c r="X1813" s="11"/>
      <c r="Y1813" s="15"/>
      <c r="Z1813" s="11"/>
    </row>
    <row r="1814" spans="1:26" x14ac:dyDescent="0.25">
      <c r="A1814" s="11"/>
      <c r="B1814" s="11"/>
      <c r="C1814" s="11"/>
      <c r="D1814" s="11"/>
      <c r="E1814" s="12"/>
      <c r="F1814" s="13"/>
      <c r="G1814" s="13"/>
      <c r="H1814" s="13"/>
      <c r="I1814" s="11"/>
      <c r="J1814" s="11"/>
      <c r="K1814" s="11"/>
      <c r="L1814" s="11"/>
      <c r="M1814" s="15"/>
      <c r="N1814" s="15"/>
      <c r="O1814" s="15"/>
      <c r="P1814" s="15"/>
      <c r="Q1814" s="16"/>
      <c r="R1814" s="16"/>
      <c r="S1814" s="16"/>
      <c r="T1814" s="17"/>
      <c r="U1814" s="11"/>
      <c r="V1814" s="16"/>
      <c r="W1814" s="11"/>
      <c r="X1814" s="11"/>
      <c r="Y1814" s="15"/>
      <c r="Z1814" s="11"/>
    </row>
    <row r="1815" spans="1:26" x14ac:dyDescent="0.25">
      <c r="A1815" s="11"/>
      <c r="B1815" s="11"/>
      <c r="C1815" s="11"/>
      <c r="D1815" s="11"/>
      <c r="E1815" s="12"/>
      <c r="F1815" s="13"/>
      <c r="G1815" s="13"/>
      <c r="H1815" s="13"/>
      <c r="I1815" s="11"/>
      <c r="J1815" s="11"/>
      <c r="K1815" s="11"/>
      <c r="L1815" s="11"/>
      <c r="M1815" s="15"/>
      <c r="N1815" s="15"/>
      <c r="O1815" s="15"/>
      <c r="P1815" s="15"/>
      <c r="Q1815" s="16"/>
      <c r="R1815" s="16"/>
      <c r="S1815" s="16"/>
      <c r="T1815" s="17"/>
      <c r="U1815" s="11"/>
      <c r="V1815" s="16"/>
      <c r="W1815" s="11"/>
      <c r="X1815" s="11"/>
      <c r="Y1815" s="15"/>
      <c r="Z1815" s="11"/>
    </row>
    <row r="1816" spans="1:26" x14ac:dyDescent="0.25">
      <c r="A1816" s="11"/>
      <c r="B1816" s="11"/>
      <c r="C1816" s="11"/>
      <c r="D1816" s="11"/>
      <c r="E1816" s="12"/>
      <c r="F1816" s="13"/>
      <c r="G1816" s="13"/>
      <c r="H1816" s="13"/>
      <c r="I1816" s="11"/>
      <c r="J1816" s="11"/>
      <c r="K1816" s="11"/>
      <c r="L1816" s="11"/>
      <c r="M1816" s="15"/>
      <c r="N1816" s="15"/>
      <c r="O1816" s="15"/>
      <c r="P1816" s="15"/>
      <c r="Q1816" s="16"/>
      <c r="R1816" s="16"/>
      <c r="S1816" s="16"/>
      <c r="T1816" s="17"/>
      <c r="U1816" s="11"/>
      <c r="V1816" s="16"/>
      <c r="W1816" s="11"/>
      <c r="X1816" s="11"/>
      <c r="Y1816" s="15"/>
      <c r="Z1816" s="11"/>
    </row>
    <row r="1817" spans="1:26" x14ac:dyDescent="0.25">
      <c r="A1817" s="11"/>
      <c r="B1817" s="11"/>
      <c r="C1817" s="11"/>
      <c r="D1817" s="11"/>
      <c r="E1817" s="12"/>
      <c r="F1817" s="13"/>
      <c r="G1817" s="13"/>
      <c r="H1817" s="13"/>
      <c r="I1817" s="11"/>
      <c r="J1817" s="11"/>
      <c r="K1817" s="11"/>
      <c r="L1817" s="11"/>
      <c r="M1817" s="15"/>
      <c r="N1817" s="15"/>
      <c r="O1817" s="15"/>
      <c r="P1817" s="15"/>
      <c r="Q1817" s="16"/>
      <c r="R1817" s="16"/>
      <c r="S1817" s="16"/>
      <c r="T1817" s="17"/>
      <c r="U1817" s="11"/>
      <c r="V1817" s="16"/>
      <c r="W1817" s="11"/>
      <c r="X1817" s="11"/>
      <c r="Y1817" s="15"/>
      <c r="Z1817" s="11"/>
    </row>
    <row r="1818" spans="1:26" x14ac:dyDescent="0.25">
      <c r="A1818" s="11"/>
      <c r="B1818" s="11"/>
      <c r="C1818" s="11"/>
      <c r="D1818" s="11"/>
      <c r="E1818" s="12"/>
      <c r="F1818" s="13"/>
      <c r="G1818" s="13"/>
      <c r="H1818" s="13"/>
      <c r="I1818" s="11"/>
      <c r="J1818" s="11"/>
      <c r="K1818" s="11"/>
      <c r="L1818" s="11"/>
      <c r="M1818" s="15"/>
      <c r="N1818" s="15"/>
      <c r="O1818" s="15"/>
      <c r="P1818" s="15"/>
      <c r="Q1818" s="16"/>
      <c r="R1818" s="16"/>
      <c r="S1818" s="16"/>
      <c r="T1818" s="17"/>
      <c r="U1818" s="11"/>
      <c r="V1818" s="16"/>
      <c r="W1818" s="11"/>
      <c r="X1818" s="11"/>
      <c r="Y1818" s="15"/>
      <c r="Z1818" s="11"/>
    </row>
    <row r="1819" spans="1:26" x14ac:dyDescent="0.25">
      <c r="A1819" s="11"/>
      <c r="B1819" s="11"/>
      <c r="C1819" s="11"/>
      <c r="D1819" s="11"/>
      <c r="E1819" s="12"/>
      <c r="F1819" s="13"/>
      <c r="G1819" s="13"/>
      <c r="H1819" s="13"/>
      <c r="I1819" s="11"/>
      <c r="J1819" s="11"/>
      <c r="K1819" s="11"/>
      <c r="L1819" s="11"/>
      <c r="M1819" s="15"/>
      <c r="N1819" s="15"/>
      <c r="O1819" s="15"/>
      <c r="P1819" s="15"/>
      <c r="Q1819" s="16"/>
      <c r="R1819" s="16"/>
      <c r="S1819" s="16"/>
      <c r="T1819" s="17"/>
      <c r="U1819" s="11"/>
      <c r="V1819" s="16"/>
      <c r="W1819" s="11"/>
      <c r="X1819" s="11"/>
      <c r="Y1819" s="15"/>
      <c r="Z1819" s="11"/>
    </row>
    <row r="1820" spans="1:26" x14ac:dyDescent="0.25">
      <c r="A1820" s="18"/>
      <c r="B1820" s="18"/>
      <c r="C1820" s="18"/>
      <c r="D1820" s="18"/>
      <c r="E1820" s="19"/>
      <c r="F1820" s="20"/>
      <c r="G1820" s="13"/>
      <c r="H1820" s="20"/>
      <c r="I1820" s="18"/>
      <c r="J1820" s="18"/>
      <c r="K1820" s="18"/>
      <c r="L1820" s="18"/>
      <c r="M1820" s="21"/>
      <c r="N1820" s="21"/>
      <c r="O1820" s="21"/>
      <c r="P1820" s="21"/>
      <c r="Q1820" s="22"/>
      <c r="R1820" s="19"/>
      <c r="S1820" s="22"/>
      <c r="T1820" s="23"/>
      <c r="U1820" s="18"/>
      <c r="V1820" s="22"/>
      <c r="W1820" s="18"/>
      <c r="X1820" s="18"/>
      <c r="Y1820" s="21"/>
      <c r="Z1820" s="18"/>
    </row>
    <row r="1821" spans="1:26" x14ac:dyDescent="0.25">
      <c r="A1821" s="19"/>
      <c r="B1821" s="19"/>
      <c r="C1821" s="19"/>
      <c r="D1821" s="19"/>
      <c r="E1821" s="19"/>
      <c r="F1821" s="20"/>
      <c r="G1821" s="13"/>
      <c r="H1821" s="20"/>
      <c r="I1821" s="19"/>
      <c r="J1821" s="19"/>
      <c r="K1821" s="19"/>
      <c r="L1821" s="19"/>
      <c r="M1821" s="21"/>
      <c r="N1821" s="21"/>
      <c r="O1821" s="21"/>
      <c r="P1821" s="21"/>
      <c r="Q1821" s="22"/>
      <c r="R1821" s="19"/>
      <c r="S1821" s="22"/>
      <c r="T1821" s="23"/>
      <c r="U1821" s="19"/>
      <c r="V1821" s="22"/>
      <c r="W1821" s="19"/>
      <c r="X1821" s="19"/>
      <c r="Y1821" s="21"/>
      <c r="Z1821" s="19"/>
    </row>
    <row r="1822" spans="1:26" x14ac:dyDescent="0.25">
      <c r="A1822" s="11"/>
      <c r="B1822" s="11"/>
      <c r="C1822" s="11"/>
      <c r="D1822" s="11"/>
      <c r="E1822" s="12"/>
      <c r="F1822" s="13"/>
      <c r="G1822" s="13"/>
      <c r="H1822" s="13"/>
      <c r="I1822" s="11"/>
      <c r="J1822" s="11"/>
      <c r="K1822" s="11"/>
      <c r="L1822" s="11"/>
      <c r="M1822" s="15"/>
      <c r="N1822" s="15"/>
      <c r="O1822" s="15"/>
      <c r="P1822" s="15"/>
      <c r="Q1822" s="16"/>
      <c r="R1822" s="16"/>
      <c r="S1822" s="16"/>
      <c r="T1822" s="17"/>
      <c r="U1822" s="11"/>
      <c r="V1822" s="16"/>
      <c r="W1822" s="11"/>
      <c r="X1822" s="11"/>
      <c r="Y1822" s="15"/>
      <c r="Z1822" s="11"/>
    </row>
    <row r="1823" spans="1:26" x14ac:dyDescent="0.25">
      <c r="A1823" s="11"/>
      <c r="B1823" s="11"/>
      <c r="C1823" s="11"/>
      <c r="D1823" s="11"/>
      <c r="E1823" s="12"/>
      <c r="F1823" s="13"/>
      <c r="G1823" s="13"/>
      <c r="H1823" s="13"/>
      <c r="I1823" s="11"/>
      <c r="J1823" s="11"/>
      <c r="K1823" s="11"/>
      <c r="L1823" s="11"/>
      <c r="M1823" s="15"/>
      <c r="N1823" s="15"/>
      <c r="O1823" s="15"/>
      <c r="P1823" s="15"/>
      <c r="Q1823" s="16"/>
      <c r="R1823" s="16"/>
      <c r="S1823" s="16"/>
      <c r="T1823" s="17"/>
      <c r="U1823" s="11"/>
      <c r="V1823" s="16"/>
      <c r="W1823" s="11"/>
      <c r="X1823" s="11"/>
      <c r="Y1823" s="15"/>
      <c r="Z1823" s="11"/>
    </row>
    <row r="1824" spans="1:26" x14ac:dyDescent="0.25">
      <c r="A1824" s="11"/>
      <c r="B1824" s="11"/>
      <c r="C1824" s="11"/>
      <c r="D1824" s="11"/>
      <c r="E1824" s="12"/>
      <c r="F1824" s="13"/>
      <c r="G1824" s="13"/>
      <c r="H1824" s="13"/>
      <c r="I1824" s="11"/>
      <c r="J1824" s="11"/>
      <c r="K1824" s="11"/>
      <c r="L1824" s="11"/>
      <c r="M1824" s="15"/>
      <c r="N1824" s="15"/>
      <c r="O1824" s="15"/>
      <c r="P1824" s="15"/>
      <c r="Q1824" s="16"/>
      <c r="R1824" s="16"/>
      <c r="S1824" s="16"/>
      <c r="T1824" s="17"/>
      <c r="U1824" s="11"/>
      <c r="V1824" s="16"/>
      <c r="W1824" s="11"/>
      <c r="X1824" s="11"/>
      <c r="Y1824" s="15"/>
      <c r="Z1824" s="11"/>
    </row>
    <row r="1825" spans="1:26" x14ac:dyDescent="0.25">
      <c r="A1825" s="11"/>
      <c r="B1825" s="11"/>
      <c r="C1825" s="11"/>
      <c r="D1825" s="11"/>
      <c r="E1825" s="12"/>
      <c r="F1825" s="13"/>
      <c r="G1825" s="13"/>
      <c r="H1825" s="13"/>
      <c r="I1825" s="11"/>
      <c r="J1825" s="11"/>
      <c r="K1825" s="11"/>
      <c r="L1825" s="11"/>
      <c r="M1825" s="15"/>
      <c r="N1825" s="15"/>
      <c r="O1825" s="15"/>
      <c r="P1825" s="15"/>
      <c r="Q1825" s="16"/>
      <c r="R1825" s="16"/>
      <c r="S1825" s="16"/>
      <c r="T1825" s="17"/>
      <c r="U1825" s="11"/>
      <c r="V1825" s="16"/>
      <c r="W1825" s="11"/>
      <c r="X1825" s="11"/>
      <c r="Y1825" s="15"/>
      <c r="Z1825" s="11"/>
    </row>
    <row r="1826" spans="1:26" x14ac:dyDescent="0.25">
      <c r="A1826" s="19"/>
      <c r="B1826" s="19"/>
      <c r="C1826" s="19"/>
      <c r="D1826" s="19"/>
      <c r="E1826" s="19"/>
      <c r="F1826" s="20"/>
      <c r="G1826" s="13"/>
      <c r="H1826" s="20"/>
      <c r="I1826" s="19"/>
      <c r="J1826" s="19"/>
      <c r="K1826" s="19"/>
      <c r="L1826" s="19"/>
      <c r="M1826" s="21"/>
      <c r="N1826" s="21"/>
      <c r="O1826" s="21"/>
      <c r="P1826" s="21"/>
      <c r="Q1826" s="22"/>
      <c r="R1826" s="19"/>
      <c r="S1826" s="22"/>
      <c r="T1826" s="23"/>
      <c r="U1826" s="19"/>
      <c r="V1826" s="22"/>
      <c r="W1826" s="19"/>
      <c r="X1826" s="19"/>
      <c r="Y1826" s="21"/>
      <c r="Z1826" s="19"/>
    </row>
    <row r="1827" spans="1:26" x14ac:dyDescent="0.25">
      <c r="A1827" s="11"/>
      <c r="B1827" s="11"/>
      <c r="C1827" s="11"/>
      <c r="D1827" s="11"/>
      <c r="E1827" s="12"/>
      <c r="F1827" s="13"/>
      <c r="G1827" s="13"/>
      <c r="H1827" s="13"/>
      <c r="I1827" s="11"/>
      <c r="J1827" s="11"/>
      <c r="K1827" s="11"/>
      <c r="L1827" s="11"/>
      <c r="M1827" s="15"/>
      <c r="N1827" s="15"/>
      <c r="O1827" s="15"/>
      <c r="P1827" s="15"/>
      <c r="Q1827" s="16"/>
      <c r="R1827" s="16"/>
      <c r="S1827" s="16"/>
      <c r="T1827" s="17"/>
      <c r="U1827" s="11"/>
      <c r="V1827" s="16"/>
      <c r="W1827" s="11"/>
      <c r="X1827" s="11"/>
      <c r="Y1827" s="15"/>
      <c r="Z1827" s="11"/>
    </row>
    <row r="1828" spans="1:26" x14ac:dyDescent="0.25">
      <c r="A1828" s="11"/>
      <c r="B1828" s="11"/>
      <c r="C1828" s="11"/>
      <c r="D1828" s="11"/>
      <c r="E1828" s="12"/>
      <c r="F1828" s="13"/>
      <c r="G1828" s="13"/>
      <c r="H1828" s="13"/>
      <c r="I1828" s="11"/>
      <c r="J1828" s="11"/>
      <c r="K1828" s="11"/>
      <c r="L1828" s="11"/>
      <c r="M1828" s="15"/>
      <c r="N1828" s="15"/>
      <c r="O1828" s="15"/>
      <c r="P1828" s="15"/>
      <c r="Q1828" s="16"/>
      <c r="R1828" s="16"/>
      <c r="S1828" s="16"/>
      <c r="T1828" s="17"/>
      <c r="U1828" s="11"/>
      <c r="V1828" s="16"/>
      <c r="W1828" s="11"/>
      <c r="X1828" s="11"/>
      <c r="Y1828" s="15"/>
      <c r="Z1828" s="11"/>
    </row>
    <row r="1829" spans="1:26" x14ac:dyDescent="0.25">
      <c r="A1829" s="11"/>
      <c r="B1829" s="11"/>
      <c r="C1829" s="11"/>
      <c r="D1829" s="11"/>
      <c r="E1829" s="12"/>
      <c r="F1829" s="13"/>
      <c r="G1829" s="13"/>
      <c r="H1829" s="13"/>
      <c r="I1829" s="11"/>
      <c r="J1829" s="11"/>
      <c r="K1829" s="11"/>
      <c r="L1829" s="11"/>
      <c r="M1829" s="15"/>
      <c r="N1829" s="15"/>
      <c r="O1829" s="15"/>
      <c r="P1829" s="15"/>
      <c r="Q1829" s="16"/>
      <c r="R1829" s="16"/>
      <c r="S1829" s="16"/>
      <c r="T1829" s="17"/>
      <c r="U1829" s="11"/>
      <c r="V1829" s="16"/>
      <c r="W1829" s="11"/>
      <c r="X1829" s="11"/>
      <c r="Y1829" s="15"/>
      <c r="Z1829" s="11"/>
    </row>
    <row r="1830" spans="1:26" x14ac:dyDescent="0.25">
      <c r="A1830" s="11"/>
      <c r="B1830" s="11"/>
      <c r="C1830" s="11"/>
      <c r="D1830" s="11"/>
      <c r="E1830" s="12"/>
      <c r="F1830" s="13"/>
      <c r="G1830" s="13"/>
      <c r="H1830" s="13"/>
      <c r="I1830" s="11"/>
      <c r="J1830" s="11"/>
      <c r="K1830" s="11"/>
      <c r="L1830" s="11"/>
      <c r="M1830" s="15"/>
      <c r="N1830" s="15"/>
      <c r="O1830" s="15"/>
      <c r="P1830" s="15"/>
      <c r="Q1830" s="16"/>
      <c r="R1830" s="16"/>
      <c r="S1830" s="16"/>
      <c r="T1830" s="17"/>
      <c r="U1830" s="11"/>
      <c r="V1830" s="16"/>
      <c r="W1830" s="11"/>
      <c r="X1830" s="11"/>
      <c r="Y1830" s="15"/>
      <c r="Z1830" s="11"/>
    </row>
    <row r="1831" spans="1:26" x14ac:dyDescent="0.25">
      <c r="A1831" s="11"/>
      <c r="B1831" s="11"/>
      <c r="C1831" s="11"/>
      <c r="D1831" s="11"/>
      <c r="E1831" s="12"/>
      <c r="F1831" s="13"/>
      <c r="G1831" s="13"/>
      <c r="H1831" s="13"/>
      <c r="I1831" s="11"/>
      <c r="J1831" s="11"/>
      <c r="K1831" s="11"/>
      <c r="L1831" s="11"/>
      <c r="M1831" s="15"/>
      <c r="N1831" s="15"/>
      <c r="O1831" s="15"/>
      <c r="P1831" s="15"/>
      <c r="Q1831" s="16"/>
      <c r="R1831" s="16"/>
      <c r="S1831" s="16"/>
      <c r="T1831" s="17"/>
      <c r="U1831" s="11"/>
      <c r="V1831" s="16"/>
      <c r="W1831" s="11"/>
      <c r="X1831" s="11"/>
      <c r="Y1831" s="15"/>
      <c r="Z1831" s="11"/>
    </row>
    <row r="1832" spans="1:26" x14ac:dyDescent="0.25">
      <c r="A1832" s="11"/>
      <c r="B1832" s="11"/>
      <c r="C1832" s="11"/>
      <c r="D1832" s="11"/>
      <c r="E1832" s="12"/>
      <c r="F1832" s="13"/>
      <c r="G1832" s="13"/>
      <c r="H1832" s="13"/>
      <c r="I1832" s="11"/>
      <c r="J1832" s="11"/>
      <c r="K1832" s="11"/>
      <c r="L1832" s="11"/>
      <c r="M1832" s="15"/>
      <c r="N1832" s="15"/>
      <c r="O1832" s="15"/>
      <c r="P1832" s="15"/>
      <c r="Q1832" s="16"/>
      <c r="R1832" s="16"/>
      <c r="S1832" s="16"/>
      <c r="T1832" s="17"/>
      <c r="U1832" s="11"/>
      <c r="V1832" s="16"/>
      <c r="W1832" s="11"/>
      <c r="X1832" s="11"/>
      <c r="Y1832" s="15"/>
      <c r="Z1832" s="11"/>
    </row>
    <row r="1833" spans="1:26" x14ac:dyDescent="0.25">
      <c r="A1833" s="11"/>
      <c r="B1833" s="11"/>
      <c r="C1833" s="11"/>
      <c r="D1833" s="11"/>
      <c r="E1833" s="12"/>
      <c r="F1833" s="13"/>
      <c r="G1833" s="13"/>
      <c r="H1833" s="13"/>
      <c r="I1833" s="11"/>
      <c r="J1833" s="11"/>
      <c r="K1833" s="11"/>
      <c r="L1833" s="11"/>
      <c r="M1833" s="15"/>
      <c r="N1833" s="15"/>
      <c r="O1833" s="15"/>
      <c r="P1833" s="15"/>
      <c r="Q1833" s="16"/>
      <c r="R1833" s="16"/>
      <c r="S1833" s="16"/>
      <c r="T1833" s="17"/>
      <c r="U1833" s="11"/>
      <c r="V1833" s="16"/>
      <c r="W1833" s="11"/>
      <c r="X1833" s="11"/>
      <c r="Y1833" s="15"/>
      <c r="Z1833" s="11"/>
    </row>
    <row r="1834" spans="1:26" x14ac:dyDescent="0.25">
      <c r="A1834" s="11"/>
      <c r="B1834" s="11"/>
      <c r="C1834" s="11"/>
      <c r="D1834" s="11"/>
      <c r="E1834" s="12"/>
      <c r="F1834" s="13"/>
      <c r="G1834" s="13"/>
      <c r="H1834" s="13"/>
      <c r="I1834" s="11"/>
      <c r="J1834" s="11"/>
      <c r="K1834" s="11"/>
      <c r="L1834" s="11"/>
      <c r="M1834" s="15"/>
      <c r="N1834" s="15"/>
      <c r="O1834" s="15"/>
      <c r="P1834" s="15"/>
      <c r="Q1834" s="16"/>
      <c r="R1834" s="16"/>
      <c r="S1834" s="16"/>
      <c r="T1834" s="17"/>
      <c r="U1834" s="11"/>
      <c r="V1834" s="16"/>
      <c r="W1834" s="11"/>
      <c r="X1834" s="11"/>
      <c r="Y1834" s="15"/>
      <c r="Z1834" s="11"/>
    </row>
    <row r="1835" spans="1:26" x14ac:dyDescent="0.25">
      <c r="A1835" s="11"/>
      <c r="B1835" s="11"/>
      <c r="C1835" s="11"/>
      <c r="D1835" s="11"/>
      <c r="E1835" s="12"/>
      <c r="F1835" s="13"/>
      <c r="G1835" s="13"/>
      <c r="H1835" s="13"/>
      <c r="I1835" s="11"/>
      <c r="J1835" s="11"/>
      <c r="K1835" s="11"/>
      <c r="L1835" s="11"/>
      <c r="M1835" s="15"/>
      <c r="N1835" s="15"/>
      <c r="O1835" s="15"/>
      <c r="P1835" s="15"/>
      <c r="Q1835" s="16"/>
      <c r="R1835" s="16"/>
      <c r="S1835" s="16"/>
      <c r="T1835" s="17"/>
      <c r="U1835" s="11"/>
      <c r="V1835" s="16"/>
      <c r="W1835" s="11"/>
      <c r="X1835" s="11"/>
      <c r="Y1835" s="15"/>
      <c r="Z1835" s="11"/>
    </row>
    <row r="1836" spans="1:26" x14ac:dyDescent="0.25">
      <c r="A1836" s="11"/>
      <c r="B1836" s="11"/>
      <c r="C1836" s="11"/>
      <c r="D1836" s="11"/>
      <c r="E1836" s="12"/>
      <c r="F1836" s="13"/>
      <c r="G1836" s="13"/>
      <c r="H1836" s="13"/>
      <c r="I1836" s="11"/>
      <c r="J1836" s="11"/>
      <c r="K1836" s="11"/>
      <c r="L1836" s="11"/>
      <c r="M1836" s="15"/>
      <c r="N1836" s="15"/>
      <c r="O1836" s="15"/>
      <c r="P1836" s="15"/>
      <c r="Q1836" s="16"/>
      <c r="R1836" s="16"/>
      <c r="S1836" s="16"/>
      <c r="T1836" s="17"/>
      <c r="U1836" s="11"/>
      <c r="V1836" s="16"/>
      <c r="W1836" s="11"/>
      <c r="X1836" s="11"/>
      <c r="Y1836" s="15"/>
      <c r="Z1836" s="11"/>
    </row>
    <row r="1837" spans="1:26" x14ac:dyDescent="0.25">
      <c r="A1837" s="11"/>
      <c r="B1837" s="11"/>
      <c r="C1837" s="11"/>
      <c r="D1837" s="11"/>
      <c r="E1837" s="12"/>
      <c r="F1837" s="13"/>
      <c r="G1837" s="13"/>
      <c r="H1837" s="13"/>
      <c r="I1837" s="11"/>
      <c r="J1837" s="11"/>
      <c r="K1837" s="11"/>
      <c r="L1837" s="11"/>
      <c r="M1837" s="15"/>
      <c r="N1837" s="15"/>
      <c r="O1837" s="15"/>
      <c r="P1837" s="15"/>
      <c r="Q1837" s="16"/>
      <c r="R1837" s="16"/>
      <c r="S1837" s="16"/>
      <c r="T1837" s="17"/>
      <c r="U1837" s="11"/>
      <c r="V1837" s="16"/>
      <c r="W1837" s="11"/>
      <c r="X1837" s="11"/>
      <c r="Y1837" s="15"/>
      <c r="Z1837" s="11"/>
    </row>
    <row r="1838" spans="1:26" x14ac:dyDescent="0.25">
      <c r="A1838" s="11"/>
      <c r="B1838" s="11"/>
      <c r="C1838" s="11"/>
      <c r="D1838" s="11"/>
      <c r="E1838" s="12"/>
      <c r="F1838" s="13"/>
      <c r="G1838" s="13"/>
      <c r="H1838" s="13"/>
      <c r="I1838" s="11"/>
      <c r="J1838" s="11"/>
      <c r="K1838" s="11"/>
      <c r="L1838" s="11"/>
      <c r="M1838" s="15"/>
      <c r="N1838" s="15"/>
      <c r="O1838" s="15"/>
      <c r="P1838" s="15"/>
      <c r="Q1838" s="16"/>
      <c r="R1838" s="16"/>
      <c r="S1838" s="16"/>
      <c r="T1838" s="17"/>
      <c r="U1838" s="11"/>
      <c r="V1838" s="16"/>
      <c r="W1838" s="11"/>
      <c r="X1838" s="11"/>
      <c r="Y1838" s="15"/>
      <c r="Z1838" s="11"/>
    </row>
    <row r="1839" spans="1:26" x14ac:dyDescent="0.25">
      <c r="A1839" s="11"/>
      <c r="B1839" s="11"/>
      <c r="C1839" s="11"/>
      <c r="D1839" s="11"/>
      <c r="E1839" s="12"/>
      <c r="F1839" s="13"/>
      <c r="G1839" s="13"/>
      <c r="H1839" s="13"/>
      <c r="I1839" s="11"/>
      <c r="J1839" s="11"/>
      <c r="K1839" s="11"/>
      <c r="L1839" s="11"/>
      <c r="M1839" s="15"/>
      <c r="N1839" s="15"/>
      <c r="O1839" s="15"/>
      <c r="P1839" s="15"/>
      <c r="Q1839" s="16"/>
      <c r="R1839" s="16"/>
      <c r="S1839" s="16"/>
      <c r="T1839" s="17"/>
      <c r="U1839" s="11"/>
      <c r="V1839" s="16"/>
      <c r="W1839" s="11"/>
      <c r="X1839" s="11"/>
      <c r="Y1839" s="15"/>
      <c r="Z1839" s="11"/>
    </row>
    <row r="1840" spans="1:26" x14ac:dyDescent="0.25">
      <c r="A1840" s="11"/>
      <c r="B1840" s="11"/>
      <c r="C1840" s="11"/>
      <c r="D1840" s="11"/>
      <c r="E1840" s="12"/>
      <c r="F1840" s="13"/>
      <c r="G1840" s="13"/>
      <c r="H1840" s="13"/>
      <c r="I1840" s="11"/>
      <c r="J1840" s="11"/>
      <c r="K1840" s="11"/>
      <c r="L1840" s="11"/>
      <c r="M1840" s="15"/>
      <c r="N1840" s="15"/>
      <c r="O1840" s="15"/>
      <c r="P1840" s="15"/>
      <c r="Q1840" s="16"/>
      <c r="R1840" s="16"/>
      <c r="S1840" s="16"/>
      <c r="T1840" s="17"/>
      <c r="U1840" s="11"/>
      <c r="V1840" s="16"/>
      <c r="W1840" s="11"/>
      <c r="X1840" s="11"/>
      <c r="Y1840" s="15"/>
      <c r="Z1840" s="11"/>
    </row>
    <row r="1841" spans="1:26" x14ac:dyDescent="0.25">
      <c r="A1841" s="11"/>
      <c r="B1841" s="11"/>
      <c r="C1841" s="11"/>
      <c r="D1841" s="11"/>
      <c r="E1841" s="12"/>
      <c r="F1841" s="13"/>
      <c r="G1841" s="13"/>
      <c r="H1841" s="13"/>
      <c r="I1841" s="11"/>
      <c r="J1841" s="11"/>
      <c r="K1841" s="11"/>
      <c r="L1841" s="11"/>
      <c r="M1841" s="15"/>
      <c r="N1841" s="15"/>
      <c r="O1841" s="15"/>
      <c r="P1841" s="15"/>
      <c r="Q1841" s="16"/>
      <c r="R1841" s="16"/>
      <c r="S1841" s="16"/>
      <c r="T1841" s="17"/>
      <c r="U1841" s="11"/>
      <c r="V1841" s="16"/>
      <c r="W1841" s="11"/>
      <c r="X1841" s="11"/>
      <c r="Y1841" s="15"/>
      <c r="Z1841" s="11"/>
    </row>
    <row r="1842" spans="1:26" x14ac:dyDescent="0.25">
      <c r="A1842" s="11"/>
      <c r="B1842" s="11"/>
      <c r="C1842" s="11"/>
      <c r="D1842" s="11"/>
      <c r="E1842" s="12"/>
      <c r="F1842" s="13"/>
      <c r="G1842" s="13"/>
      <c r="H1842" s="13"/>
      <c r="I1842" s="11"/>
      <c r="J1842" s="11"/>
      <c r="K1842" s="11"/>
      <c r="L1842" s="11"/>
      <c r="M1842" s="15"/>
      <c r="N1842" s="15"/>
      <c r="O1842" s="15"/>
      <c r="P1842" s="15"/>
      <c r="Q1842" s="16"/>
      <c r="R1842" s="16"/>
      <c r="S1842" s="16"/>
      <c r="T1842" s="17"/>
      <c r="U1842" s="11"/>
      <c r="V1842" s="16"/>
      <c r="W1842" s="11"/>
      <c r="X1842" s="11"/>
      <c r="Y1842" s="15"/>
      <c r="Z1842" s="11"/>
    </row>
    <row r="1843" spans="1:26" x14ac:dyDescent="0.25">
      <c r="A1843" s="11"/>
      <c r="B1843" s="11"/>
      <c r="C1843" s="11"/>
      <c r="D1843" s="11"/>
      <c r="E1843" s="12"/>
      <c r="F1843" s="13"/>
      <c r="G1843" s="13"/>
      <c r="H1843" s="13"/>
      <c r="I1843" s="11"/>
      <c r="J1843" s="11"/>
      <c r="K1843" s="11"/>
      <c r="L1843" s="11"/>
      <c r="M1843" s="15"/>
      <c r="N1843" s="15"/>
      <c r="O1843" s="15"/>
      <c r="P1843" s="15"/>
      <c r="Q1843" s="16"/>
      <c r="R1843" s="16"/>
      <c r="S1843" s="16"/>
      <c r="T1843" s="17"/>
      <c r="U1843" s="11"/>
      <c r="V1843" s="16"/>
      <c r="W1843" s="11"/>
      <c r="X1843" s="11"/>
      <c r="Y1843" s="15"/>
      <c r="Z1843" s="11"/>
    </row>
    <row r="1844" spans="1:26" x14ac:dyDescent="0.25">
      <c r="A1844" s="11"/>
      <c r="B1844" s="11"/>
      <c r="C1844" s="11"/>
      <c r="D1844" s="11"/>
      <c r="E1844" s="12"/>
      <c r="F1844" s="13"/>
      <c r="G1844" s="13"/>
      <c r="H1844" s="13"/>
      <c r="I1844" s="11"/>
      <c r="J1844" s="11"/>
      <c r="K1844" s="11"/>
      <c r="L1844" s="11"/>
      <c r="M1844" s="15"/>
      <c r="N1844" s="15"/>
      <c r="O1844" s="15"/>
      <c r="P1844" s="15"/>
      <c r="Q1844" s="16"/>
      <c r="R1844" s="16"/>
      <c r="S1844" s="16"/>
      <c r="T1844" s="17"/>
      <c r="U1844" s="11"/>
      <c r="V1844" s="16"/>
      <c r="W1844" s="11"/>
      <c r="X1844" s="11"/>
      <c r="Y1844" s="15"/>
      <c r="Z1844" s="11"/>
    </row>
    <row r="1845" spans="1:26" x14ac:dyDescent="0.25">
      <c r="A1845" s="11"/>
      <c r="B1845" s="11"/>
      <c r="C1845" s="11"/>
      <c r="D1845" s="11"/>
      <c r="E1845" s="12"/>
      <c r="F1845" s="13"/>
      <c r="G1845" s="13"/>
      <c r="H1845" s="13"/>
      <c r="I1845" s="11"/>
      <c r="J1845" s="11"/>
      <c r="K1845" s="11"/>
      <c r="L1845" s="11"/>
      <c r="M1845" s="15"/>
      <c r="N1845" s="15"/>
      <c r="O1845" s="15"/>
      <c r="P1845" s="15"/>
      <c r="Q1845" s="16"/>
      <c r="R1845" s="16"/>
      <c r="S1845" s="16"/>
      <c r="T1845" s="17"/>
      <c r="U1845" s="11"/>
      <c r="V1845" s="16"/>
      <c r="W1845" s="11"/>
      <c r="X1845" s="11"/>
      <c r="Y1845" s="15"/>
      <c r="Z1845" s="11"/>
    </row>
    <row r="1846" spans="1:26" x14ac:dyDescent="0.25">
      <c r="A1846" s="11"/>
      <c r="B1846" s="11"/>
      <c r="C1846" s="11"/>
      <c r="D1846" s="11"/>
      <c r="E1846" s="12"/>
      <c r="F1846" s="13"/>
      <c r="G1846" s="13"/>
      <c r="H1846" s="13"/>
      <c r="I1846" s="11"/>
      <c r="J1846" s="11"/>
      <c r="K1846" s="11"/>
      <c r="L1846" s="11"/>
      <c r="M1846" s="15"/>
      <c r="N1846" s="15"/>
      <c r="O1846" s="15"/>
      <c r="P1846" s="15"/>
      <c r="Q1846" s="16"/>
      <c r="R1846" s="16"/>
      <c r="S1846" s="16"/>
      <c r="T1846" s="17"/>
      <c r="U1846" s="11"/>
      <c r="V1846" s="16"/>
      <c r="W1846" s="11"/>
      <c r="X1846" s="11"/>
      <c r="Y1846" s="15"/>
      <c r="Z1846" s="11"/>
    </row>
    <row r="1847" spans="1:26" x14ac:dyDescent="0.25">
      <c r="A1847" s="11"/>
      <c r="B1847" s="11"/>
      <c r="C1847" s="11"/>
      <c r="D1847" s="11"/>
      <c r="E1847" s="12"/>
      <c r="F1847" s="13"/>
      <c r="G1847" s="13"/>
      <c r="H1847" s="13"/>
      <c r="I1847" s="11"/>
      <c r="J1847" s="11"/>
      <c r="K1847" s="11"/>
      <c r="L1847" s="11"/>
      <c r="M1847" s="15"/>
      <c r="N1847" s="15"/>
      <c r="O1847" s="15"/>
      <c r="P1847" s="15"/>
      <c r="Q1847" s="16"/>
      <c r="R1847" s="16"/>
      <c r="S1847" s="16"/>
      <c r="T1847" s="17"/>
      <c r="U1847" s="11"/>
      <c r="V1847" s="16"/>
      <c r="W1847" s="11"/>
      <c r="X1847" s="11"/>
      <c r="Y1847" s="15"/>
      <c r="Z1847" s="11"/>
    </row>
    <row r="1848" spans="1:26" x14ac:dyDescent="0.25">
      <c r="A1848" s="11"/>
      <c r="B1848" s="11"/>
      <c r="C1848" s="11"/>
      <c r="D1848" s="11"/>
      <c r="E1848" s="12"/>
      <c r="F1848" s="13"/>
      <c r="G1848" s="13"/>
      <c r="H1848" s="13"/>
      <c r="I1848" s="11"/>
      <c r="J1848" s="11"/>
      <c r="K1848" s="11"/>
      <c r="L1848" s="11"/>
      <c r="M1848" s="15"/>
      <c r="N1848" s="15"/>
      <c r="O1848" s="15"/>
      <c r="P1848" s="15"/>
      <c r="Q1848" s="16"/>
      <c r="R1848" s="16"/>
      <c r="S1848" s="16"/>
      <c r="T1848" s="17"/>
      <c r="U1848" s="11"/>
      <c r="V1848" s="16"/>
      <c r="W1848" s="11"/>
      <c r="X1848" s="11"/>
      <c r="Y1848" s="15"/>
      <c r="Z1848" s="11"/>
    </row>
    <row r="1849" spans="1:26" x14ac:dyDescent="0.25">
      <c r="A1849" s="18"/>
      <c r="B1849" s="18"/>
      <c r="C1849" s="18"/>
      <c r="D1849" s="18"/>
      <c r="E1849" s="19"/>
      <c r="F1849" s="20"/>
      <c r="G1849" s="13"/>
      <c r="H1849" s="20"/>
      <c r="I1849" s="18"/>
      <c r="J1849" s="18"/>
      <c r="K1849" s="18"/>
      <c r="L1849" s="18"/>
      <c r="M1849" s="21"/>
      <c r="N1849" s="21"/>
      <c r="O1849" s="21"/>
      <c r="P1849" s="21"/>
      <c r="Q1849" s="22"/>
      <c r="R1849" s="19"/>
      <c r="S1849" s="22"/>
      <c r="T1849" s="23"/>
      <c r="U1849" s="18"/>
      <c r="V1849" s="22"/>
      <c r="W1849" s="18"/>
      <c r="X1849" s="18"/>
      <c r="Y1849" s="21"/>
      <c r="Z1849" s="18"/>
    </row>
    <row r="1850" spans="1:26" x14ac:dyDescent="0.25">
      <c r="A1850" s="18"/>
      <c r="B1850" s="18"/>
      <c r="C1850" s="18"/>
      <c r="D1850" s="18"/>
      <c r="E1850" s="19"/>
      <c r="F1850" s="20"/>
      <c r="G1850" s="13"/>
      <c r="H1850" s="20"/>
      <c r="I1850" s="18"/>
      <c r="J1850" s="18"/>
      <c r="K1850" s="18"/>
      <c r="L1850" s="18"/>
      <c r="M1850" s="21"/>
      <c r="N1850" s="21"/>
      <c r="O1850" s="21"/>
      <c r="P1850" s="21"/>
      <c r="Q1850" s="22"/>
      <c r="R1850" s="19"/>
      <c r="S1850" s="22"/>
      <c r="T1850" s="23"/>
      <c r="U1850" s="18"/>
      <c r="V1850" s="22"/>
      <c r="W1850" s="18"/>
      <c r="X1850" s="18"/>
      <c r="Y1850" s="21"/>
      <c r="Z1850" s="18"/>
    </row>
    <row r="1851" spans="1:26" x14ac:dyDescent="0.25">
      <c r="A1851" s="18"/>
      <c r="B1851" s="18"/>
      <c r="C1851" s="18"/>
      <c r="D1851" s="18"/>
      <c r="E1851" s="19"/>
      <c r="F1851" s="20"/>
      <c r="G1851" s="13"/>
      <c r="H1851" s="20"/>
      <c r="I1851" s="18"/>
      <c r="J1851" s="18"/>
      <c r="K1851" s="18"/>
      <c r="L1851" s="18"/>
      <c r="M1851" s="21"/>
      <c r="N1851" s="21"/>
      <c r="O1851" s="21"/>
      <c r="P1851" s="21"/>
      <c r="Q1851" s="22"/>
      <c r="R1851" s="19"/>
      <c r="S1851" s="22"/>
      <c r="T1851" s="23"/>
      <c r="U1851" s="18"/>
      <c r="V1851" s="22"/>
      <c r="W1851" s="18"/>
      <c r="X1851" s="18"/>
      <c r="Y1851" s="21"/>
      <c r="Z1851" s="18"/>
    </row>
    <row r="1852" spans="1:26" x14ac:dyDescent="0.25">
      <c r="A1852" s="18"/>
      <c r="B1852" s="18"/>
      <c r="C1852" s="18"/>
      <c r="D1852" s="18"/>
      <c r="E1852" s="19"/>
      <c r="F1852" s="20"/>
      <c r="G1852" s="13"/>
      <c r="H1852" s="20"/>
      <c r="I1852" s="18"/>
      <c r="J1852" s="18"/>
      <c r="K1852" s="18"/>
      <c r="L1852" s="18"/>
      <c r="M1852" s="21"/>
      <c r="N1852" s="21"/>
      <c r="O1852" s="21"/>
      <c r="P1852" s="21"/>
      <c r="Q1852" s="22"/>
      <c r="R1852" s="19"/>
      <c r="S1852" s="22"/>
      <c r="T1852" s="23"/>
      <c r="U1852" s="18"/>
      <c r="V1852" s="22"/>
      <c r="W1852" s="18"/>
      <c r="X1852" s="18"/>
      <c r="Y1852" s="21"/>
      <c r="Z1852" s="18"/>
    </row>
    <row r="1853" spans="1:26" x14ac:dyDescent="0.25">
      <c r="A1853" s="19"/>
      <c r="B1853" s="19"/>
      <c r="C1853" s="19"/>
      <c r="D1853" s="19"/>
      <c r="E1853" s="19"/>
      <c r="F1853" s="20"/>
      <c r="G1853" s="13"/>
      <c r="H1853" s="20"/>
      <c r="I1853" s="19"/>
      <c r="J1853" s="19"/>
      <c r="K1853" s="19"/>
      <c r="L1853" s="19"/>
      <c r="M1853" s="21"/>
      <c r="N1853" s="21"/>
      <c r="O1853" s="21"/>
      <c r="P1853" s="21"/>
      <c r="Q1853" s="22"/>
      <c r="R1853" s="19"/>
      <c r="S1853" s="22"/>
      <c r="T1853" s="23"/>
      <c r="U1853" s="19"/>
      <c r="V1853" s="22"/>
      <c r="W1853" s="19"/>
      <c r="X1853" s="19"/>
      <c r="Y1853" s="21"/>
      <c r="Z1853" s="19"/>
    </row>
    <row r="1854" spans="1:26" x14ac:dyDescent="0.25">
      <c r="A1854" s="19"/>
      <c r="B1854" s="19"/>
      <c r="C1854" s="19"/>
      <c r="D1854" s="19"/>
      <c r="E1854" s="19"/>
      <c r="F1854" s="20"/>
      <c r="G1854" s="13"/>
      <c r="H1854" s="20"/>
      <c r="I1854" s="19"/>
      <c r="J1854" s="19"/>
      <c r="K1854" s="19"/>
      <c r="L1854" s="19"/>
      <c r="M1854" s="21"/>
      <c r="N1854" s="21"/>
      <c r="O1854" s="21"/>
      <c r="P1854" s="21"/>
      <c r="Q1854" s="22"/>
      <c r="R1854" s="19"/>
      <c r="S1854" s="22"/>
      <c r="T1854" s="23"/>
      <c r="U1854" s="19"/>
      <c r="V1854" s="22"/>
      <c r="W1854" s="19"/>
      <c r="X1854" s="19"/>
      <c r="Y1854" s="21"/>
      <c r="Z1854" s="19"/>
    </row>
    <row r="1855" spans="1:26" x14ac:dyDescent="0.25">
      <c r="A1855" s="11"/>
      <c r="B1855" s="11"/>
      <c r="C1855" s="11"/>
      <c r="D1855" s="11"/>
      <c r="E1855" s="12"/>
      <c r="F1855" s="13"/>
      <c r="G1855" s="13"/>
      <c r="H1855" s="13"/>
      <c r="I1855" s="11"/>
      <c r="J1855" s="11"/>
      <c r="K1855" s="11"/>
      <c r="L1855" s="11"/>
      <c r="M1855" s="15"/>
      <c r="N1855" s="15"/>
      <c r="O1855" s="15"/>
      <c r="P1855" s="15"/>
      <c r="Q1855" s="16"/>
      <c r="R1855" s="16"/>
      <c r="S1855" s="16"/>
      <c r="T1855" s="17"/>
      <c r="U1855" s="11"/>
      <c r="V1855" s="16"/>
      <c r="W1855" s="11"/>
      <c r="X1855" s="11"/>
      <c r="Y1855" s="15"/>
      <c r="Z1855" s="11"/>
    </row>
    <row r="1856" spans="1:26" x14ac:dyDescent="0.25">
      <c r="A1856" s="11"/>
      <c r="B1856" s="11"/>
      <c r="C1856" s="11"/>
      <c r="D1856" s="11"/>
      <c r="E1856" s="12"/>
      <c r="F1856" s="13"/>
      <c r="G1856" s="13"/>
      <c r="H1856" s="13"/>
      <c r="I1856" s="11"/>
      <c r="J1856" s="11"/>
      <c r="K1856" s="11"/>
      <c r="L1856" s="11"/>
      <c r="M1856" s="15"/>
      <c r="N1856" s="15"/>
      <c r="O1856" s="15"/>
      <c r="P1856" s="15"/>
      <c r="Q1856" s="16"/>
      <c r="R1856" s="16"/>
      <c r="S1856" s="16"/>
      <c r="T1856" s="17"/>
      <c r="U1856" s="11"/>
      <c r="V1856" s="16"/>
      <c r="W1856" s="11"/>
      <c r="X1856" s="11"/>
      <c r="Y1856" s="15"/>
      <c r="Z1856" s="11"/>
    </row>
    <row r="1857" spans="1:26" x14ac:dyDescent="0.25">
      <c r="A1857" s="11"/>
      <c r="B1857" s="11"/>
      <c r="C1857" s="11"/>
      <c r="D1857" s="11"/>
      <c r="E1857" s="12"/>
      <c r="F1857" s="13"/>
      <c r="G1857" s="13"/>
      <c r="H1857" s="13"/>
      <c r="I1857" s="11"/>
      <c r="J1857" s="11"/>
      <c r="K1857" s="11"/>
      <c r="L1857" s="11"/>
      <c r="M1857" s="15"/>
      <c r="N1857" s="15"/>
      <c r="O1857" s="15"/>
      <c r="P1857" s="15"/>
      <c r="Q1857" s="16"/>
      <c r="R1857" s="16"/>
      <c r="S1857" s="16"/>
      <c r="T1857" s="17"/>
      <c r="U1857" s="11"/>
      <c r="V1857" s="16"/>
      <c r="W1857" s="11"/>
      <c r="X1857" s="11"/>
      <c r="Y1857" s="15"/>
      <c r="Z1857" s="11"/>
    </row>
    <row r="1858" spans="1:26" x14ac:dyDescent="0.25">
      <c r="A1858" s="11"/>
      <c r="B1858" s="11"/>
      <c r="C1858" s="11"/>
      <c r="D1858" s="11"/>
      <c r="E1858" s="12"/>
      <c r="F1858" s="13"/>
      <c r="G1858" s="13"/>
      <c r="H1858" s="13"/>
      <c r="I1858" s="11"/>
      <c r="J1858" s="11"/>
      <c r="K1858" s="11"/>
      <c r="L1858" s="11"/>
      <c r="M1858" s="15"/>
      <c r="N1858" s="15"/>
      <c r="O1858" s="15"/>
      <c r="P1858" s="15"/>
      <c r="Q1858" s="16"/>
      <c r="R1858" s="16"/>
      <c r="S1858" s="16"/>
      <c r="T1858" s="17"/>
      <c r="U1858" s="11"/>
      <c r="V1858" s="16"/>
      <c r="W1858" s="11"/>
      <c r="X1858" s="11"/>
      <c r="Y1858" s="15"/>
      <c r="Z1858" s="11"/>
    </row>
    <row r="1859" spans="1:26" x14ac:dyDescent="0.25">
      <c r="A1859" s="19"/>
      <c r="B1859" s="19"/>
      <c r="C1859" s="19"/>
      <c r="D1859" s="19"/>
      <c r="E1859" s="19"/>
      <c r="F1859" s="20"/>
      <c r="G1859" s="13"/>
      <c r="H1859" s="20"/>
      <c r="I1859" s="19"/>
      <c r="J1859" s="19"/>
      <c r="K1859" s="19"/>
      <c r="L1859" s="19"/>
      <c r="M1859" s="21"/>
      <c r="N1859" s="21"/>
      <c r="O1859" s="21"/>
      <c r="P1859" s="21"/>
      <c r="Q1859" s="22"/>
      <c r="R1859" s="19"/>
      <c r="S1859" s="22"/>
      <c r="T1859" s="23"/>
      <c r="U1859" s="19"/>
      <c r="V1859" s="22"/>
      <c r="W1859" s="19"/>
      <c r="X1859" s="19"/>
      <c r="Y1859" s="21"/>
      <c r="Z1859" s="19"/>
    </row>
    <row r="1860" spans="1:26" x14ac:dyDescent="0.25">
      <c r="A1860" s="11"/>
      <c r="B1860" s="11"/>
      <c r="C1860" s="11"/>
      <c r="D1860" s="11"/>
      <c r="E1860" s="12"/>
      <c r="F1860" s="13"/>
      <c r="G1860" s="13"/>
      <c r="H1860" s="13"/>
      <c r="I1860" s="11"/>
      <c r="J1860" s="11"/>
      <c r="K1860" s="11"/>
      <c r="L1860" s="11"/>
      <c r="M1860" s="15"/>
      <c r="N1860" s="15"/>
      <c r="O1860" s="15"/>
      <c r="P1860" s="15"/>
      <c r="Q1860" s="16"/>
      <c r="R1860" s="16"/>
      <c r="S1860" s="16"/>
      <c r="T1860" s="17"/>
      <c r="U1860" s="11"/>
      <c r="V1860" s="16"/>
      <c r="W1860" s="11"/>
      <c r="X1860" s="11"/>
      <c r="Y1860" s="15"/>
      <c r="Z1860" s="11"/>
    </row>
    <row r="1861" spans="1:26" x14ac:dyDescent="0.25">
      <c r="A1861" s="11"/>
      <c r="B1861" s="11"/>
      <c r="C1861" s="11"/>
      <c r="D1861" s="11"/>
      <c r="E1861" s="12"/>
      <c r="F1861" s="13"/>
      <c r="G1861" s="13"/>
      <c r="H1861" s="13"/>
      <c r="I1861" s="11"/>
      <c r="J1861" s="11"/>
      <c r="K1861" s="11"/>
      <c r="L1861" s="11"/>
      <c r="M1861" s="15"/>
      <c r="N1861" s="15"/>
      <c r="O1861" s="15"/>
      <c r="P1861" s="15"/>
      <c r="Q1861" s="16"/>
      <c r="R1861" s="16"/>
      <c r="S1861" s="16"/>
      <c r="T1861" s="17"/>
      <c r="U1861" s="11"/>
      <c r="V1861" s="16"/>
      <c r="W1861" s="11"/>
      <c r="X1861" s="11"/>
      <c r="Y1861" s="15"/>
      <c r="Z1861" s="11"/>
    </row>
    <row r="1862" spans="1:26" x14ac:dyDescent="0.25">
      <c r="A1862" s="11"/>
      <c r="B1862" s="11"/>
      <c r="C1862" s="11"/>
      <c r="D1862" s="11"/>
      <c r="E1862" s="12"/>
      <c r="F1862" s="13"/>
      <c r="G1862" s="13"/>
      <c r="H1862" s="13"/>
      <c r="I1862" s="11"/>
      <c r="J1862" s="11"/>
      <c r="K1862" s="11"/>
      <c r="L1862" s="11"/>
      <c r="M1862" s="15"/>
      <c r="N1862" s="15"/>
      <c r="O1862" s="15"/>
      <c r="P1862" s="15"/>
      <c r="Q1862" s="16"/>
      <c r="R1862" s="16"/>
      <c r="S1862" s="16"/>
      <c r="T1862" s="17"/>
      <c r="U1862" s="11"/>
      <c r="V1862" s="16"/>
      <c r="W1862" s="11"/>
      <c r="X1862" s="11"/>
      <c r="Y1862" s="15"/>
      <c r="Z1862" s="11"/>
    </row>
    <row r="1863" spans="1:26" x14ac:dyDescent="0.25">
      <c r="A1863" s="11"/>
      <c r="B1863" s="11"/>
      <c r="C1863" s="11"/>
      <c r="D1863" s="11"/>
      <c r="E1863" s="12"/>
      <c r="F1863" s="13"/>
      <c r="G1863" s="13"/>
      <c r="H1863" s="13"/>
      <c r="I1863" s="11"/>
      <c r="J1863" s="11"/>
      <c r="K1863" s="11"/>
      <c r="L1863" s="11"/>
      <c r="M1863" s="15"/>
      <c r="N1863" s="15"/>
      <c r="O1863" s="15"/>
      <c r="P1863" s="15"/>
      <c r="Q1863" s="16"/>
      <c r="R1863" s="16"/>
      <c r="S1863" s="16"/>
      <c r="T1863" s="17"/>
      <c r="U1863" s="11"/>
      <c r="V1863" s="16"/>
      <c r="W1863" s="11"/>
      <c r="X1863" s="11"/>
      <c r="Y1863" s="15"/>
      <c r="Z1863" s="11"/>
    </row>
    <row r="1864" spans="1:26" x14ac:dyDescent="0.25">
      <c r="A1864" s="19"/>
      <c r="B1864" s="19"/>
      <c r="C1864" s="19"/>
      <c r="D1864" s="19"/>
      <c r="E1864" s="19"/>
      <c r="F1864" s="20"/>
      <c r="G1864" s="13"/>
      <c r="H1864" s="20"/>
      <c r="I1864" s="19"/>
      <c r="J1864" s="19"/>
      <c r="K1864" s="19"/>
      <c r="L1864" s="19"/>
      <c r="M1864" s="21"/>
      <c r="N1864" s="21"/>
      <c r="O1864" s="21"/>
      <c r="P1864" s="21"/>
      <c r="Q1864" s="22"/>
      <c r="R1864" s="19"/>
      <c r="S1864" s="22"/>
      <c r="T1864" s="23"/>
      <c r="U1864" s="19"/>
      <c r="V1864" s="22"/>
      <c r="W1864" s="19"/>
      <c r="X1864" s="19"/>
      <c r="Y1864" s="21"/>
      <c r="Z1864" s="19"/>
    </row>
    <row r="1865" spans="1:26" x14ac:dyDescent="0.25">
      <c r="A1865" s="11"/>
      <c r="B1865" s="11"/>
      <c r="C1865" s="11"/>
      <c r="D1865" s="11"/>
      <c r="E1865" s="12"/>
      <c r="F1865" s="13"/>
      <c r="G1865" s="13"/>
      <c r="H1865" s="13"/>
      <c r="I1865" s="11"/>
      <c r="J1865" s="11"/>
      <c r="K1865" s="11"/>
      <c r="L1865" s="11"/>
      <c r="M1865" s="15"/>
      <c r="N1865" s="15"/>
      <c r="O1865" s="15"/>
      <c r="P1865" s="15"/>
      <c r="Q1865" s="16"/>
      <c r="R1865" s="16"/>
      <c r="S1865" s="16"/>
      <c r="T1865" s="17"/>
      <c r="U1865" s="11"/>
      <c r="V1865" s="16"/>
      <c r="W1865" s="11"/>
      <c r="X1865" s="11"/>
      <c r="Y1865" s="15"/>
      <c r="Z1865" s="11"/>
    </row>
    <row r="1866" spans="1:26" x14ac:dyDescent="0.25">
      <c r="A1866" s="11"/>
      <c r="B1866" s="11"/>
      <c r="C1866" s="11"/>
      <c r="D1866" s="11"/>
      <c r="E1866" s="12"/>
      <c r="F1866" s="13"/>
      <c r="G1866" s="13"/>
      <c r="H1866" s="13"/>
      <c r="I1866" s="11"/>
      <c r="J1866" s="11"/>
      <c r="K1866" s="11"/>
      <c r="L1866" s="11"/>
      <c r="M1866" s="15"/>
      <c r="N1866" s="15"/>
      <c r="O1866" s="15"/>
      <c r="P1866" s="15"/>
      <c r="Q1866" s="16"/>
      <c r="R1866" s="16"/>
      <c r="S1866" s="16"/>
      <c r="T1866" s="17"/>
      <c r="U1866" s="11"/>
      <c r="V1866" s="16"/>
      <c r="W1866" s="11"/>
      <c r="X1866" s="11"/>
      <c r="Y1866" s="15"/>
      <c r="Z1866" s="11"/>
    </row>
    <row r="1867" spans="1:26" x14ac:dyDescent="0.25">
      <c r="A1867" s="11"/>
      <c r="B1867" s="11"/>
      <c r="C1867" s="11"/>
      <c r="D1867" s="11"/>
      <c r="E1867" s="12"/>
      <c r="F1867" s="13"/>
      <c r="G1867" s="13"/>
      <c r="H1867" s="13"/>
      <c r="I1867" s="11"/>
      <c r="J1867" s="11"/>
      <c r="K1867" s="11"/>
      <c r="L1867" s="11"/>
      <c r="M1867" s="15"/>
      <c r="N1867" s="15"/>
      <c r="O1867" s="15"/>
      <c r="P1867" s="15"/>
      <c r="Q1867" s="16"/>
      <c r="R1867" s="16"/>
      <c r="S1867" s="16"/>
      <c r="T1867" s="17"/>
      <c r="U1867" s="11"/>
      <c r="V1867" s="16"/>
      <c r="W1867" s="11"/>
      <c r="X1867" s="11"/>
      <c r="Y1867" s="15"/>
      <c r="Z1867" s="11"/>
    </row>
    <row r="1868" spans="1:26" x14ac:dyDescent="0.25">
      <c r="A1868" s="11"/>
      <c r="B1868" s="11"/>
      <c r="C1868" s="11"/>
      <c r="D1868" s="11"/>
      <c r="E1868" s="12"/>
      <c r="F1868" s="13"/>
      <c r="G1868" s="13"/>
      <c r="H1868" s="13"/>
      <c r="I1868" s="11"/>
      <c r="J1868" s="11"/>
      <c r="K1868" s="11"/>
      <c r="L1868" s="11"/>
      <c r="M1868" s="15"/>
      <c r="N1868" s="15"/>
      <c r="O1868" s="15"/>
      <c r="P1868" s="15"/>
      <c r="Q1868" s="16"/>
      <c r="R1868" s="16"/>
      <c r="S1868" s="16"/>
      <c r="T1868" s="17"/>
      <c r="U1868" s="11"/>
      <c r="V1868" s="16"/>
      <c r="W1868" s="11"/>
      <c r="X1868" s="11"/>
      <c r="Y1868" s="15"/>
      <c r="Z1868" s="11"/>
    </row>
    <row r="1869" spans="1:26" x14ac:dyDescent="0.25">
      <c r="A1869" s="11"/>
      <c r="B1869" s="11"/>
      <c r="C1869" s="11"/>
      <c r="D1869" s="11"/>
      <c r="E1869" s="12"/>
      <c r="F1869" s="13"/>
      <c r="G1869" s="13"/>
      <c r="H1869" s="13"/>
      <c r="I1869" s="11"/>
      <c r="J1869" s="11"/>
      <c r="K1869" s="11"/>
      <c r="L1869" s="11"/>
      <c r="M1869" s="15"/>
      <c r="N1869" s="15"/>
      <c r="O1869" s="15"/>
      <c r="P1869" s="15"/>
      <c r="Q1869" s="16"/>
      <c r="R1869" s="16"/>
      <c r="S1869" s="16"/>
      <c r="T1869" s="17"/>
      <c r="U1869" s="11"/>
      <c r="V1869" s="16"/>
      <c r="W1869" s="11"/>
      <c r="X1869" s="11"/>
      <c r="Y1869" s="15"/>
      <c r="Z1869" s="11"/>
    </row>
    <row r="1870" spans="1:26" x14ac:dyDescent="0.25">
      <c r="A1870" s="11"/>
      <c r="B1870" s="11"/>
      <c r="C1870" s="11"/>
      <c r="D1870" s="11"/>
      <c r="E1870" s="12"/>
      <c r="F1870" s="13"/>
      <c r="G1870" s="13"/>
      <c r="H1870" s="13"/>
      <c r="I1870" s="11"/>
      <c r="J1870" s="11"/>
      <c r="K1870" s="11"/>
      <c r="L1870" s="11"/>
      <c r="M1870" s="15"/>
      <c r="N1870" s="15"/>
      <c r="O1870" s="15"/>
      <c r="P1870" s="15"/>
      <c r="Q1870" s="16"/>
      <c r="R1870" s="16"/>
      <c r="S1870" s="16"/>
      <c r="T1870" s="17"/>
      <c r="U1870" s="11"/>
      <c r="V1870" s="16"/>
      <c r="W1870" s="11"/>
      <c r="X1870" s="11"/>
      <c r="Y1870" s="15"/>
      <c r="Z1870" s="11"/>
    </row>
    <row r="1871" spans="1:26" x14ac:dyDescent="0.25">
      <c r="A1871" s="11"/>
      <c r="B1871" s="11"/>
      <c r="C1871" s="11"/>
      <c r="D1871" s="11"/>
      <c r="E1871" s="12"/>
      <c r="F1871" s="13"/>
      <c r="G1871" s="13"/>
      <c r="H1871" s="13"/>
      <c r="I1871" s="11"/>
      <c r="J1871" s="11"/>
      <c r="K1871" s="11"/>
      <c r="L1871" s="11"/>
      <c r="M1871" s="15"/>
      <c r="N1871" s="15"/>
      <c r="O1871" s="15"/>
      <c r="P1871" s="15"/>
      <c r="Q1871" s="16"/>
      <c r="R1871" s="16"/>
      <c r="S1871" s="16"/>
      <c r="T1871" s="17"/>
      <c r="U1871" s="11"/>
      <c r="V1871" s="16"/>
      <c r="W1871" s="11"/>
      <c r="X1871" s="11"/>
      <c r="Y1871" s="15"/>
      <c r="Z1871" s="11"/>
    </row>
    <row r="1872" spans="1:26" x14ac:dyDescent="0.25">
      <c r="A1872" s="11"/>
      <c r="B1872" s="11"/>
      <c r="C1872" s="11"/>
      <c r="D1872" s="11"/>
      <c r="E1872" s="12"/>
      <c r="F1872" s="13"/>
      <c r="G1872" s="13"/>
      <c r="H1872" s="13"/>
      <c r="I1872" s="11"/>
      <c r="J1872" s="11"/>
      <c r="K1872" s="11"/>
      <c r="L1872" s="11"/>
      <c r="M1872" s="15"/>
      <c r="N1872" s="15"/>
      <c r="O1872" s="15"/>
      <c r="P1872" s="15"/>
      <c r="Q1872" s="16"/>
      <c r="R1872" s="16"/>
      <c r="S1872" s="16"/>
      <c r="T1872" s="17"/>
      <c r="U1872" s="11"/>
      <c r="V1872" s="16"/>
      <c r="W1872" s="11"/>
      <c r="X1872" s="11"/>
      <c r="Y1872" s="15"/>
      <c r="Z1872" s="11"/>
    </row>
    <row r="1873" spans="1:26" x14ac:dyDescent="0.25">
      <c r="A1873" s="11"/>
      <c r="B1873" s="11"/>
      <c r="C1873" s="11"/>
      <c r="D1873" s="11"/>
      <c r="E1873" s="12"/>
      <c r="F1873" s="13"/>
      <c r="G1873" s="13"/>
      <c r="H1873" s="13"/>
      <c r="I1873" s="11"/>
      <c r="J1873" s="11"/>
      <c r="K1873" s="11"/>
      <c r="L1873" s="11"/>
      <c r="M1873" s="15"/>
      <c r="N1873" s="15"/>
      <c r="O1873" s="15"/>
      <c r="P1873" s="15"/>
      <c r="Q1873" s="16"/>
      <c r="R1873" s="16"/>
      <c r="S1873" s="16"/>
      <c r="T1873" s="17"/>
      <c r="U1873" s="11"/>
      <c r="V1873" s="16"/>
      <c r="W1873" s="11"/>
      <c r="X1873" s="11"/>
      <c r="Y1873" s="15"/>
      <c r="Z1873" s="11"/>
    </row>
    <row r="1874" spans="1:26" x14ac:dyDescent="0.25">
      <c r="A1874" s="11"/>
      <c r="B1874" s="11"/>
      <c r="C1874" s="11"/>
      <c r="D1874" s="11"/>
      <c r="E1874" s="12"/>
      <c r="F1874" s="13"/>
      <c r="G1874" s="13"/>
      <c r="H1874" s="13"/>
      <c r="I1874" s="11"/>
      <c r="J1874" s="11"/>
      <c r="K1874" s="11"/>
      <c r="L1874" s="11"/>
      <c r="M1874" s="15"/>
      <c r="N1874" s="15"/>
      <c r="O1874" s="15"/>
      <c r="P1874" s="15"/>
      <c r="Q1874" s="16"/>
      <c r="R1874" s="16"/>
      <c r="S1874" s="16"/>
      <c r="T1874" s="17"/>
      <c r="U1874" s="11"/>
      <c r="V1874" s="16"/>
      <c r="W1874" s="11"/>
      <c r="X1874" s="11"/>
      <c r="Y1874" s="15"/>
      <c r="Z1874" s="11"/>
    </row>
    <row r="1875" spans="1:26" x14ac:dyDescent="0.25">
      <c r="A1875" s="11"/>
      <c r="B1875" s="11"/>
      <c r="C1875" s="11"/>
      <c r="D1875" s="11"/>
      <c r="E1875" s="12"/>
      <c r="F1875" s="13"/>
      <c r="G1875" s="13"/>
      <c r="H1875" s="13"/>
      <c r="I1875" s="11"/>
      <c r="J1875" s="11"/>
      <c r="K1875" s="11"/>
      <c r="L1875" s="11"/>
      <c r="M1875" s="15"/>
      <c r="N1875" s="15"/>
      <c r="O1875" s="15"/>
      <c r="P1875" s="15"/>
      <c r="Q1875" s="16"/>
      <c r="R1875" s="16"/>
      <c r="S1875" s="16"/>
      <c r="T1875" s="17"/>
      <c r="U1875" s="11"/>
      <c r="V1875" s="16"/>
      <c r="W1875" s="11"/>
      <c r="X1875" s="11"/>
      <c r="Y1875" s="15"/>
      <c r="Z1875" s="11"/>
    </row>
    <row r="1876" spans="1:26" x14ac:dyDescent="0.25">
      <c r="A1876" s="11"/>
      <c r="B1876" s="11"/>
      <c r="C1876" s="11"/>
      <c r="D1876" s="11"/>
      <c r="E1876" s="12"/>
      <c r="F1876" s="13"/>
      <c r="G1876" s="13"/>
      <c r="H1876" s="13"/>
      <c r="I1876" s="11"/>
      <c r="J1876" s="11"/>
      <c r="K1876" s="11"/>
      <c r="L1876" s="11"/>
      <c r="M1876" s="15"/>
      <c r="N1876" s="15"/>
      <c r="O1876" s="15"/>
      <c r="P1876" s="15"/>
      <c r="Q1876" s="16"/>
      <c r="R1876" s="16"/>
      <c r="S1876" s="16"/>
      <c r="T1876" s="17"/>
      <c r="U1876" s="11"/>
      <c r="V1876" s="16"/>
      <c r="W1876" s="11"/>
      <c r="X1876" s="11"/>
      <c r="Y1876" s="15"/>
      <c r="Z1876" s="11"/>
    </row>
    <row r="1877" spans="1:26" x14ac:dyDescent="0.25">
      <c r="A1877" s="11"/>
      <c r="B1877" s="11"/>
      <c r="C1877" s="11"/>
      <c r="D1877" s="11"/>
      <c r="E1877" s="12"/>
      <c r="F1877" s="13"/>
      <c r="G1877" s="13"/>
      <c r="H1877" s="13"/>
      <c r="I1877" s="11"/>
      <c r="J1877" s="11"/>
      <c r="K1877" s="11"/>
      <c r="L1877" s="11"/>
      <c r="M1877" s="15"/>
      <c r="N1877" s="15"/>
      <c r="O1877" s="15"/>
      <c r="P1877" s="15"/>
      <c r="Q1877" s="16"/>
      <c r="R1877" s="16"/>
      <c r="S1877" s="16"/>
      <c r="T1877" s="17"/>
      <c r="U1877" s="11"/>
      <c r="V1877" s="16"/>
      <c r="W1877" s="11"/>
      <c r="X1877" s="11"/>
      <c r="Y1877" s="15"/>
      <c r="Z1877" s="11"/>
    </row>
    <row r="1878" spans="1:26" x14ac:dyDescent="0.25">
      <c r="A1878" s="11"/>
      <c r="B1878" s="11"/>
      <c r="C1878" s="11"/>
      <c r="D1878" s="11"/>
      <c r="E1878" s="12"/>
      <c r="F1878" s="13"/>
      <c r="G1878" s="13"/>
      <c r="H1878" s="13"/>
      <c r="I1878" s="11"/>
      <c r="J1878" s="11"/>
      <c r="K1878" s="11"/>
      <c r="L1878" s="11"/>
      <c r="M1878" s="15"/>
      <c r="N1878" s="15"/>
      <c r="O1878" s="15"/>
      <c r="P1878" s="15"/>
      <c r="Q1878" s="16"/>
      <c r="R1878" s="16"/>
      <c r="S1878" s="16"/>
      <c r="T1878" s="17"/>
      <c r="U1878" s="11"/>
      <c r="V1878" s="16"/>
      <c r="W1878" s="11"/>
      <c r="X1878" s="11"/>
      <c r="Y1878" s="15"/>
      <c r="Z1878" s="11"/>
    </row>
    <row r="1879" spans="1:26" x14ac:dyDescent="0.25">
      <c r="A1879" s="11"/>
      <c r="B1879" s="11"/>
      <c r="C1879" s="11"/>
      <c r="D1879" s="11"/>
      <c r="E1879" s="12"/>
      <c r="F1879" s="13"/>
      <c r="G1879" s="13"/>
      <c r="H1879" s="13"/>
      <c r="I1879" s="11"/>
      <c r="J1879" s="11"/>
      <c r="K1879" s="11"/>
      <c r="L1879" s="11"/>
      <c r="M1879" s="15"/>
      <c r="N1879" s="15"/>
      <c r="O1879" s="15"/>
      <c r="P1879" s="15"/>
      <c r="Q1879" s="16"/>
      <c r="R1879" s="16"/>
      <c r="S1879" s="16"/>
      <c r="T1879" s="17"/>
      <c r="U1879" s="11"/>
      <c r="V1879" s="16"/>
      <c r="W1879" s="11"/>
      <c r="X1879" s="11"/>
      <c r="Y1879" s="15"/>
      <c r="Z1879" s="11"/>
    </row>
    <row r="1880" spans="1:26" x14ac:dyDescent="0.25">
      <c r="A1880" s="11"/>
      <c r="B1880" s="11"/>
      <c r="C1880" s="11"/>
      <c r="D1880" s="11"/>
      <c r="E1880" s="12"/>
      <c r="F1880" s="13"/>
      <c r="G1880" s="13"/>
      <c r="H1880" s="13"/>
      <c r="I1880" s="11"/>
      <c r="J1880" s="11"/>
      <c r="K1880" s="11"/>
      <c r="L1880" s="11"/>
      <c r="M1880" s="15"/>
      <c r="N1880" s="15"/>
      <c r="O1880" s="15"/>
      <c r="P1880" s="15"/>
      <c r="Q1880" s="16"/>
      <c r="R1880" s="16"/>
      <c r="S1880" s="16"/>
      <c r="T1880" s="17"/>
      <c r="U1880" s="11"/>
      <c r="V1880" s="16"/>
      <c r="W1880" s="11"/>
      <c r="X1880" s="11"/>
      <c r="Y1880" s="15"/>
      <c r="Z1880" s="11"/>
    </row>
    <row r="1881" spans="1:26" x14ac:dyDescent="0.25">
      <c r="A1881" s="11"/>
      <c r="B1881" s="11"/>
      <c r="C1881" s="11"/>
      <c r="D1881" s="11"/>
      <c r="E1881" s="12"/>
      <c r="F1881" s="13"/>
      <c r="G1881" s="13"/>
      <c r="H1881" s="13"/>
      <c r="I1881" s="11"/>
      <c r="J1881" s="11"/>
      <c r="K1881" s="11"/>
      <c r="L1881" s="11"/>
      <c r="M1881" s="15"/>
      <c r="N1881" s="15"/>
      <c r="O1881" s="15"/>
      <c r="P1881" s="15"/>
      <c r="Q1881" s="16"/>
      <c r="R1881" s="16"/>
      <c r="S1881" s="16"/>
      <c r="T1881" s="17"/>
      <c r="U1881" s="11"/>
      <c r="V1881" s="16"/>
      <c r="W1881" s="11"/>
      <c r="X1881" s="11"/>
      <c r="Y1881" s="15"/>
      <c r="Z1881" s="11"/>
    </row>
    <row r="1882" spans="1:26" x14ac:dyDescent="0.25">
      <c r="A1882" s="11"/>
      <c r="B1882" s="11"/>
      <c r="C1882" s="11"/>
      <c r="D1882" s="11"/>
      <c r="E1882" s="12"/>
      <c r="F1882" s="13"/>
      <c r="G1882" s="13"/>
      <c r="H1882" s="13"/>
      <c r="I1882" s="11"/>
      <c r="J1882" s="11"/>
      <c r="K1882" s="11"/>
      <c r="L1882" s="11"/>
      <c r="M1882" s="15"/>
      <c r="N1882" s="15"/>
      <c r="O1882" s="15"/>
      <c r="P1882" s="15"/>
      <c r="Q1882" s="16"/>
      <c r="R1882" s="16"/>
      <c r="S1882" s="16"/>
      <c r="T1882" s="17"/>
      <c r="U1882" s="11"/>
      <c r="V1882" s="16"/>
      <c r="W1882" s="11"/>
      <c r="X1882" s="11"/>
      <c r="Y1882" s="15"/>
      <c r="Z1882" s="11"/>
    </row>
    <row r="1883" spans="1:26" x14ac:dyDescent="0.25">
      <c r="A1883" s="11"/>
      <c r="B1883" s="11"/>
      <c r="C1883" s="11"/>
      <c r="D1883" s="11"/>
      <c r="E1883" s="12"/>
      <c r="F1883" s="13"/>
      <c r="G1883" s="13"/>
      <c r="H1883" s="13"/>
      <c r="I1883" s="11"/>
      <c r="J1883" s="11"/>
      <c r="K1883" s="11"/>
      <c r="L1883" s="11"/>
      <c r="M1883" s="15"/>
      <c r="N1883" s="15"/>
      <c r="O1883" s="15"/>
      <c r="P1883" s="15"/>
      <c r="Q1883" s="16"/>
      <c r="R1883" s="16"/>
      <c r="S1883" s="16"/>
      <c r="T1883" s="17"/>
      <c r="U1883" s="11"/>
      <c r="V1883" s="16"/>
      <c r="W1883" s="11"/>
      <c r="X1883" s="11"/>
      <c r="Y1883" s="15"/>
      <c r="Z1883" s="11"/>
    </row>
    <row r="1884" spans="1:26" x14ac:dyDescent="0.25">
      <c r="A1884" s="11"/>
      <c r="B1884" s="11"/>
      <c r="C1884" s="11"/>
      <c r="D1884" s="11"/>
      <c r="E1884" s="12"/>
      <c r="F1884" s="13"/>
      <c r="G1884" s="13"/>
      <c r="H1884" s="13"/>
      <c r="I1884" s="11"/>
      <c r="J1884" s="11"/>
      <c r="K1884" s="11"/>
      <c r="L1884" s="11"/>
      <c r="M1884" s="15"/>
      <c r="N1884" s="15"/>
      <c r="O1884" s="15"/>
      <c r="P1884" s="15"/>
      <c r="Q1884" s="16"/>
      <c r="R1884" s="16"/>
      <c r="S1884" s="16"/>
      <c r="T1884" s="17"/>
      <c r="U1884" s="11"/>
      <c r="V1884" s="16"/>
      <c r="W1884" s="11"/>
      <c r="X1884" s="11"/>
      <c r="Y1884" s="15"/>
      <c r="Z1884" s="11"/>
    </row>
    <row r="1885" spans="1:26" x14ac:dyDescent="0.25">
      <c r="A1885" s="11"/>
      <c r="B1885" s="11"/>
      <c r="C1885" s="11"/>
      <c r="D1885" s="11"/>
      <c r="E1885" s="12"/>
      <c r="F1885" s="13"/>
      <c r="G1885" s="13"/>
      <c r="H1885" s="13"/>
      <c r="I1885" s="11"/>
      <c r="J1885" s="11"/>
      <c r="K1885" s="11"/>
      <c r="L1885" s="11"/>
      <c r="M1885" s="15"/>
      <c r="N1885" s="15"/>
      <c r="O1885" s="15"/>
      <c r="P1885" s="15"/>
      <c r="Q1885" s="16"/>
      <c r="R1885" s="16"/>
      <c r="S1885" s="16"/>
      <c r="T1885" s="17"/>
      <c r="U1885" s="11"/>
      <c r="V1885" s="16"/>
      <c r="W1885" s="11"/>
      <c r="X1885" s="11"/>
      <c r="Y1885" s="15"/>
      <c r="Z1885" s="11"/>
    </row>
    <row r="1886" spans="1:26" x14ac:dyDescent="0.25">
      <c r="A1886" s="11"/>
      <c r="B1886" s="11"/>
      <c r="C1886" s="11"/>
      <c r="D1886" s="11"/>
      <c r="E1886" s="12"/>
      <c r="F1886" s="13"/>
      <c r="G1886" s="13"/>
      <c r="H1886" s="13"/>
      <c r="I1886" s="11"/>
      <c r="J1886" s="11"/>
      <c r="K1886" s="11"/>
      <c r="L1886" s="11"/>
      <c r="M1886" s="15"/>
      <c r="N1886" s="15"/>
      <c r="O1886" s="15"/>
      <c r="P1886" s="15"/>
      <c r="Q1886" s="16"/>
      <c r="R1886" s="16"/>
      <c r="S1886" s="16"/>
      <c r="T1886" s="17"/>
      <c r="U1886" s="11"/>
      <c r="V1886" s="16"/>
      <c r="W1886" s="11"/>
      <c r="X1886" s="11"/>
      <c r="Y1886" s="15"/>
      <c r="Z1886" s="11"/>
    </row>
    <row r="1887" spans="1:26" x14ac:dyDescent="0.25">
      <c r="A1887" s="18"/>
      <c r="B1887" s="18"/>
      <c r="C1887" s="18"/>
      <c r="D1887" s="18"/>
      <c r="E1887" s="19"/>
      <c r="F1887" s="20"/>
      <c r="G1887" s="13"/>
      <c r="H1887" s="20"/>
      <c r="I1887" s="18"/>
      <c r="J1887" s="18"/>
      <c r="K1887" s="18"/>
      <c r="L1887" s="18"/>
      <c r="M1887" s="21"/>
      <c r="N1887" s="21"/>
      <c r="O1887" s="21"/>
      <c r="P1887" s="21"/>
      <c r="Q1887" s="22"/>
      <c r="R1887" s="19"/>
      <c r="S1887" s="22"/>
      <c r="T1887" s="23"/>
      <c r="U1887" s="18"/>
      <c r="V1887" s="22"/>
      <c r="W1887" s="18"/>
      <c r="X1887" s="18"/>
      <c r="Y1887" s="21"/>
      <c r="Z1887" s="18"/>
    </row>
    <row r="1888" spans="1:26" x14ac:dyDescent="0.25">
      <c r="A1888" s="19"/>
      <c r="B1888" s="19"/>
      <c r="C1888" s="19"/>
      <c r="D1888" s="19"/>
      <c r="E1888" s="19"/>
      <c r="F1888" s="20"/>
      <c r="G1888" s="13"/>
      <c r="H1888" s="20"/>
      <c r="I1888" s="19"/>
      <c r="J1888" s="19"/>
      <c r="K1888" s="19"/>
      <c r="L1888" s="19"/>
      <c r="M1888" s="21"/>
      <c r="N1888" s="21"/>
      <c r="O1888" s="21"/>
      <c r="P1888" s="21"/>
      <c r="Q1888" s="22"/>
      <c r="R1888" s="19"/>
      <c r="S1888" s="22"/>
      <c r="T1888" s="23"/>
      <c r="U1888" s="19"/>
      <c r="V1888" s="22"/>
      <c r="W1888" s="19"/>
      <c r="X1888" s="19"/>
      <c r="Y1888" s="21"/>
      <c r="Z1888" s="19"/>
    </row>
    <row r="1889" spans="1:26" x14ac:dyDescent="0.25">
      <c r="A1889" s="11"/>
      <c r="B1889" s="11"/>
      <c r="C1889" s="11"/>
      <c r="D1889" s="11"/>
      <c r="E1889" s="12"/>
      <c r="F1889" s="13"/>
      <c r="G1889" s="13"/>
      <c r="H1889" s="13"/>
      <c r="I1889" s="11"/>
      <c r="J1889" s="11"/>
      <c r="K1889" s="11"/>
      <c r="L1889" s="11"/>
      <c r="M1889" s="15"/>
      <c r="N1889" s="15"/>
      <c r="O1889" s="15"/>
      <c r="P1889" s="15"/>
      <c r="Q1889" s="16"/>
      <c r="R1889" s="16"/>
      <c r="S1889" s="16"/>
      <c r="T1889" s="17"/>
      <c r="U1889" s="11"/>
      <c r="V1889" s="16"/>
      <c r="W1889" s="11"/>
      <c r="X1889" s="11"/>
      <c r="Y1889" s="15"/>
      <c r="Z1889" s="11"/>
    </row>
    <row r="1890" spans="1:26" x14ac:dyDescent="0.25">
      <c r="A1890" s="11"/>
      <c r="B1890" s="11"/>
      <c r="C1890" s="11"/>
      <c r="D1890" s="11"/>
      <c r="E1890" s="12"/>
      <c r="F1890" s="13"/>
      <c r="G1890" s="13"/>
      <c r="H1890" s="13"/>
      <c r="I1890" s="11"/>
      <c r="J1890" s="11"/>
      <c r="K1890" s="11"/>
      <c r="L1890" s="11"/>
      <c r="M1890" s="15"/>
      <c r="N1890" s="15"/>
      <c r="O1890" s="15"/>
      <c r="P1890" s="15"/>
      <c r="Q1890" s="16"/>
      <c r="R1890" s="16"/>
      <c r="S1890" s="16"/>
      <c r="T1890" s="17"/>
      <c r="U1890" s="11"/>
      <c r="V1890" s="16"/>
      <c r="W1890" s="11"/>
      <c r="X1890" s="11"/>
      <c r="Y1890" s="15"/>
      <c r="Z1890" s="11"/>
    </row>
    <row r="1891" spans="1:26" x14ac:dyDescent="0.25">
      <c r="A1891" s="11"/>
      <c r="B1891" s="11"/>
      <c r="C1891" s="11"/>
      <c r="D1891" s="11"/>
      <c r="E1891" s="12"/>
      <c r="F1891" s="13"/>
      <c r="G1891" s="13"/>
      <c r="H1891" s="13"/>
      <c r="I1891" s="11"/>
      <c r="J1891" s="11"/>
      <c r="K1891" s="11"/>
      <c r="L1891" s="11"/>
      <c r="M1891" s="15"/>
      <c r="N1891" s="15"/>
      <c r="O1891" s="15"/>
      <c r="P1891" s="15"/>
      <c r="Q1891" s="16"/>
      <c r="R1891" s="16"/>
      <c r="S1891" s="16"/>
      <c r="T1891" s="17"/>
      <c r="U1891" s="11"/>
      <c r="V1891" s="16"/>
      <c r="W1891" s="11"/>
      <c r="X1891" s="11"/>
      <c r="Y1891" s="15"/>
      <c r="Z1891" s="11"/>
    </row>
    <row r="1892" spans="1:26" x14ac:dyDescent="0.25">
      <c r="A1892" s="11"/>
      <c r="B1892" s="11"/>
      <c r="C1892" s="11"/>
      <c r="D1892" s="11"/>
      <c r="E1892" s="12"/>
      <c r="F1892" s="13"/>
      <c r="G1892" s="13"/>
      <c r="H1892" s="13"/>
      <c r="I1892" s="11"/>
      <c r="J1892" s="11"/>
      <c r="K1892" s="11"/>
      <c r="L1892" s="11"/>
      <c r="M1892" s="15"/>
      <c r="N1892" s="15"/>
      <c r="O1892" s="15"/>
      <c r="P1892" s="15"/>
      <c r="Q1892" s="16"/>
      <c r="R1892" s="16"/>
      <c r="S1892" s="16"/>
      <c r="T1892" s="17"/>
      <c r="U1892" s="11"/>
      <c r="V1892" s="16"/>
      <c r="W1892" s="11"/>
      <c r="X1892" s="11"/>
      <c r="Y1892" s="15"/>
      <c r="Z1892" s="11"/>
    </row>
    <row r="1893" spans="1:26" x14ac:dyDescent="0.25">
      <c r="A1893" s="11"/>
      <c r="B1893" s="11"/>
      <c r="C1893" s="11"/>
      <c r="D1893" s="11"/>
      <c r="E1893" s="12"/>
      <c r="F1893" s="13"/>
      <c r="G1893" s="13"/>
      <c r="H1893" s="13"/>
      <c r="I1893" s="11"/>
      <c r="J1893" s="11"/>
      <c r="K1893" s="11"/>
      <c r="L1893" s="11"/>
      <c r="M1893" s="15"/>
      <c r="N1893" s="15"/>
      <c r="O1893" s="15"/>
      <c r="P1893" s="15"/>
      <c r="Q1893" s="16"/>
      <c r="R1893" s="16"/>
      <c r="S1893" s="16"/>
      <c r="T1893" s="17"/>
      <c r="U1893" s="11"/>
      <c r="V1893" s="16"/>
      <c r="W1893" s="11"/>
      <c r="X1893" s="11"/>
      <c r="Y1893" s="15"/>
      <c r="Z1893" s="11"/>
    </row>
    <row r="1894" spans="1:26" x14ac:dyDescent="0.25">
      <c r="A1894" s="18"/>
      <c r="B1894" s="18"/>
      <c r="C1894" s="18"/>
      <c r="D1894" s="18"/>
      <c r="E1894" s="19"/>
      <c r="F1894" s="20"/>
      <c r="G1894" s="13"/>
      <c r="H1894" s="20"/>
      <c r="I1894" s="18"/>
      <c r="J1894" s="18"/>
      <c r="K1894" s="18"/>
      <c r="L1894" s="18"/>
      <c r="M1894" s="21"/>
      <c r="N1894" s="21"/>
      <c r="O1894" s="21"/>
      <c r="P1894" s="21"/>
      <c r="Q1894" s="22"/>
      <c r="R1894" s="19"/>
      <c r="S1894" s="22"/>
      <c r="T1894" s="23"/>
      <c r="U1894" s="18"/>
      <c r="V1894" s="22"/>
      <c r="W1894" s="18"/>
      <c r="X1894" s="18"/>
      <c r="Y1894" s="21"/>
      <c r="Z1894" s="18"/>
    </row>
    <row r="1895" spans="1:26" x14ac:dyDescent="0.25">
      <c r="A1895" s="11"/>
      <c r="B1895" s="11"/>
      <c r="C1895" s="11"/>
      <c r="D1895" s="11"/>
      <c r="E1895" s="12"/>
      <c r="F1895" s="13"/>
      <c r="G1895" s="13"/>
      <c r="H1895" s="13"/>
      <c r="I1895" s="11"/>
      <c r="J1895" s="11"/>
      <c r="K1895" s="11"/>
      <c r="L1895" s="11"/>
      <c r="M1895" s="15"/>
      <c r="N1895" s="15"/>
      <c r="O1895" s="15"/>
      <c r="P1895" s="15"/>
      <c r="Q1895" s="16"/>
      <c r="R1895" s="16"/>
      <c r="S1895" s="16"/>
      <c r="T1895" s="17"/>
      <c r="U1895" s="11"/>
      <c r="V1895" s="16"/>
      <c r="W1895" s="11"/>
      <c r="X1895" s="11"/>
      <c r="Y1895" s="15"/>
      <c r="Z1895" s="11"/>
    </row>
    <row r="1896" spans="1:26" x14ac:dyDescent="0.25">
      <c r="A1896" s="11"/>
      <c r="B1896" s="11"/>
      <c r="C1896" s="11"/>
      <c r="D1896" s="11"/>
      <c r="E1896" s="12"/>
      <c r="F1896" s="13"/>
      <c r="G1896" s="13"/>
      <c r="H1896" s="13"/>
      <c r="I1896" s="11"/>
      <c r="J1896" s="11"/>
      <c r="K1896" s="11"/>
      <c r="L1896" s="11"/>
      <c r="M1896" s="15"/>
      <c r="N1896" s="15"/>
      <c r="O1896" s="15"/>
      <c r="P1896" s="15"/>
      <c r="Q1896" s="16"/>
      <c r="R1896" s="16"/>
      <c r="S1896" s="16"/>
      <c r="T1896" s="17"/>
      <c r="U1896" s="11"/>
      <c r="V1896" s="16"/>
      <c r="W1896" s="11"/>
      <c r="X1896" s="11"/>
      <c r="Y1896" s="15"/>
      <c r="Z1896" s="11"/>
    </row>
    <row r="1897" spans="1:26" x14ac:dyDescent="0.25">
      <c r="A1897" s="11"/>
      <c r="B1897" s="11"/>
      <c r="C1897" s="11"/>
      <c r="D1897" s="11"/>
      <c r="E1897" s="12"/>
      <c r="F1897" s="13"/>
      <c r="G1897" s="13"/>
      <c r="H1897" s="13"/>
      <c r="I1897" s="11"/>
      <c r="J1897" s="11"/>
      <c r="K1897" s="11"/>
      <c r="L1897" s="11"/>
      <c r="M1897" s="15"/>
      <c r="N1897" s="15"/>
      <c r="O1897" s="15"/>
      <c r="P1897" s="15"/>
      <c r="Q1897" s="16"/>
      <c r="R1897" s="16"/>
      <c r="S1897" s="16"/>
      <c r="T1897" s="17"/>
      <c r="U1897" s="11"/>
      <c r="V1897" s="16"/>
      <c r="W1897" s="11"/>
      <c r="X1897" s="11"/>
      <c r="Y1897" s="15"/>
      <c r="Z1897" s="11"/>
    </row>
    <row r="1898" spans="1:26" x14ac:dyDescent="0.25">
      <c r="A1898" s="11"/>
      <c r="B1898" s="11"/>
      <c r="C1898" s="11"/>
      <c r="D1898" s="11"/>
      <c r="E1898" s="12"/>
      <c r="F1898" s="13"/>
      <c r="G1898" s="13"/>
      <c r="H1898" s="13"/>
      <c r="I1898" s="11"/>
      <c r="J1898" s="11"/>
      <c r="K1898" s="11"/>
      <c r="L1898" s="11"/>
      <c r="M1898" s="15"/>
      <c r="N1898" s="15"/>
      <c r="O1898" s="15"/>
      <c r="P1898" s="15"/>
      <c r="Q1898" s="16"/>
      <c r="R1898" s="16"/>
      <c r="S1898" s="16"/>
      <c r="T1898" s="17"/>
      <c r="U1898" s="11"/>
      <c r="V1898" s="16"/>
      <c r="W1898" s="11"/>
      <c r="X1898" s="11"/>
      <c r="Y1898" s="15"/>
      <c r="Z1898" s="11"/>
    </row>
    <row r="1899" spans="1:26" x14ac:dyDescent="0.25">
      <c r="A1899" s="11"/>
      <c r="B1899" s="11"/>
      <c r="C1899" s="11"/>
      <c r="D1899" s="11"/>
      <c r="E1899" s="12"/>
      <c r="F1899" s="13"/>
      <c r="G1899" s="13"/>
      <c r="H1899" s="13"/>
      <c r="I1899" s="11"/>
      <c r="J1899" s="11"/>
      <c r="K1899" s="11"/>
      <c r="L1899" s="11"/>
      <c r="M1899" s="15"/>
      <c r="N1899" s="15"/>
      <c r="O1899" s="15"/>
      <c r="P1899" s="15"/>
      <c r="Q1899" s="16"/>
      <c r="R1899" s="16"/>
      <c r="S1899" s="16"/>
      <c r="T1899" s="17"/>
      <c r="U1899" s="11"/>
      <c r="V1899" s="16"/>
      <c r="W1899" s="11"/>
      <c r="X1899" s="11"/>
      <c r="Y1899" s="15"/>
      <c r="Z1899" s="11"/>
    </row>
    <row r="1900" spans="1:26" x14ac:dyDescent="0.25">
      <c r="A1900" s="11"/>
      <c r="B1900" s="11"/>
      <c r="C1900" s="11"/>
      <c r="D1900" s="11"/>
      <c r="E1900" s="12"/>
      <c r="F1900" s="13"/>
      <c r="G1900" s="13"/>
      <c r="H1900" s="13"/>
      <c r="I1900" s="11"/>
      <c r="J1900" s="11"/>
      <c r="K1900" s="11"/>
      <c r="L1900" s="11"/>
      <c r="M1900" s="15"/>
      <c r="N1900" s="15"/>
      <c r="O1900" s="15"/>
      <c r="P1900" s="15"/>
      <c r="Q1900" s="16"/>
      <c r="R1900" s="16"/>
      <c r="S1900" s="16"/>
      <c r="T1900" s="17"/>
      <c r="U1900" s="11"/>
      <c r="V1900" s="16"/>
      <c r="W1900" s="11"/>
      <c r="X1900" s="11"/>
      <c r="Y1900" s="15"/>
      <c r="Z1900" s="11"/>
    </row>
    <row r="1901" spans="1:26" x14ac:dyDescent="0.25">
      <c r="A1901" s="11"/>
      <c r="B1901" s="11"/>
      <c r="C1901" s="11"/>
      <c r="D1901" s="11"/>
      <c r="E1901" s="12"/>
      <c r="F1901" s="13"/>
      <c r="G1901" s="13"/>
      <c r="H1901" s="13"/>
      <c r="I1901" s="11"/>
      <c r="J1901" s="11"/>
      <c r="K1901" s="11"/>
      <c r="L1901" s="11"/>
      <c r="M1901" s="15"/>
      <c r="N1901" s="15"/>
      <c r="O1901" s="15"/>
      <c r="P1901" s="15"/>
      <c r="Q1901" s="16"/>
      <c r="R1901" s="16"/>
      <c r="S1901" s="16"/>
      <c r="T1901" s="17"/>
      <c r="U1901" s="11"/>
      <c r="V1901" s="16"/>
      <c r="W1901" s="11"/>
      <c r="X1901" s="11"/>
      <c r="Y1901" s="15"/>
      <c r="Z1901" s="11"/>
    </row>
    <row r="1902" spans="1:26" x14ac:dyDescent="0.25">
      <c r="A1902" s="18"/>
      <c r="B1902" s="18"/>
      <c r="C1902" s="18"/>
      <c r="D1902" s="18"/>
      <c r="E1902" s="19"/>
      <c r="F1902" s="20"/>
      <c r="G1902" s="13"/>
      <c r="H1902" s="20"/>
      <c r="I1902" s="18"/>
      <c r="J1902" s="18"/>
      <c r="K1902" s="18"/>
      <c r="L1902" s="18"/>
      <c r="M1902" s="21"/>
      <c r="N1902" s="21"/>
      <c r="O1902" s="21"/>
      <c r="P1902" s="21"/>
      <c r="Q1902" s="22"/>
      <c r="R1902" s="19"/>
      <c r="S1902" s="22"/>
      <c r="T1902" s="23"/>
      <c r="U1902" s="18"/>
      <c r="V1902" s="22"/>
      <c r="W1902" s="18"/>
      <c r="X1902" s="18"/>
      <c r="Y1902" s="21"/>
      <c r="Z1902" s="18"/>
    </row>
    <row r="1903" spans="1:26" x14ac:dyDescent="0.25">
      <c r="A1903" s="11"/>
      <c r="B1903" s="11"/>
      <c r="C1903" s="11"/>
      <c r="D1903" s="11"/>
      <c r="E1903" s="12"/>
      <c r="F1903" s="13"/>
      <c r="G1903" s="13"/>
      <c r="H1903" s="13"/>
      <c r="I1903" s="11"/>
      <c r="J1903" s="11"/>
      <c r="K1903" s="11"/>
      <c r="L1903" s="11"/>
      <c r="M1903" s="15"/>
      <c r="N1903" s="15"/>
      <c r="O1903" s="15"/>
      <c r="P1903" s="15"/>
      <c r="Q1903" s="16"/>
      <c r="R1903" s="16"/>
      <c r="S1903" s="16"/>
      <c r="T1903" s="17"/>
      <c r="U1903" s="11"/>
      <c r="V1903" s="16"/>
      <c r="W1903" s="11"/>
      <c r="X1903" s="11"/>
      <c r="Y1903" s="15"/>
      <c r="Z1903" s="11"/>
    </row>
    <row r="1904" spans="1:26" x14ac:dyDescent="0.25">
      <c r="A1904" s="11"/>
      <c r="B1904" s="11"/>
      <c r="C1904" s="11"/>
      <c r="D1904" s="11"/>
      <c r="E1904" s="12"/>
      <c r="F1904" s="13"/>
      <c r="G1904" s="13"/>
      <c r="H1904" s="13"/>
      <c r="I1904" s="11"/>
      <c r="J1904" s="11"/>
      <c r="K1904" s="11"/>
      <c r="L1904" s="11"/>
      <c r="M1904" s="15"/>
      <c r="N1904" s="15"/>
      <c r="O1904" s="15"/>
      <c r="P1904" s="15"/>
      <c r="Q1904" s="16"/>
      <c r="R1904" s="16"/>
      <c r="S1904" s="16"/>
      <c r="T1904" s="17"/>
      <c r="U1904" s="11"/>
      <c r="V1904" s="16"/>
      <c r="W1904" s="11"/>
      <c r="X1904" s="11"/>
      <c r="Y1904" s="15"/>
      <c r="Z1904" s="11"/>
    </row>
    <row r="1905" spans="1:26" x14ac:dyDescent="0.25">
      <c r="A1905" s="11"/>
      <c r="B1905" s="11"/>
      <c r="C1905" s="11"/>
      <c r="D1905" s="11"/>
      <c r="E1905" s="12"/>
      <c r="F1905" s="13"/>
      <c r="G1905" s="13"/>
      <c r="H1905" s="13"/>
      <c r="I1905" s="11"/>
      <c r="J1905" s="11"/>
      <c r="K1905" s="11"/>
      <c r="L1905" s="11"/>
      <c r="M1905" s="15"/>
      <c r="N1905" s="15"/>
      <c r="O1905" s="15"/>
      <c r="P1905" s="15"/>
      <c r="Q1905" s="16"/>
      <c r="R1905" s="16"/>
      <c r="S1905" s="16"/>
      <c r="T1905" s="17"/>
      <c r="U1905" s="11"/>
      <c r="V1905" s="16"/>
      <c r="W1905" s="11"/>
      <c r="X1905" s="11"/>
      <c r="Y1905" s="15"/>
      <c r="Z1905" s="11"/>
    </row>
    <row r="1906" spans="1:26" x14ac:dyDescent="0.25">
      <c r="A1906" s="11"/>
      <c r="B1906" s="11"/>
      <c r="C1906" s="11"/>
      <c r="D1906" s="11"/>
      <c r="E1906" s="12"/>
      <c r="F1906" s="13"/>
      <c r="G1906" s="13"/>
      <c r="H1906" s="13"/>
      <c r="I1906" s="11"/>
      <c r="J1906" s="11"/>
      <c r="K1906" s="11"/>
      <c r="L1906" s="11"/>
      <c r="M1906" s="15"/>
      <c r="N1906" s="15"/>
      <c r="O1906" s="15"/>
      <c r="P1906" s="15"/>
      <c r="Q1906" s="16"/>
      <c r="R1906" s="16"/>
      <c r="S1906" s="16"/>
      <c r="T1906" s="17"/>
      <c r="U1906" s="11"/>
      <c r="V1906" s="16"/>
      <c r="W1906" s="11"/>
      <c r="X1906" s="11"/>
      <c r="Y1906" s="15"/>
      <c r="Z1906" s="11"/>
    </row>
    <row r="1907" spans="1:26" x14ac:dyDescent="0.25">
      <c r="A1907" s="11"/>
      <c r="B1907" s="11"/>
      <c r="C1907" s="11"/>
      <c r="D1907" s="11"/>
      <c r="E1907" s="12"/>
      <c r="F1907" s="13"/>
      <c r="G1907" s="13"/>
      <c r="H1907" s="13"/>
      <c r="I1907" s="11"/>
      <c r="J1907" s="11"/>
      <c r="K1907" s="11"/>
      <c r="L1907" s="11"/>
      <c r="M1907" s="15"/>
      <c r="N1907" s="15"/>
      <c r="O1907" s="15"/>
      <c r="P1907" s="15"/>
      <c r="Q1907" s="16"/>
      <c r="R1907" s="16"/>
      <c r="S1907" s="16"/>
      <c r="T1907" s="17"/>
      <c r="U1907" s="11"/>
      <c r="V1907" s="16"/>
      <c r="W1907" s="11"/>
      <c r="X1907" s="11"/>
      <c r="Y1907" s="15"/>
      <c r="Z1907" s="11"/>
    </row>
    <row r="1908" spans="1:26" x14ac:dyDescent="0.25">
      <c r="A1908" s="11"/>
      <c r="B1908" s="11"/>
      <c r="C1908" s="11"/>
      <c r="D1908" s="11"/>
      <c r="E1908" s="12"/>
      <c r="F1908" s="13"/>
      <c r="G1908" s="13"/>
      <c r="H1908" s="13"/>
      <c r="I1908" s="11"/>
      <c r="J1908" s="11"/>
      <c r="K1908" s="11"/>
      <c r="L1908" s="11"/>
      <c r="M1908" s="15"/>
      <c r="N1908" s="15"/>
      <c r="O1908" s="15"/>
      <c r="P1908" s="15"/>
      <c r="Q1908" s="16"/>
      <c r="R1908" s="16"/>
      <c r="S1908" s="16"/>
      <c r="T1908" s="17"/>
      <c r="U1908" s="11"/>
      <c r="V1908" s="16"/>
      <c r="W1908" s="11"/>
      <c r="X1908" s="11"/>
      <c r="Y1908" s="15"/>
      <c r="Z1908" s="11"/>
    </row>
    <row r="1909" spans="1:26" x14ac:dyDescent="0.25">
      <c r="A1909" s="11"/>
      <c r="B1909" s="11"/>
      <c r="C1909" s="11"/>
      <c r="D1909" s="11"/>
      <c r="E1909" s="12"/>
      <c r="F1909" s="13"/>
      <c r="G1909" s="13"/>
      <c r="H1909" s="13"/>
      <c r="I1909" s="11"/>
      <c r="J1909" s="11"/>
      <c r="K1909" s="11"/>
      <c r="L1909" s="11"/>
      <c r="M1909" s="15"/>
      <c r="N1909" s="15"/>
      <c r="O1909" s="15"/>
      <c r="P1909" s="15"/>
      <c r="Q1909" s="16"/>
      <c r="R1909" s="16"/>
      <c r="S1909" s="16"/>
      <c r="T1909" s="17"/>
      <c r="U1909" s="11"/>
      <c r="V1909" s="16"/>
      <c r="W1909" s="11"/>
      <c r="X1909" s="11"/>
      <c r="Y1909" s="15"/>
      <c r="Z1909" s="11"/>
    </row>
    <row r="1910" spans="1:26" x14ac:dyDescent="0.25">
      <c r="A1910" s="11"/>
      <c r="B1910" s="11"/>
      <c r="C1910" s="11"/>
      <c r="D1910" s="11"/>
      <c r="E1910" s="12"/>
      <c r="F1910" s="13"/>
      <c r="G1910" s="13"/>
      <c r="H1910" s="13"/>
      <c r="I1910" s="11"/>
      <c r="J1910" s="11"/>
      <c r="K1910" s="11"/>
      <c r="L1910" s="11"/>
      <c r="M1910" s="15"/>
      <c r="N1910" s="15"/>
      <c r="O1910" s="15"/>
      <c r="P1910" s="15"/>
      <c r="Q1910" s="16"/>
      <c r="R1910" s="16"/>
      <c r="S1910" s="16"/>
      <c r="T1910" s="17"/>
      <c r="U1910" s="11"/>
      <c r="V1910" s="16"/>
      <c r="W1910" s="11"/>
      <c r="X1910" s="11"/>
      <c r="Y1910" s="15"/>
      <c r="Z1910" s="11"/>
    </row>
    <row r="1911" spans="1:26" x14ac:dyDescent="0.25">
      <c r="A1911" s="11"/>
      <c r="B1911" s="11"/>
      <c r="C1911" s="11"/>
      <c r="D1911" s="11"/>
      <c r="E1911" s="12"/>
      <c r="F1911" s="13"/>
      <c r="G1911" s="13"/>
      <c r="H1911" s="13"/>
      <c r="I1911" s="11"/>
      <c r="J1911" s="11"/>
      <c r="K1911" s="11"/>
      <c r="L1911" s="11"/>
      <c r="M1911" s="15"/>
      <c r="N1911" s="15"/>
      <c r="O1911" s="15"/>
      <c r="P1911" s="15"/>
      <c r="Q1911" s="16"/>
      <c r="R1911" s="16"/>
      <c r="S1911" s="16"/>
      <c r="T1911" s="17"/>
      <c r="U1911" s="11"/>
      <c r="V1911" s="16"/>
      <c r="W1911" s="11"/>
      <c r="X1911" s="11"/>
      <c r="Y1911" s="15"/>
      <c r="Z1911" s="11"/>
    </row>
    <row r="1912" spans="1:26" x14ac:dyDescent="0.25">
      <c r="A1912" s="11"/>
      <c r="B1912" s="11"/>
      <c r="C1912" s="11"/>
      <c r="D1912" s="11"/>
      <c r="E1912" s="12"/>
      <c r="F1912" s="13"/>
      <c r="G1912" s="13"/>
      <c r="H1912" s="13"/>
      <c r="I1912" s="11"/>
      <c r="J1912" s="11"/>
      <c r="K1912" s="11"/>
      <c r="L1912" s="11"/>
      <c r="M1912" s="15"/>
      <c r="N1912" s="15"/>
      <c r="O1912" s="15"/>
      <c r="P1912" s="15"/>
      <c r="Q1912" s="16"/>
      <c r="R1912" s="16"/>
      <c r="S1912" s="16"/>
      <c r="T1912" s="17"/>
      <c r="U1912" s="11"/>
      <c r="V1912" s="16"/>
      <c r="W1912" s="11"/>
      <c r="X1912" s="11"/>
      <c r="Y1912" s="15"/>
      <c r="Z1912" s="11"/>
    </row>
    <row r="1913" spans="1:26" x14ac:dyDescent="0.25">
      <c r="A1913" s="11"/>
      <c r="B1913" s="11"/>
      <c r="C1913" s="11"/>
      <c r="D1913" s="11"/>
      <c r="E1913" s="12"/>
      <c r="F1913" s="13"/>
      <c r="G1913" s="13"/>
      <c r="H1913" s="13"/>
      <c r="I1913" s="11"/>
      <c r="J1913" s="11"/>
      <c r="K1913" s="11"/>
      <c r="L1913" s="11"/>
      <c r="M1913" s="15"/>
      <c r="N1913" s="15"/>
      <c r="O1913" s="15"/>
      <c r="P1913" s="15"/>
      <c r="Q1913" s="16"/>
      <c r="R1913" s="16"/>
      <c r="S1913" s="16"/>
      <c r="T1913" s="17"/>
      <c r="U1913" s="11"/>
      <c r="V1913" s="16"/>
      <c r="W1913" s="11"/>
      <c r="X1913" s="11"/>
      <c r="Y1913" s="15"/>
      <c r="Z1913" s="11"/>
    </row>
    <row r="1914" spans="1:26" x14ac:dyDescent="0.25">
      <c r="A1914" s="11"/>
      <c r="B1914" s="11"/>
      <c r="C1914" s="11"/>
      <c r="D1914" s="11"/>
      <c r="E1914" s="12"/>
      <c r="F1914" s="13"/>
      <c r="G1914" s="13"/>
      <c r="H1914" s="13"/>
      <c r="I1914" s="11"/>
      <c r="J1914" s="11"/>
      <c r="K1914" s="11"/>
      <c r="L1914" s="11"/>
      <c r="M1914" s="15"/>
      <c r="N1914" s="15"/>
      <c r="O1914" s="15"/>
      <c r="P1914" s="15"/>
      <c r="Q1914" s="16"/>
      <c r="R1914" s="16"/>
      <c r="S1914" s="16"/>
      <c r="T1914" s="17"/>
      <c r="U1914" s="11"/>
      <c r="V1914" s="16"/>
      <c r="W1914" s="11"/>
      <c r="X1914" s="11"/>
      <c r="Y1914" s="15"/>
      <c r="Z1914" s="11"/>
    </row>
    <row r="1915" spans="1:26" x14ac:dyDescent="0.25">
      <c r="A1915" s="11"/>
      <c r="B1915" s="11"/>
      <c r="C1915" s="11"/>
      <c r="D1915" s="11"/>
      <c r="E1915" s="12"/>
      <c r="F1915" s="13"/>
      <c r="G1915" s="13"/>
      <c r="H1915" s="13"/>
      <c r="I1915" s="11"/>
      <c r="J1915" s="11"/>
      <c r="K1915" s="11"/>
      <c r="L1915" s="11"/>
      <c r="M1915" s="15"/>
      <c r="N1915" s="15"/>
      <c r="O1915" s="15"/>
      <c r="P1915" s="15"/>
      <c r="Q1915" s="16"/>
      <c r="R1915" s="16"/>
      <c r="S1915" s="16"/>
      <c r="T1915" s="17"/>
      <c r="U1915" s="11"/>
      <c r="V1915" s="16"/>
      <c r="W1915" s="11"/>
      <c r="X1915" s="11"/>
      <c r="Y1915" s="15"/>
      <c r="Z1915" s="11"/>
    </row>
    <row r="1916" spans="1:26" x14ac:dyDescent="0.25">
      <c r="A1916" s="11"/>
      <c r="B1916" s="11"/>
      <c r="C1916" s="11"/>
      <c r="D1916" s="11"/>
      <c r="E1916" s="12"/>
      <c r="F1916" s="13"/>
      <c r="G1916" s="13"/>
      <c r="H1916" s="13"/>
      <c r="I1916" s="11"/>
      <c r="J1916" s="11"/>
      <c r="K1916" s="11"/>
      <c r="L1916" s="11"/>
      <c r="M1916" s="15"/>
      <c r="N1916" s="15"/>
      <c r="O1916" s="15"/>
      <c r="P1916" s="15"/>
      <c r="Q1916" s="16"/>
      <c r="R1916" s="16"/>
      <c r="S1916" s="16"/>
      <c r="T1916" s="17"/>
      <c r="U1916" s="11"/>
      <c r="V1916" s="16"/>
      <c r="W1916" s="11"/>
      <c r="X1916" s="11"/>
      <c r="Y1916" s="15"/>
      <c r="Z1916" s="11"/>
    </row>
    <row r="1917" spans="1:26" x14ac:dyDescent="0.25">
      <c r="A1917" s="11"/>
      <c r="B1917" s="11"/>
      <c r="C1917" s="11"/>
      <c r="D1917" s="11"/>
      <c r="E1917" s="12"/>
      <c r="F1917" s="13"/>
      <c r="G1917" s="13"/>
      <c r="H1917" s="13"/>
      <c r="I1917" s="11"/>
      <c r="J1917" s="11"/>
      <c r="K1917" s="11"/>
      <c r="L1917" s="11"/>
      <c r="M1917" s="15"/>
      <c r="N1917" s="15"/>
      <c r="O1917" s="15"/>
      <c r="P1917" s="15"/>
      <c r="Q1917" s="16"/>
      <c r="R1917" s="16"/>
      <c r="S1917" s="16"/>
      <c r="T1917" s="17"/>
      <c r="U1917" s="11"/>
      <c r="V1917" s="16"/>
      <c r="W1917" s="11"/>
      <c r="X1917" s="11"/>
      <c r="Y1917" s="15"/>
      <c r="Z1917" s="11"/>
    </row>
    <row r="1918" spans="1:26" x14ac:dyDescent="0.25">
      <c r="A1918" s="11"/>
      <c r="B1918" s="11"/>
      <c r="C1918" s="11"/>
      <c r="D1918" s="11"/>
      <c r="E1918" s="12"/>
      <c r="F1918" s="13"/>
      <c r="G1918" s="13"/>
      <c r="H1918" s="13"/>
      <c r="I1918" s="11"/>
      <c r="J1918" s="11"/>
      <c r="K1918" s="11"/>
      <c r="L1918" s="11"/>
      <c r="M1918" s="15"/>
      <c r="N1918" s="15"/>
      <c r="O1918" s="15"/>
      <c r="P1918" s="15"/>
      <c r="Q1918" s="16"/>
      <c r="R1918" s="16"/>
      <c r="S1918" s="16"/>
      <c r="T1918" s="17"/>
      <c r="U1918" s="11"/>
      <c r="V1918" s="16"/>
      <c r="W1918" s="11"/>
      <c r="X1918" s="11"/>
      <c r="Y1918" s="15"/>
      <c r="Z1918" s="11"/>
    </row>
    <row r="1919" spans="1:26" x14ac:dyDescent="0.25">
      <c r="A1919" s="11"/>
      <c r="B1919" s="11"/>
      <c r="C1919" s="11"/>
      <c r="D1919" s="11"/>
      <c r="E1919" s="12"/>
      <c r="F1919" s="13"/>
      <c r="G1919" s="13"/>
      <c r="H1919" s="13"/>
      <c r="I1919" s="11"/>
      <c r="J1919" s="11"/>
      <c r="K1919" s="11"/>
      <c r="L1919" s="11"/>
      <c r="M1919" s="15"/>
      <c r="N1919" s="15"/>
      <c r="O1919" s="15"/>
      <c r="P1919" s="15"/>
      <c r="Q1919" s="16"/>
      <c r="R1919" s="16"/>
      <c r="S1919" s="16"/>
      <c r="T1919" s="17"/>
      <c r="U1919" s="11"/>
      <c r="V1919" s="16"/>
      <c r="W1919" s="11"/>
      <c r="X1919" s="11"/>
      <c r="Y1919" s="15"/>
      <c r="Z1919" s="11"/>
    </row>
    <row r="1920" spans="1:26" x14ac:dyDescent="0.25">
      <c r="A1920" s="11"/>
      <c r="B1920" s="11"/>
      <c r="C1920" s="11"/>
      <c r="D1920" s="11"/>
      <c r="E1920" s="12"/>
      <c r="F1920" s="13"/>
      <c r="G1920" s="13"/>
      <c r="H1920" s="13"/>
      <c r="I1920" s="11"/>
      <c r="J1920" s="11"/>
      <c r="K1920" s="11"/>
      <c r="L1920" s="11"/>
      <c r="M1920" s="15"/>
      <c r="N1920" s="15"/>
      <c r="O1920" s="15"/>
      <c r="P1920" s="15"/>
      <c r="Q1920" s="16"/>
      <c r="R1920" s="16"/>
      <c r="S1920" s="16"/>
      <c r="T1920" s="17"/>
      <c r="U1920" s="11"/>
      <c r="V1920" s="16"/>
      <c r="W1920" s="11"/>
      <c r="X1920" s="11"/>
      <c r="Y1920" s="15"/>
      <c r="Z1920" s="11"/>
    </row>
    <row r="1921" spans="1:26" x14ac:dyDescent="0.25">
      <c r="A1921" s="11"/>
      <c r="B1921" s="11"/>
      <c r="C1921" s="11"/>
      <c r="D1921" s="11"/>
      <c r="E1921" s="12"/>
      <c r="F1921" s="13"/>
      <c r="G1921" s="13"/>
      <c r="H1921" s="13"/>
      <c r="I1921" s="11"/>
      <c r="J1921" s="11"/>
      <c r="K1921" s="11"/>
      <c r="L1921" s="11"/>
      <c r="M1921" s="15"/>
      <c r="N1921" s="15"/>
      <c r="O1921" s="15"/>
      <c r="P1921" s="15"/>
      <c r="Q1921" s="16"/>
      <c r="R1921" s="16"/>
      <c r="S1921" s="16"/>
      <c r="T1921" s="17"/>
      <c r="U1921" s="11"/>
      <c r="V1921" s="16"/>
      <c r="W1921" s="11"/>
      <c r="X1921" s="11"/>
      <c r="Y1921" s="15"/>
      <c r="Z1921" s="11"/>
    </row>
    <row r="1922" spans="1:26" x14ac:dyDescent="0.25">
      <c r="A1922" s="18"/>
      <c r="B1922" s="18"/>
      <c r="C1922" s="18"/>
      <c r="D1922" s="18"/>
      <c r="E1922" s="19"/>
      <c r="F1922" s="20"/>
      <c r="G1922" s="13"/>
      <c r="H1922" s="20"/>
      <c r="I1922" s="18"/>
      <c r="J1922" s="18"/>
      <c r="K1922" s="18"/>
      <c r="L1922" s="18"/>
      <c r="M1922" s="21"/>
      <c r="N1922" s="21"/>
      <c r="O1922" s="21"/>
      <c r="P1922" s="21"/>
      <c r="Q1922" s="22"/>
      <c r="R1922" s="19"/>
      <c r="S1922" s="22"/>
      <c r="T1922" s="23"/>
      <c r="U1922" s="18"/>
      <c r="V1922" s="22"/>
      <c r="W1922" s="18"/>
      <c r="X1922" s="18"/>
      <c r="Y1922" s="21"/>
      <c r="Z1922" s="18"/>
    </row>
    <row r="1923" spans="1:26" x14ac:dyDescent="0.25">
      <c r="A1923" s="18"/>
      <c r="B1923" s="18"/>
      <c r="C1923" s="18"/>
      <c r="D1923" s="18"/>
      <c r="E1923" s="19"/>
      <c r="F1923" s="20"/>
      <c r="G1923" s="13"/>
      <c r="H1923" s="20"/>
      <c r="I1923" s="18"/>
      <c r="J1923" s="18"/>
      <c r="K1923" s="18"/>
      <c r="L1923" s="18"/>
      <c r="M1923" s="21"/>
      <c r="N1923" s="21"/>
      <c r="O1923" s="21"/>
      <c r="P1923" s="21"/>
      <c r="Q1923" s="22"/>
      <c r="R1923" s="19"/>
      <c r="S1923" s="22"/>
      <c r="T1923" s="23"/>
      <c r="U1923" s="18"/>
      <c r="V1923" s="22"/>
      <c r="W1923" s="18"/>
      <c r="X1923" s="18"/>
      <c r="Y1923" s="21"/>
      <c r="Z1923" s="18"/>
    </row>
    <row r="1924" spans="1:26" x14ac:dyDescent="0.25">
      <c r="A1924" s="19"/>
      <c r="B1924" s="19"/>
      <c r="C1924" s="19"/>
      <c r="D1924" s="19"/>
      <c r="E1924" s="19"/>
      <c r="F1924" s="20"/>
      <c r="G1924" s="13"/>
      <c r="H1924" s="20"/>
      <c r="I1924" s="19"/>
      <c r="J1924" s="19"/>
      <c r="K1924" s="19"/>
      <c r="L1924" s="19"/>
      <c r="M1924" s="21"/>
      <c r="N1924" s="21"/>
      <c r="O1924" s="21"/>
      <c r="P1924" s="21"/>
      <c r="Q1924" s="22"/>
      <c r="R1924" s="19"/>
      <c r="S1924" s="22"/>
      <c r="T1924" s="23"/>
      <c r="U1924" s="19"/>
      <c r="V1924" s="22"/>
      <c r="W1924" s="19"/>
      <c r="X1924" s="19"/>
      <c r="Y1924" s="21"/>
      <c r="Z1924" s="19"/>
    </row>
    <row r="1925" spans="1:26" x14ac:dyDescent="0.25">
      <c r="A1925" s="19"/>
      <c r="B1925" s="19"/>
      <c r="C1925" s="19"/>
      <c r="D1925" s="19"/>
      <c r="E1925" s="19"/>
      <c r="F1925" s="20"/>
      <c r="G1925" s="13"/>
      <c r="H1925" s="20"/>
      <c r="I1925" s="19"/>
      <c r="J1925" s="19"/>
      <c r="K1925" s="19"/>
      <c r="L1925" s="19"/>
      <c r="M1925" s="21"/>
      <c r="N1925" s="21"/>
      <c r="O1925" s="21"/>
      <c r="P1925" s="21"/>
      <c r="Q1925" s="22"/>
      <c r="R1925" s="19"/>
      <c r="S1925" s="22"/>
      <c r="T1925" s="23"/>
      <c r="U1925" s="19"/>
      <c r="V1925" s="22"/>
      <c r="W1925" s="19"/>
      <c r="X1925" s="19"/>
      <c r="Y1925" s="21"/>
      <c r="Z1925" s="19"/>
    </row>
    <row r="1926" spans="1:26" x14ac:dyDescent="0.25">
      <c r="A1926" s="11"/>
      <c r="B1926" s="11"/>
      <c r="C1926" s="11"/>
      <c r="D1926" s="11"/>
      <c r="E1926" s="12"/>
      <c r="F1926" s="13"/>
      <c r="G1926" s="13"/>
      <c r="H1926" s="13"/>
      <c r="I1926" s="11"/>
      <c r="J1926" s="11"/>
      <c r="K1926" s="11"/>
      <c r="L1926" s="11"/>
      <c r="M1926" s="15"/>
      <c r="N1926" s="15"/>
      <c r="O1926" s="15"/>
      <c r="P1926" s="15"/>
      <c r="Q1926" s="16"/>
      <c r="R1926" s="16"/>
      <c r="S1926" s="16"/>
      <c r="T1926" s="17"/>
      <c r="U1926" s="11"/>
      <c r="V1926" s="16"/>
      <c r="W1926" s="11"/>
      <c r="X1926" s="11"/>
      <c r="Y1926" s="15"/>
      <c r="Z1926" s="11"/>
    </row>
    <row r="1927" spans="1:26" x14ac:dyDescent="0.25">
      <c r="A1927" s="11"/>
      <c r="B1927" s="11"/>
      <c r="C1927" s="11"/>
      <c r="D1927" s="11"/>
      <c r="E1927" s="12"/>
      <c r="F1927" s="13"/>
      <c r="G1927" s="13"/>
      <c r="H1927" s="13"/>
      <c r="I1927" s="11"/>
      <c r="J1927" s="11"/>
      <c r="K1927" s="11"/>
      <c r="L1927" s="11"/>
      <c r="M1927" s="15"/>
      <c r="N1927" s="15"/>
      <c r="O1927" s="15"/>
      <c r="P1927" s="15"/>
      <c r="Q1927" s="16"/>
      <c r="R1927" s="16"/>
      <c r="S1927" s="16"/>
      <c r="T1927" s="17"/>
      <c r="U1927" s="11"/>
      <c r="V1927" s="16"/>
      <c r="W1927" s="11"/>
      <c r="X1927" s="11"/>
      <c r="Y1927" s="15"/>
      <c r="Z1927" s="11"/>
    </row>
    <row r="1928" spans="1:26" x14ac:dyDescent="0.25">
      <c r="A1928" s="11"/>
      <c r="B1928" s="11"/>
      <c r="C1928" s="11"/>
      <c r="D1928" s="11"/>
      <c r="E1928" s="12"/>
      <c r="F1928" s="13"/>
      <c r="G1928" s="13"/>
      <c r="H1928" s="13"/>
      <c r="I1928" s="11"/>
      <c r="J1928" s="11"/>
      <c r="K1928" s="11"/>
      <c r="L1928" s="11"/>
      <c r="M1928" s="15"/>
      <c r="N1928" s="15"/>
      <c r="O1928" s="15"/>
      <c r="P1928" s="15"/>
      <c r="Q1928" s="16"/>
      <c r="R1928" s="16"/>
      <c r="S1928" s="16"/>
      <c r="T1928" s="17"/>
      <c r="U1928" s="11"/>
      <c r="V1928" s="16"/>
      <c r="W1928" s="11"/>
      <c r="X1928" s="11"/>
      <c r="Y1928" s="15"/>
      <c r="Z1928" s="11"/>
    </row>
    <row r="1929" spans="1:26" x14ac:dyDescent="0.25">
      <c r="A1929" s="11"/>
      <c r="B1929" s="11"/>
      <c r="C1929" s="11"/>
      <c r="D1929" s="11"/>
      <c r="E1929" s="12"/>
      <c r="F1929" s="13"/>
      <c r="G1929" s="13"/>
      <c r="H1929" s="13"/>
      <c r="I1929" s="11"/>
      <c r="J1929" s="11"/>
      <c r="K1929" s="11"/>
      <c r="L1929" s="11"/>
      <c r="M1929" s="15"/>
      <c r="N1929" s="15"/>
      <c r="O1929" s="15"/>
      <c r="P1929" s="15"/>
      <c r="Q1929" s="16"/>
      <c r="R1929" s="16"/>
      <c r="S1929" s="16"/>
      <c r="T1929" s="17"/>
      <c r="U1929" s="11"/>
      <c r="V1929" s="16"/>
      <c r="W1929" s="11"/>
      <c r="X1929" s="11"/>
      <c r="Y1929" s="15"/>
      <c r="Z1929" s="11"/>
    </row>
    <row r="1930" spans="1:26" x14ac:dyDescent="0.25">
      <c r="A1930" s="11"/>
      <c r="B1930" s="11"/>
      <c r="C1930" s="11"/>
      <c r="D1930" s="11"/>
      <c r="E1930" s="12"/>
      <c r="F1930" s="13"/>
      <c r="G1930" s="13"/>
      <c r="H1930" s="13"/>
      <c r="I1930" s="11"/>
      <c r="J1930" s="11"/>
      <c r="K1930" s="11"/>
      <c r="L1930" s="11"/>
      <c r="M1930" s="15"/>
      <c r="N1930" s="15"/>
      <c r="O1930" s="15"/>
      <c r="P1930" s="15"/>
      <c r="Q1930" s="16"/>
      <c r="R1930" s="16"/>
      <c r="S1930" s="16"/>
      <c r="T1930" s="17"/>
      <c r="U1930" s="11"/>
      <c r="V1930" s="16"/>
      <c r="W1930" s="11"/>
      <c r="X1930" s="11"/>
      <c r="Y1930" s="15"/>
      <c r="Z1930" s="11"/>
    </row>
    <row r="1931" spans="1:26" x14ac:dyDescent="0.25">
      <c r="A1931" s="11"/>
      <c r="B1931" s="11"/>
      <c r="C1931" s="11"/>
      <c r="D1931" s="11"/>
      <c r="E1931" s="12"/>
      <c r="F1931" s="13"/>
      <c r="G1931" s="13"/>
      <c r="H1931" s="13"/>
      <c r="I1931" s="11"/>
      <c r="J1931" s="11"/>
      <c r="K1931" s="11"/>
      <c r="L1931" s="11"/>
      <c r="M1931" s="15"/>
      <c r="N1931" s="15"/>
      <c r="O1931" s="15"/>
      <c r="P1931" s="15"/>
      <c r="Q1931" s="16"/>
      <c r="R1931" s="16"/>
      <c r="S1931" s="16"/>
      <c r="T1931" s="17"/>
      <c r="U1931" s="11"/>
      <c r="V1931" s="16"/>
      <c r="W1931" s="11"/>
      <c r="X1931" s="11"/>
      <c r="Y1931" s="15"/>
      <c r="Z1931" s="11"/>
    </row>
    <row r="1932" spans="1:26" x14ac:dyDescent="0.25">
      <c r="A1932" s="11"/>
      <c r="B1932" s="11"/>
      <c r="C1932" s="11"/>
      <c r="D1932" s="11"/>
      <c r="E1932" s="12"/>
      <c r="F1932" s="13"/>
      <c r="G1932" s="13"/>
      <c r="H1932" s="13"/>
      <c r="I1932" s="11"/>
      <c r="J1932" s="11"/>
      <c r="K1932" s="11"/>
      <c r="L1932" s="11"/>
      <c r="M1932" s="15"/>
      <c r="N1932" s="15"/>
      <c r="O1932" s="15"/>
      <c r="P1932" s="15"/>
      <c r="Q1932" s="16"/>
      <c r="R1932" s="16"/>
      <c r="S1932" s="16"/>
      <c r="T1932" s="17"/>
      <c r="U1932" s="11"/>
      <c r="V1932" s="16"/>
      <c r="W1932" s="11"/>
      <c r="X1932" s="11"/>
      <c r="Y1932" s="15"/>
      <c r="Z1932" s="11"/>
    </row>
    <row r="1933" spans="1:26" x14ac:dyDescent="0.25">
      <c r="A1933" s="11"/>
      <c r="B1933" s="11"/>
      <c r="C1933" s="11"/>
      <c r="D1933" s="11"/>
      <c r="E1933" s="12"/>
      <c r="F1933" s="13"/>
      <c r="G1933" s="13"/>
      <c r="H1933" s="13"/>
      <c r="I1933" s="11"/>
      <c r="J1933" s="11"/>
      <c r="K1933" s="11"/>
      <c r="L1933" s="11"/>
      <c r="M1933" s="15"/>
      <c r="N1933" s="15"/>
      <c r="O1933" s="15"/>
      <c r="P1933" s="15"/>
      <c r="Q1933" s="16"/>
      <c r="R1933" s="16"/>
      <c r="S1933" s="16"/>
      <c r="T1933" s="17"/>
      <c r="U1933" s="11"/>
      <c r="V1933" s="16"/>
      <c r="W1933" s="11"/>
      <c r="X1933" s="11"/>
      <c r="Y1933" s="15"/>
      <c r="Z1933" s="11"/>
    </row>
    <row r="1934" spans="1:26" x14ac:dyDescent="0.25">
      <c r="A1934" s="11"/>
      <c r="B1934" s="11"/>
      <c r="C1934" s="11"/>
      <c r="D1934" s="11"/>
      <c r="E1934" s="12"/>
      <c r="F1934" s="13"/>
      <c r="G1934" s="13"/>
      <c r="H1934" s="13"/>
      <c r="I1934" s="11"/>
      <c r="J1934" s="11"/>
      <c r="K1934" s="11"/>
      <c r="L1934" s="11"/>
      <c r="M1934" s="15"/>
      <c r="N1934" s="15"/>
      <c r="O1934" s="15"/>
      <c r="P1934" s="15"/>
      <c r="Q1934" s="16"/>
      <c r="R1934" s="16"/>
      <c r="S1934" s="16"/>
      <c r="T1934" s="17"/>
      <c r="U1934" s="11"/>
      <c r="V1934" s="16"/>
      <c r="W1934" s="11"/>
      <c r="X1934" s="11"/>
      <c r="Y1934" s="15"/>
      <c r="Z1934" s="11"/>
    </row>
    <row r="1935" spans="1:26" x14ac:dyDescent="0.25">
      <c r="A1935" s="11"/>
      <c r="B1935" s="11"/>
      <c r="C1935" s="11"/>
      <c r="D1935" s="11"/>
      <c r="E1935" s="12"/>
      <c r="F1935" s="13"/>
      <c r="G1935" s="13"/>
      <c r="H1935" s="13"/>
      <c r="I1935" s="11"/>
      <c r="J1935" s="11"/>
      <c r="K1935" s="11"/>
      <c r="L1935" s="11"/>
      <c r="M1935" s="15"/>
      <c r="N1935" s="15"/>
      <c r="O1935" s="15"/>
      <c r="P1935" s="15"/>
      <c r="Q1935" s="16"/>
      <c r="R1935" s="16"/>
      <c r="S1935" s="16"/>
      <c r="T1935" s="17"/>
      <c r="U1935" s="11"/>
      <c r="V1935" s="16"/>
      <c r="W1935" s="11"/>
      <c r="X1935" s="11"/>
      <c r="Y1935" s="15"/>
      <c r="Z1935" s="11"/>
    </row>
    <row r="1936" spans="1:26" x14ac:dyDescent="0.25">
      <c r="A1936" s="18"/>
      <c r="B1936" s="18"/>
      <c r="C1936" s="18"/>
      <c r="D1936" s="18"/>
      <c r="E1936" s="19"/>
      <c r="F1936" s="20"/>
      <c r="G1936" s="13"/>
      <c r="H1936" s="20"/>
      <c r="I1936" s="18"/>
      <c r="J1936" s="18"/>
      <c r="K1936" s="18"/>
      <c r="L1936" s="18"/>
      <c r="M1936" s="21"/>
      <c r="N1936" s="21"/>
      <c r="O1936" s="21"/>
      <c r="P1936" s="21"/>
      <c r="Q1936" s="22"/>
      <c r="R1936" s="19"/>
      <c r="S1936" s="22"/>
      <c r="T1936" s="23"/>
      <c r="U1936" s="18"/>
      <c r="V1936" s="22"/>
      <c r="W1936" s="18"/>
      <c r="X1936" s="18"/>
      <c r="Y1936" s="21"/>
      <c r="Z1936" s="18"/>
    </row>
    <row r="1937" spans="1:26" x14ac:dyDescent="0.25">
      <c r="A1937" s="18"/>
      <c r="B1937" s="18"/>
      <c r="C1937" s="18"/>
      <c r="D1937" s="18"/>
      <c r="E1937" s="19"/>
      <c r="F1937" s="20"/>
      <c r="G1937" s="13"/>
      <c r="H1937" s="20"/>
      <c r="I1937" s="18"/>
      <c r="J1937" s="18"/>
      <c r="K1937" s="18"/>
      <c r="L1937" s="18"/>
      <c r="M1937" s="21"/>
      <c r="N1937" s="21"/>
      <c r="O1937" s="21"/>
      <c r="P1937" s="21"/>
      <c r="Q1937" s="22"/>
      <c r="R1937" s="19"/>
      <c r="S1937" s="22"/>
      <c r="T1937" s="23"/>
      <c r="U1937" s="18"/>
      <c r="V1937" s="22"/>
      <c r="W1937" s="18"/>
      <c r="X1937" s="18"/>
      <c r="Y1937" s="21"/>
      <c r="Z1937" s="18"/>
    </row>
    <row r="1938" spans="1:26" x14ac:dyDescent="0.25">
      <c r="A1938" s="19"/>
      <c r="B1938" s="19"/>
      <c r="C1938" s="19"/>
      <c r="D1938" s="19"/>
      <c r="E1938" s="19"/>
      <c r="F1938" s="20"/>
      <c r="G1938" s="13"/>
      <c r="H1938" s="20"/>
      <c r="I1938" s="19"/>
      <c r="J1938" s="19"/>
      <c r="K1938" s="19"/>
      <c r="L1938" s="19"/>
      <c r="M1938" s="21"/>
      <c r="N1938" s="21"/>
      <c r="O1938" s="21"/>
      <c r="P1938" s="21"/>
      <c r="Q1938" s="22"/>
      <c r="R1938" s="19"/>
      <c r="S1938" s="22"/>
      <c r="T1938" s="23"/>
      <c r="U1938" s="19"/>
      <c r="V1938" s="22"/>
      <c r="W1938" s="19"/>
      <c r="X1938" s="19"/>
      <c r="Y1938" s="21"/>
      <c r="Z1938" s="19"/>
    </row>
    <row r="1939" spans="1:26" x14ac:dyDescent="0.25">
      <c r="A1939" s="11"/>
      <c r="B1939" s="11"/>
      <c r="C1939" s="11"/>
      <c r="D1939" s="11"/>
      <c r="E1939" s="12"/>
      <c r="F1939" s="13"/>
      <c r="G1939" s="13"/>
      <c r="H1939" s="13"/>
      <c r="I1939" s="11"/>
      <c r="J1939" s="11"/>
      <c r="K1939" s="11"/>
      <c r="L1939" s="11"/>
      <c r="M1939" s="15"/>
      <c r="N1939" s="15"/>
      <c r="O1939" s="15"/>
      <c r="P1939" s="15"/>
      <c r="Q1939" s="16"/>
      <c r="R1939" s="16"/>
      <c r="S1939" s="16"/>
      <c r="T1939" s="17"/>
      <c r="U1939" s="11"/>
      <c r="V1939" s="16"/>
      <c r="W1939" s="11"/>
      <c r="X1939" s="11"/>
      <c r="Y1939" s="15"/>
      <c r="Z1939" s="11"/>
    </row>
    <row r="1940" spans="1:26" x14ac:dyDescent="0.25">
      <c r="A1940" s="11"/>
      <c r="B1940" s="11"/>
      <c r="C1940" s="11"/>
      <c r="D1940" s="11"/>
      <c r="E1940" s="12"/>
      <c r="F1940" s="13"/>
      <c r="G1940" s="13"/>
      <c r="H1940" s="13"/>
      <c r="I1940" s="11"/>
      <c r="J1940" s="11"/>
      <c r="K1940" s="11"/>
      <c r="L1940" s="11"/>
      <c r="M1940" s="15"/>
      <c r="N1940" s="15"/>
      <c r="O1940" s="15"/>
      <c r="P1940" s="15"/>
      <c r="Q1940" s="16"/>
      <c r="R1940" s="16"/>
      <c r="S1940" s="16"/>
      <c r="T1940" s="17"/>
      <c r="U1940" s="11"/>
      <c r="V1940" s="16"/>
      <c r="W1940" s="11"/>
      <c r="X1940" s="11"/>
      <c r="Y1940" s="15"/>
      <c r="Z1940" s="11"/>
    </row>
    <row r="1941" spans="1:26" x14ac:dyDescent="0.25">
      <c r="A1941" s="11"/>
      <c r="B1941" s="11"/>
      <c r="C1941" s="11"/>
      <c r="D1941" s="11"/>
      <c r="E1941" s="12"/>
      <c r="F1941" s="13"/>
      <c r="G1941" s="13"/>
      <c r="H1941" s="13"/>
      <c r="I1941" s="11"/>
      <c r="J1941" s="11"/>
      <c r="K1941" s="11"/>
      <c r="L1941" s="11"/>
      <c r="M1941" s="15"/>
      <c r="N1941" s="15"/>
      <c r="O1941" s="15"/>
      <c r="P1941" s="15"/>
      <c r="Q1941" s="16"/>
      <c r="R1941" s="16"/>
      <c r="S1941" s="16"/>
      <c r="T1941" s="17"/>
      <c r="U1941" s="11"/>
      <c r="V1941" s="16"/>
      <c r="W1941" s="11"/>
      <c r="X1941" s="11"/>
      <c r="Y1941" s="15"/>
      <c r="Z1941" s="11"/>
    </row>
    <row r="1942" spans="1:26" x14ac:dyDescent="0.25">
      <c r="A1942" s="11"/>
      <c r="B1942" s="11"/>
      <c r="C1942" s="11"/>
      <c r="D1942" s="11"/>
      <c r="E1942" s="12"/>
      <c r="F1942" s="13"/>
      <c r="G1942" s="13"/>
      <c r="H1942" s="13"/>
      <c r="I1942" s="11"/>
      <c r="J1942" s="11"/>
      <c r="K1942" s="11"/>
      <c r="L1942" s="11"/>
      <c r="M1942" s="15"/>
      <c r="N1942" s="15"/>
      <c r="O1942" s="15"/>
      <c r="P1942" s="15"/>
      <c r="Q1942" s="16"/>
      <c r="R1942" s="16"/>
      <c r="S1942" s="16"/>
      <c r="T1942" s="17"/>
      <c r="U1942" s="11"/>
      <c r="V1942" s="16"/>
      <c r="W1942" s="11"/>
      <c r="X1942" s="11"/>
      <c r="Y1942" s="15"/>
      <c r="Z1942" s="11"/>
    </row>
    <row r="1943" spans="1:26" x14ac:dyDescent="0.25">
      <c r="A1943" s="11"/>
      <c r="B1943" s="11"/>
      <c r="C1943" s="11"/>
      <c r="D1943" s="11"/>
      <c r="E1943" s="12"/>
      <c r="F1943" s="13"/>
      <c r="G1943" s="13"/>
      <c r="H1943" s="13"/>
      <c r="I1943" s="11"/>
      <c r="J1943" s="11"/>
      <c r="K1943" s="11"/>
      <c r="L1943" s="11"/>
      <c r="M1943" s="15"/>
      <c r="N1943" s="15"/>
      <c r="O1943" s="15"/>
      <c r="P1943" s="15"/>
      <c r="Q1943" s="16"/>
      <c r="R1943" s="16"/>
      <c r="S1943" s="16"/>
      <c r="T1943" s="17"/>
      <c r="U1943" s="11"/>
      <c r="V1943" s="16"/>
      <c r="W1943" s="11"/>
      <c r="X1943" s="11"/>
      <c r="Y1943" s="15"/>
      <c r="Z1943" s="11"/>
    </row>
    <row r="1944" spans="1:26" x14ac:dyDescent="0.25">
      <c r="A1944" s="11"/>
      <c r="B1944" s="11"/>
      <c r="C1944" s="11"/>
      <c r="D1944" s="11"/>
      <c r="E1944" s="12"/>
      <c r="F1944" s="13"/>
      <c r="G1944" s="13"/>
      <c r="H1944" s="13"/>
      <c r="I1944" s="11"/>
      <c r="J1944" s="11"/>
      <c r="K1944" s="11"/>
      <c r="L1944" s="11"/>
      <c r="M1944" s="15"/>
      <c r="N1944" s="15"/>
      <c r="O1944" s="15"/>
      <c r="P1944" s="15"/>
      <c r="Q1944" s="16"/>
      <c r="R1944" s="16"/>
      <c r="S1944" s="16"/>
      <c r="T1944" s="17"/>
      <c r="U1944" s="11"/>
      <c r="V1944" s="16"/>
      <c r="W1944" s="11"/>
      <c r="X1944" s="11"/>
      <c r="Y1944" s="15"/>
      <c r="Z1944" s="11"/>
    </row>
    <row r="1945" spans="1:26" x14ac:dyDescent="0.25">
      <c r="A1945" s="11"/>
      <c r="B1945" s="11"/>
      <c r="C1945" s="11"/>
      <c r="D1945" s="11"/>
      <c r="E1945" s="12"/>
      <c r="F1945" s="13"/>
      <c r="G1945" s="13"/>
      <c r="H1945" s="13"/>
      <c r="I1945" s="11"/>
      <c r="J1945" s="11"/>
      <c r="K1945" s="11"/>
      <c r="L1945" s="11"/>
      <c r="M1945" s="15"/>
      <c r="N1945" s="15"/>
      <c r="O1945" s="15"/>
      <c r="P1945" s="15"/>
      <c r="Q1945" s="16"/>
      <c r="R1945" s="16"/>
      <c r="S1945" s="16"/>
      <c r="T1945" s="17"/>
      <c r="U1945" s="11"/>
      <c r="V1945" s="16"/>
      <c r="W1945" s="11"/>
      <c r="X1945" s="11"/>
      <c r="Y1945" s="15"/>
      <c r="Z1945" s="11"/>
    </row>
    <row r="1946" spans="1:26" x14ac:dyDescent="0.25">
      <c r="A1946" s="11"/>
      <c r="B1946" s="11"/>
      <c r="C1946" s="11"/>
      <c r="D1946" s="11"/>
      <c r="E1946" s="12"/>
      <c r="F1946" s="13"/>
      <c r="G1946" s="13"/>
      <c r="H1946" s="13"/>
      <c r="I1946" s="11"/>
      <c r="J1946" s="11"/>
      <c r="K1946" s="11"/>
      <c r="L1946" s="11"/>
      <c r="M1946" s="15"/>
      <c r="N1946" s="15"/>
      <c r="O1946" s="15"/>
      <c r="P1946" s="15"/>
      <c r="Q1946" s="16"/>
      <c r="R1946" s="16"/>
      <c r="S1946" s="16"/>
      <c r="T1946" s="17"/>
      <c r="U1946" s="11"/>
      <c r="V1946" s="16"/>
      <c r="W1946" s="11"/>
      <c r="X1946" s="11"/>
      <c r="Y1946" s="15"/>
      <c r="Z1946" s="11"/>
    </row>
    <row r="1947" spans="1:26" x14ac:dyDescent="0.25">
      <c r="A1947" s="11"/>
      <c r="B1947" s="11"/>
      <c r="C1947" s="11"/>
      <c r="D1947" s="11"/>
      <c r="E1947" s="12"/>
      <c r="F1947" s="13"/>
      <c r="G1947" s="13"/>
      <c r="H1947" s="13"/>
      <c r="I1947" s="11"/>
      <c r="J1947" s="11"/>
      <c r="K1947" s="11"/>
      <c r="L1947" s="11"/>
      <c r="M1947" s="15"/>
      <c r="N1947" s="15"/>
      <c r="O1947" s="15"/>
      <c r="P1947" s="15"/>
      <c r="Q1947" s="16"/>
      <c r="R1947" s="16"/>
      <c r="S1947" s="16"/>
      <c r="T1947" s="17"/>
      <c r="U1947" s="11"/>
      <c r="V1947" s="16"/>
      <c r="W1947" s="11"/>
      <c r="X1947" s="11"/>
      <c r="Y1947" s="15"/>
      <c r="Z1947" s="11"/>
    </row>
    <row r="1948" spans="1:26" x14ac:dyDescent="0.25">
      <c r="A1948" s="11"/>
      <c r="B1948" s="11"/>
      <c r="C1948" s="11"/>
      <c r="D1948" s="11"/>
      <c r="E1948" s="12"/>
      <c r="F1948" s="13"/>
      <c r="G1948" s="13"/>
      <c r="H1948" s="13"/>
      <c r="I1948" s="11"/>
      <c r="J1948" s="11"/>
      <c r="K1948" s="11"/>
      <c r="L1948" s="11"/>
      <c r="M1948" s="15"/>
      <c r="N1948" s="15"/>
      <c r="O1948" s="15"/>
      <c r="P1948" s="15"/>
      <c r="Q1948" s="16"/>
      <c r="R1948" s="16"/>
      <c r="S1948" s="16"/>
      <c r="T1948" s="17"/>
      <c r="U1948" s="11"/>
      <c r="V1948" s="16"/>
      <c r="W1948" s="11"/>
      <c r="X1948" s="11"/>
      <c r="Y1948" s="15"/>
      <c r="Z1948" s="11"/>
    </row>
    <row r="1949" spans="1:26" x14ac:dyDescent="0.25">
      <c r="A1949" s="11"/>
      <c r="B1949" s="11"/>
      <c r="C1949" s="11"/>
      <c r="D1949" s="11"/>
      <c r="E1949" s="12"/>
      <c r="F1949" s="13"/>
      <c r="G1949" s="13"/>
      <c r="H1949" s="13"/>
      <c r="I1949" s="11"/>
      <c r="J1949" s="11"/>
      <c r="K1949" s="11"/>
      <c r="L1949" s="11"/>
      <c r="M1949" s="15"/>
      <c r="N1949" s="15"/>
      <c r="O1949" s="15"/>
      <c r="P1949" s="15"/>
      <c r="Q1949" s="16"/>
      <c r="R1949" s="16"/>
      <c r="S1949" s="16"/>
      <c r="T1949" s="17"/>
      <c r="U1949" s="11"/>
      <c r="V1949" s="16"/>
      <c r="W1949" s="11"/>
      <c r="X1949" s="11"/>
      <c r="Y1949" s="15"/>
      <c r="Z1949" s="11"/>
    </row>
    <row r="1950" spans="1:26" x14ac:dyDescent="0.25">
      <c r="A1950" s="18"/>
      <c r="B1950" s="18"/>
      <c r="C1950" s="18"/>
      <c r="D1950" s="18"/>
      <c r="E1950" s="19"/>
      <c r="F1950" s="20"/>
      <c r="G1950" s="13"/>
      <c r="H1950" s="20"/>
      <c r="I1950" s="18"/>
      <c r="J1950" s="18"/>
      <c r="K1950" s="18"/>
      <c r="L1950" s="18"/>
      <c r="M1950" s="21"/>
      <c r="N1950" s="21"/>
      <c r="O1950" s="21"/>
      <c r="P1950" s="21"/>
      <c r="Q1950" s="22"/>
      <c r="R1950" s="19"/>
      <c r="S1950" s="22"/>
      <c r="T1950" s="23"/>
      <c r="U1950" s="18"/>
      <c r="V1950" s="22"/>
      <c r="W1950" s="18"/>
      <c r="X1950" s="18"/>
      <c r="Y1950" s="21"/>
      <c r="Z1950" s="18"/>
    </row>
    <row r="1951" spans="1:26" x14ac:dyDescent="0.25">
      <c r="A1951" s="18"/>
      <c r="B1951" s="18"/>
      <c r="C1951" s="18"/>
      <c r="D1951" s="18"/>
      <c r="E1951" s="19"/>
      <c r="F1951" s="20"/>
      <c r="G1951" s="13"/>
      <c r="H1951" s="20"/>
      <c r="I1951" s="18"/>
      <c r="J1951" s="18"/>
      <c r="K1951" s="18"/>
      <c r="L1951" s="18"/>
      <c r="M1951" s="21"/>
      <c r="N1951" s="21"/>
      <c r="O1951" s="21"/>
      <c r="P1951" s="21"/>
      <c r="Q1951" s="22"/>
      <c r="R1951" s="19"/>
      <c r="S1951" s="22"/>
      <c r="T1951" s="23"/>
      <c r="U1951" s="18"/>
      <c r="V1951" s="22"/>
      <c r="W1951" s="18"/>
      <c r="X1951" s="18"/>
      <c r="Y1951" s="21"/>
      <c r="Z1951" s="18"/>
    </row>
    <row r="1952" spans="1:26" x14ac:dyDescent="0.25">
      <c r="A1952" s="11"/>
      <c r="B1952" s="11"/>
      <c r="C1952" s="11"/>
      <c r="D1952" s="11"/>
      <c r="E1952" s="12"/>
      <c r="F1952" s="13"/>
      <c r="G1952" s="13"/>
      <c r="H1952" s="13"/>
      <c r="I1952" s="11"/>
      <c r="J1952" s="11"/>
      <c r="K1952" s="11"/>
      <c r="L1952" s="11"/>
      <c r="M1952" s="15"/>
      <c r="N1952" s="15"/>
      <c r="O1952" s="15"/>
      <c r="P1952" s="15"/>
      <c r="Q1952" s="16"/>
      <c r="R1952" s="16"/>
      <c r="S1952" s="16"/>
      <c r="T1952" s="17"/>
      <c r="U1952" s="11"/>
      <c r="V1952" s="16"/>
      <c r="W1952" s="11"/>
      <c r="X1952" s="11"/>
      <c r="Y1952" s="15"/>
      <c r="Z1952" s="11"/>
    </row>
    <row r="1953" spans="1:26" x14ac:dyDescent="0.25">
      <c r="A1953" s="11"/>
      <c r="B1953" s="11"/>
      <c r="C1953" s="11"/>
      <c r="D1953" s="11"/>
      <c r="E1953" s="12"/>
      <c r="F1953" s="13"/>
      <c r="G1953" s="13"/>
      <c r="H1953" s="13"/>
      <c r="I1953" s="11"/>
      <c r="J1953" s="11"/>
      <c r="K1953" s="11"/>
      <c r="L1953" s="11"/>
      <c r="M1953" s="15"/>
      <c r="N1953" s="15"/>
      <c r="O1953" s="15"/>
      <c r="P1953" s="15"/>
      <c r="Q1953" s="16"/>
      <c r="R1953" s="16"/>
      <c r="S1953" s="16"/>
      <c r="T1953" s="17"/>
      <c r="U1953" s="11"/>
      <c r="V1953" s="16"/>
      <c r="W1953" s="11"/>
      <c r="X1953" s="11"/>
      <c r="Y1953" s="15"/>
      <c r="Z1953" s="11"/>
    </row>
    <row r="1954" spans="1:26" x14ac:dyDescent="0.25">
      <c r="A1954" s="11"/>
      <c r="B1954" s="11"/>
      <c r="C1954" s="11"/>
      <c r="D1954" s="11"/>
      <c r="E1954" s="12"/>
      <c r="F1954" s="13"/>
      <c r="G1954" s="13"/>
      <c r="H1954" s="13"/>
      <c r="I1954" s="11"/>
      <c r="J1954" s="11"/>
      <c r="K1954" s="11"/>
      <c r="L1954" s="11"/>
      <c r="M1954" s="15"/>
      <c r="N1954" s="15"/>
      <c r="O1954" s="15"/>
      <c r="P1954" s="15"/>
      <c r="Q1954" s="16"/>
      <c r="R1954" s="16"/>
      <c r="S1954" s="16"/>
      <c r="T1954" s="17"/>
      <c r="U1954" s="11"/>
      <c r="V1954" s="16"/>
      <c r="W1954" s="11"/>
      <c r="X1954" s="11"/>
      <c r="Y1954" s="15"/>
      <c r="Z1954" s="11"/>
    </row>
    <row r="1955" spans="1:26" x14ac:dyDescent="0.25">
      <c r="A1955" s="11"/>
      <c r="B1955" s="11"/>
      <c r="C1955" s="11"/>
      <c r="D1955" s="11"/>
      <c r="E1955" s="12"/>
      <c r="F1955" s="13"/>
      <c r="G1955" s="13"/>
      <c r="H1955" s="13"/>
      <c r="I1955" s="11"/>
      <c r="J1955" s="11"/>
      <c r="K1955" s="11"/>
      <c r="L1955" s="11"/>
      <c r="M1955" s="15"/>
      <c r="N1955" s="15"/>
      <c r="O1955" s="15"/>
      <c r="P1955" s="15"/>
      <c r="Q1955" s="16"/>
      <c r="R1955" s="16"/>
      <c r="S1955" s="16"/>
      <c r="T1955" s="17"/>
      <c r="U1955" s="11"/>
      <c r="V1955" s="16"/>
      <c r="W1955" s="11"/>
      <c r="X1955" s="11"/>
      <c r="Y1955" s="15"/>
      <c r="Z1955" s="11"/>
    </row>
    <row r="1956" spans="1:26" x14ac:dyDescent="0.25">
      <c r="A1956" s="11"/>
      <c r="B1956" s="11"/>
      <c r="C1956" s="11"/>
      <c r="D1956" s="11"/>
      <c r="E1956" s="12"/>
      <c r="F1956" s="13"/>
      <c r="G1956" s="13"/>
      <c r="H1956" s="13"/>
      <c r="I1956" s="11"/>
      <c r="J1956" s="11"/>
      <c r="K1956" s="11"/>
      <c r="L1956" s="11"/>
      <c r="M1956" s="15"/>
      <c r="N1956" s="15"/>
      <c r="O1956" s="15"/>
      <c r="P1956" s="15"/>
      <c r="Q1956" s="16"/>
      <c r="R1956" s="16"/>
      <c r="S1956" s="16"/>
      <c r="T1956" s="17"/>
      <c r="U1956" s="11"/>
      <c r="V1956" s="16"/>
      <c r="W1956" s="11"/>
      <c r="X1956" s="11"/>
      <c r="Y1956" s="15"/>
      <c r="Z1956" s="11"/>
    </row>
    <row r="1957" spans="1:26" x14ac:dyDescent="0.25">
      <c r="A1957" s="11"/>
      <c r="B1957" s="11"/>
      <c r="C1957" s="11"/>
      <c r="D1957" s="11"/>
      <c r="E1957" s="12"/>
      <c r="F1957" s="13"/>
      <c r="G1957" s="13"/>
      <c r="H1957" s="13"/>
      <c r="I1957" s="11"/>
      <c r="J1957" s="11"/>
      <c r="K1957" s="11"/>
      <c r="L1957" s="11"/>
      <c r="M1957" s="15"/>
      <c r="N1957" s="15"/>
      <c r="O1957" s="15"/>
      <c r="P1957" s="15"/>
      <c r="Q1957" s="16"/>
      <c r="R1957" s="16"/>
      <c r="S1957" s="16"/>
      <c r="T1957" s="17"/>
      <c r="U1957" s="11"/>
      <c r="V1957" s="16"/>
      <c r="W1957" s="11"/>
      <c r="X1957" s="11"/>
      <c r="Y1957" s="15"/>
      <c r="Z1957" s="11"/>
    </row>
    <row r="1958" spans="1:26" x14ac:dyDescent="0.25">
      <c r="A1958" s="11"/>
      <c r="B1958" s="11"/>
      <c r="C1958" s="11"/>
      <c r="D1958" s="11"/>
      <c r="E1958" s="12"/>
      <c r="F1958" s="13"/>
      <c r="G1958" s="13"/>
      <c r="H1958" s="13"/>
      <c r="I1958" s="11"/>
      <c r="J1958" s="11"/>
      <c r="K1958" s="11"/>
      <c r="L1958" s="11"/>
      <c r="M1958" s="15"/>
      <c r="N1958" s="15"/>
      <c r="O1958" s="15"/>
      <c r="P1958" s="15"/>
      <c r="Q1958" s="16"/>
      <c r="R1958" s="16"/>
      <c r="S1958" s="16"/>
      <c r="T1958" s="17"/>
      <c r="U1958" s="11"/>
      <c r="V1958" s="16"/>
      <c r="W1958" s="11"/>
      <c r="X1958" s="11"/>
      <c r="Y1958" s="15"/>
      <c r="Z1958" s="11"/>
    </row>
    <row r="1959" spans="1:26" x14ac:dyDescent="0.25">
      <c r="A1959" s="11"/>
      <c r="B1959" s="11"/>
      <c r="C1959" s="11"/>
      <c r="D1959" s="11"/>
      <c r="E1959" s="12"/>
      <c r="F1959" s="13"/>
      <c r="G1959" s="13"/>
      <c r="H1959" s="13"/>
      <c r="I1959" s="11"/>
      <c r="J1959" s="11"/>
      <c r="K1959" s="11"/>
      <c r="L1959" s="11"/>
      <c r="M1959" s="15"/>
      <c r="N1959" s="15"/>
      <c r="O1959" s="15"/>
      <c r="P1959" s="15"/>
      <c r="Q1959" s="16"/>
      <c r="R1959" s="16"/>
      <c r="S1959" s="16"/>
      <c r="T1959" s="17"/>
      <c r="U1959" s="11"/>
      <c r="V1959" s="16"/>
      <c r="W1959" s="11"/>
      <c r="X1959" s="11"/>
      <c r="Y1959" s="15"/>
      <c r="Z1959" s="11"/>
    </row>
    <row r="1960" spans="1:26" x14ac:dyDescent="0.25">
      <c r="A1960" s="11"/>
      <c r="B1960" s="11"/>
      <c r="C1960" s="11"/>
      <c r="D1960" s="11"/>
      <c r="E1960" s="12"/>
      <c r="F1960" s="13"/>
      <c r="G1960" s="13"/>
      <c r="H1960" s="13"/>
      <c r="I1960" s="11"/>
      <c r="J1960" s="11"/>
      <c r="K1960" s="11"/>
      <c r="L1960" s="11"/>
      <c r="M1960" s="15"/>
      <c r="N1960" s="15"/>
      <c r="O1960" s="15"/>
      <c r="P1960" s="15"/>
      <c r="Q1960" s="16"/>
      <c r="R1960" s="16"/>
      <c r="S1960" s="16"/>
      <c r="T1960" s="17"/>
      <c r="U1960" s="11"/>
      <c r="V1960" s="16"/>
      <c r="W1960" s="11"/>
      <c r="X1960" s="11"/>
      <c r="Y1960" s="15"/>
      <c r="Z1960" s="11"/>
    </row>
    <row r="1961" spans="1:26" x14ac:dyDescent="0.25">
      <c r="A1961" s="11"/>
      <c r="B1961" s="11"/>
      <c r="C1961" s="11"/>
      <c r="D1961" s="11"/>
      <c r="E1961" s="12"/>
      <c r="F1961" s="13"/>
      <c r="G1961" s="13"/>
      <c r="H1961" s="13"/>
      <c r="I1961" s="11"/>
      <c r="J1961" s="11"/>
      <c r="K1961" s="11"/>
      <c r="L1961" s="11"/>
      <c r="M1961" s="15"/>
      <c r="N1961" s="15"/>
      <c r="O1961" s="15"/>
      <c r="P1961" s="15"/>
      <c r="Q1961" s="16"/>
      <c r="R1961" s="16"/>
      <c r="S1961" s="16"/>
      <c r="T1961" s="17"/>
      <c r="U1961" s="11"/>
      <c r="V1961" s="16"/>
      <c r="W1961" s="11"/>
      <c r="X1961" s="11"/>
      <c r="Y1961" s="15"/>
      <c r="Z1961" s="11"/>
    </row>
    <row r="1962" spans="1:26" x14ac:dyDescent="0.25">
      <c r="A1962" s="11"/>
      <c r="B1962" s="11"/>
      <c r="C1962" s="11"/>
      <c r="D1962" s="11"/>
      <c r="E1962" s="12"/>
      <c r="F1962" s="13"/>
      <c r="G1962" s="13"/>
      <c r="H1962" s="13"/>
      <c r="I1962" s="11"/>
      <c r="J1962" s="11"/>
      <c r="K1962" s="11"/>
      <c r="L1962" s="11"/>
      <c r="M1962" s="15"/>
      <c r="N1962" s="15"/>
      <c r="O1962" s="15"/>
      <c r="P1962" s="15"/>
      <c r="Q1962" s="16"/>
      <c r="R1962" s="16"/>
      <c r="S1962" s="16"/>
      <c r="T1962" s="17"/>
      <c r="U1962" s="11"/>
      <c r="V1962" s="16"/>
      <c r="W1962" s="11"/>
      <c r="X1962" s="11"/>
      <c r="Y1962" s="15"/>
      <c r="Z1962" s="11"/>
    </row>
    <row r="1963" spans="1:26" x14ac:dyDescent="0.25">
      <c r="A1963" s="11"/>
      <c r="B1963" s="11"/>
      <c r="C1963" s="11"/>
      <c r="D1963" s="11"/>
      <c r="E1963" s="12"/>
      <c r="F1963" s="13"/>
      <c r="G1963" s="13"/>
      <c r="H1963" s="13"/>
      <c r="I1963" s="11"/>
      <c r="J1963" s="11"/>
      <c r="K1963" s="11"/>
      <c r="L1963" s="11"/>
      <c r="M1963" s="15"/>
      <c r="N1963" s="15"/>
      <c r="O1963" s="15"/>
      <c r="P1963" s="15"/>
      <c r="Q1963" s="16"/>
      <c r="R1963" s="16"/>
      <c r="S1963" s="16"/>
      <c r="T1963" s="17"/>
      <c r="U1963" s="11"/>
      <c r="V1963" s="16"/>
      <c r="W1963" s="11"/>
      <c r="X1963" s="11"/>
      <c r="Y1963" s="15"/>
      <c r="Z1963" s="11"/>
    </row>
    <row r="1964" spans="1:26" x14ac:dyDescent="0.25">
      <c r="A1964" s="11"/>
      <c r="B1964" s="11"/>
      <c r="C1964" s="11"/>
      <c r="D1964" s="11"/>
      <c r="E1964" s="12"/>
      <c r="F1964" s="13"/>
      <c r="G1964" s="13"/>
      <c r="H1964" s="13"/>
      <c r="I1964" s="11"/>
      <c r="J1964" s="11"/>
      <c r="K1964" s="11"/>
      <c r="L1964" s="11"/>
      <c r="M1964" s="15"/>
      <c r="N1964" s="15"/>
      <c r="O1964" s="15"/>
      <c r="P1964" s="15"/>
      <c r="Q1964" s="16"/>
      <c r="R1964" s="16"/>
      <c r="S1964" s="16"/>
      <c r="T1964" s="17"/>
      <c r="U1964" s="11"/>
      <c r="V1964" s="16"/>
      <c r="W1964" s="11"/>
      <c r="X1964" s="11"/>
      <c r="Y1964" s="15"/>
      <c r="Z1964" s="11"/>
    </row>
    <row r="1965" spans="1:26" x14ac:dyDescent="0.25">
      <c r="A1965" s="11"/>
      <c r="B1965" s="11"/>
      <c r="C1965" s="11"/>
      <c r="D1965" s="11"/>
      <c r="E1965" s="12"/>
      <c r="F1965" s="13"/>
      <c r="G1965" s="13"/>
      <c r="H1965" s="13"/>
      <c r="I1965" s="11"/>
      <c r="J1965" s="11"/>
      <c r="K1965" s="11"/>
      <c r="L1965" s="11"/>
      <c r="M1965" s="15"/>
      <c r="N1965" s="15"/>
      <c r="O1965" s="15"/>
      <c r="P1965" s="15"/>
      <c r="Q1965" s="16"/>
      <c r="R1965" s="16"/>
      <c r="S1965" s="16"/>
      <c r="T1965" s="17"/>
      <c r="U1965" s="11"/>
      <c r="V1965" s="16"/>
      <c r="W1965" s="11"/>
      <c r="X1965" s="11"/>
      <c r="Y1965" s="15"/>
      <c r="Z1965" s="11"/>
    </row>
    <row r="1966" spans="1:26" x14ac:dyDescent="0.25">
      <c r="A1966" s="18"/>
      <c r="B1966" s="18"/>
      <c r="C1966" s="18"/>
      <c r="D1966" s="18"/>
      <c r="E1966" s="19"/>
      <c r="F1966" s="20"/>
      <c r="G1966" s="13"/>
      <c r="H1966" s="20"/>
      <c r="I1966" s="18"/>
      <c r="J1966" s="18"/>
      <c r="K1966" s="18"/>
      <c r="L1966" s="18"/>
      <c r="M1966" s="21"/>
      <c r="N1966" s="21"/>
      <c r="O1966" s="21"/>
      <c r="P1966" s="21"/>
      <c r="Q1966" s="22"/>
      <c r="R1966" s="19"/>
      <c r="S1966" s="22"/>
      <c r="T1966" s="23"/>
      <c r="U1966" s="18"/>
      <c r="V1966" s="22"/>
      <c r="W1966" s="18"/>
      <c r="X1966" s="18"/>
      <c r="Y1966" s="21"/>
      <c r="Z1966" s="18"/>
    </row>
    <row r="1967" spans="1:26" x14ac:dyDescent="0.25">
      <c r="A1967" s="11"/>
      <c r="B1967" s="11"/>
      <c r="C1967" s="11"/>
      <c r="D1967" s="11"/>
      <c r="E1967" s="12"/>
      <c r="F1967" s="13"/>
      <c r="G1967" s="13"/>
      <c r="H1967" s="13"/>
      <c r="I1967" s="11"/>
      <c r="J1967" s="11"/>
      <c r="K1967" s="11"/>
      <c r="L1967" s="11"/>
      <c r="M1967" s="15"/>
      <c r="N1967" s="15"/>
      <c r="O1967" s="15"/>
      <c r="P1967" s="15"/>
      <c r="Q1967" s="16"/>
      <c r="R1967" s="16"/>
      <c r="S1967" s="16"/>
      <c r="T1967" s="17"/>
      <c r="U1967" s="11"/>
      <c r="V1967" s="16"/>
      <c r="W1967" s="11"/>
      <c r="X1967" s="11"/>
      <c r="Y1967" s="15"/>
      <c r="Z1967" s="11"/>
    </row>
    <row r="1968" spans="1:26" x14ac:dyDescent="0.25">
      <c r="A1968" s="11"/>
      <c r="B1968" s="11"/>
      <c r="C1968" s="11"/>
      <c r="D1968" s="11"/>
      <c r="E1968" s="12"/>
      <c r="F1968" s="13"/>
      <c r="G1968" s="13"/>
      <c r="H1968" s="13"/>
      <c r="I1968" s="11"/>
      <c r="J1968" s="11"/>
      <c r="K1968" s="11"/>
      <c r="L1968" s="11"/>
      <c r="M1968" s="15"/>
      <c r="N1968" s="15"/>
      <c r="O1968" s="15"/>
      <c r="P1968" s="15"/>
      <c r="Q1968" s="16"/>
      <c r="R1968" s="16"/>
      <c r="S1968" s="16"/>
      <c r="T1968" s="17"/>
      <c r="U1968" s="11"/>
      <c r="V1968" s="16"/>
      <c r="W1968" s="11"/>
      <c r="X1968" s="11"/>
      <c r="Y1968" s="15"/>
      <c r="Z1968" s="11"/>
    </row>
    <row r="1969" spans="1:26" x14ac:dyDescent="0.25">
      <c r="A1969" s="11"/>
      <c r="B1969" s="11"/>
      <c r="C1969" s="11"/>
      <c r="D1969" s="11"/>
      <c r="E1969" s="12"/>
      <c r="F1969" s="13"/>
      <c r="G1969" s="13"/>
      <c r="H1969" s="13"/>
      <c r="I1969" s="11"/>
      <c r="J1969" s="11"/>
      <c r="K1969" s="11"/>
      <c r="L1969" s="11"/>
      <c r="M1969" s="15"/>
      <c r="N1969" s="15"/>
      <c r="O1969" s="15"/>
      <c r="P1969" s="15"/>
      <c r="Q1969" s="16"/>
      <c r="R1969" s="16"/>
      <c r="S1969" s="16"/>
      <c r="T1969" s="17"/>
      <c r="U1969" s="11"/>
      <c r="V1969" s="16"/>
      <c r="W1969" s="11"/>
      <c r="X1969" s="11"/>
      <c r="Y1969" s="15"/>
      <c r="Z1969" s="11"/>
    </row>
    <row r="1970" spans="1:26" x14ac:dyDescent="0.25">
      <c r="A1970" s="11"/>
      <c r="B1970" s="11"/>
      <c r="C1970" s="11"/>
      <c r="D1970" s="11"/>
      <c r="E1970" s="12"/>
      <c r="F1970" s="13"/>
      <c r="G1970" s="13"/>
      <c r="H1970" s="13"/>
      <c r="I1970" s="11"/>
      <c r="J1970" s="11"/>
      <c r="K1970" s="11"/>
      <c r="L1970" s="11"/>
      <c r="M1970" s="15"/>
      <c r="N1970" s="15"/>
      <c r="O1970" s="15"/>
      <c r="P1970" s="15"/>
      <c r="Q1970" s="16"/>
      <c r="R1970" s="16"/>
      <c r="S1970" s="16"/>
      <c r="T1970" s="17"/>
      <c r="U1970" s="11"/>
      <c r="V1970" s="16"/>
      <c r="W1970" s="11"/>
      <c r="X1970" s="11"/>
      <c r="Y1970" s="15"/>
      <c r="Z1970" s="11"/>
    </row>
    <row r="1971" spans="1:26" x14ac:dyDescent="0.25">
      <c r="A1971" s="11"/>
      <c r="B1971" s="11"/>
      <c r="C1971" s="11"/>
      <c r="D1971" s="11"/>
      <c r="E1971" s="12"/>
      <c r="F1971" s="13"/>
      <c r="G1971" s="13"/>
      <c r="H1971" s="13"/>
      <c r="I1971" s="11"/>
      <c r="J1971" s="11"/>
      <c r="K1971" s="11"/>
      <c r="L1971" s="11"/>
      <c r="M1971" s="15"/>
      <c r="N1971" s="15"/>
      <c r="O1971" s="15"/>
      <c r="P1971" s="15"/>
      <c r="Q1971" s="16"/>
      <c r="R1971" s="16"/>
      <c r="S1971" s="16"/>
      <c r="T1971" s="17"/>
      <c r="U1971" s="11"/>
      <c r="V1971" s="16"/>
      <c r="W1971" s="11"/>
      <c r="X1971" s="11"/>
      <c r="Y1971" s="15"/>
      <c r="Z1971" s="11"/>
    </row>
    <row r="1972" spans="1:26" x14ac:dyDescent="0.25">
      <c r="A1972" s="11"/>
      <c r="B1972" s="11"/>
      <c r="C1972" s="11"/>
      <c r="D1972" s="11"/>
      <c r="E1972" s="12"/>
      <c r="F1972" s="13"/>
      <c r="G1972" s="13"/>
      <c r="H1972" s="13"/>
      <c r="I1972" s="11"/>
      <c r="J1972" s="11"/>
      <c r="K1972" s="11"/>
      <c r="L1972" s="11"/>
      <c r="M1972" s="15"/>
      <c r="N1972" s="15"/>
      <c r="O1972" s="15"/>
      <c r="P1972" s="15"/>
      <c r="Q1972" s="16"/>
      <c r="R1972" s="16"/>
      <c r="S1972" s="16"/>
      <c r="T1972" s="17"/>
      <c r="U1972" s="11"/>
      <c r="V1972" s="16"/>
      <c r="W1972" s="11"/>
      <c r="X1972" s="11"/>
      <c r="Y1972" s="15"/>
      <c r="Z1972" s="11"/>
    </row>
    <row r="1973" spans="1:26" x14ac:dyDescent="0.25">
      <c r="A1973" s="11"/>
      <c r="B1973" s="11"/>
      <c r="C1973" s="11"/>
      <c r="D1973" s="11"/>
      <c r="E1973" s="12"/>
      <c r="F1973" s="13"/>
      <c r="G1973" s="13"/>
      <c r="H1973" s="13"/>
      <c r="I1973" s="11"/>
      <c r="J1973" s="11"/>
      <c r="K1973" s="11"/>
      <c r="L1973" s="11"/>
      <c r="M1973" s="15"/>
      <c r="N1973" s="15"/>
      <c r="O1973" s="15"/>
      <c r="P1973" s="15"/>
      <c r="Q1973" s="16"/>
      <c r="R1973" s="16"/>
      <c r="S1973" s="16"/>
      <c r="T1973" s="17"/>
      <c r="U1973" s="11"/>
      <c r="V1973" s="16"/>
      <c r="W1973" s="11"/>
      <c r="X1973" s="11"/>
      <c r="Y1973" s="15"/>
      <c r="Z1973" s="11"/>
    </row>
    <row r="1974" spans="1:26" x14ac:dyDescent="0.25">
      <c r="A1974" s="11"/>
      <c r="B1974" s="11"/>
      <c r="C1974" s="11"/>
      <c r="D1974" s="11"/>
      <c r="E1974" s="12"/>
      <c r="F1974" s="13"/>
      <c r="G1974" s="13"/>
      <c r="H1974" s="13"/>
      <c r="I1974" s="11"/>
      <c r="J1974" s="11"/>
      <c r="K1974" s="11"/>
      <c r="L1974" s="11"/>
      <c r="M1974" s="15"/>
      <c r="N1974" s="15"/>
      <c r="O1974" s="15"/>
      <c r="P1974" s="15"/>
      <c r="Q1974" s="16"/>
      <c r="R1974" s="16"/>
      <c r="S1974" s="16"/>
      <c r="T1974" s="17"/>
      <c r="U1974" s="11"/>
      <c r="V1974" s="16"/>
      <c r="W1974" s="11"/>
      <c r="X1974" s="11"/>
      <c r="Y1974" s="15"/>
      <c r="Z1974" s="11"/>
    </row>
    <row r="1975" spans="1:26" x14ac:dyDescent="0.25">
      <c r="A1975" s="11"/>
      <c r="B1975" s="11"/>
      <c r="C1975" s="11"/>
      <c r="D1975" s="11"/>
      <c r="E1975" s="12"/>
      <c r="F1975" s="13"/>
      <c r="G1975" s="13"/>
      <c r="H1975" s="13"/>
      <c r="I1975" s="11"/>
      <c r="J1975" s="11"/>
      <c r="K1975" s="11"/>
      <c r="L1975" s="11"/>
      <c r="M1975" s="15"/>
      <c r="N1975" s="15"/>
      <c r="O1975" s="15"/>
      <c r="P1975" s="15"/>
      <c r="Q1975" s="16"/>
      <c r="R1975" s="16"/>
      <c r="S1975" s="16"/>
      <c r="T1975" s="17"/>
      <c r="U1975" s="11"/>
      <c r="V1975" s="16"/>
      <c r="W1975" s="11"/>
      <c r="X1975" s="11"/>
      <c r="Y1975" s="15"/>
      <c r="Z1975" s="11"/>
    </row>
    <row r="1976" spans="1:26" x14ac:dyDescent="0.25">
      <c r="A1976" s="18"/>
      <c r="B1976" s="18"/>
      <c r="C1976" s="18"/>
      <c r="D1976" s="18"/>
      <c r="E1976" s="19"/>
      <c r="F1976" s="20"/>
      <c r="G1976" s="13"/>
      <c r="H1976" s="20"/>
      <c r="I1976" s="18"/>
      <c r="J1976" s="18"/>
      <c r="K1976" s="18"/>
      <c r="L1976" s="18"/>
      <c r="M1976" s="21"/>
      <c r="N1976" s="21"/>
      <c r="O1976" s="21"/>
      <c r="P1976" s="21"/>
      <c r="Q1976" s="22"/>
      <c r="R1976" s="19"/>
      <c r="S1976" s="22"/>
      <c r="T1976" s="23"/>
      <c r="U1976" s="18"/>
      <c r="V1976" s="22"/>
      <c r="W1976" s="18"/>
      <c r="X1976" s="18"/>
      <c r="Y1976" s="21"/>
      <c r="Z1976" s="18"/>
    </row>
    <row r="1977" spans="1:26" x14ac:dyDescent="0.25">
      <c r="A1977" s="19"/>
      <c r="B1977" s="19"/>
      <c r="C1977" s="19"/>
      <c r="D1977" s="19"/>
      <c r="E1977" s="19"/>
      <c r="F1977" s="20"/>
      <c r="G1977" s="13"/>
      <c r="H1977" s="20"/>
      <c r="I1977" s="19"/>
      <c r="J1977" s="19"/>
      <c r="K1977" s="19"/>
      <c r="L1977" s="19"/>
      <c r="M1977" s="21"/>
      <c r="N1977" s="21"/>
      <c r="O1977" s="21"/>
      <c r="P1977" s="21"/>
      <c r="Q1977" s="22"/>
      <c r="R1977" s="19"/>
      <c r="S1977" s="22"/>
      <c r="T1977" s="23"/>
      <c r="U1977" s="19"/>
      <c r="V1977" s="22"/>
      <c r="W1977" s="19"/>
      <c r="X1977" s="19"/>
      <c r="Y1977" s="21"/>
      <c r="Z1977" s="19"/>
    </row>
    <row r="1978" spans="1:26" x14ac:dyDescent="0.25">
      <c r="A1978" s="11"/>
      <c r="B1978" s="11"/>
      <c r="C1978" s="11"/>
      <c r="D1978" s="11"/>
      <c r="E1978" s="12"/>
      <c r="F1978" s="13"/>
      <c r="G1978" s="13"/>
      <c r="H1978" s="13"/>
      <c r="I1978" s="11"/>
      <c r="J1978" s="11"/>
      <c r="K1978" s="11"/>
      <c r="L1978" s="11"/>
      <c r="M1978" s="15"/>
      <c r="N1978" s="15"/>
      <c r="O1978" s="15"/>
      <c r="P1978" s="15"/>
      <c r="Q1978" s="16"/>
      <c r="R1978" s="16"/>
      <c r="S1978" s="16"/>
      <c r="T1978" s="17"/>
      <c r="U1978" s="11"/>
      <c r="V1978" s="16"/>
      <c r="W1978" s="11"/>
      <c r="X1978" s="11"/>
      <c r="Y1978" s="15"/>
      <c r="Z1978" s="11"/>
    </row>
    <row r="1979" spans="1:26" x14ac:dyDescent="0.25">
      <c r="A1979" s="11"/>
      <c r="B1979" s="11"/>
      <c r="C1979" s="11"/>
      <c r="D1979" s="11"/>
      <c r="E1979" s="12"/>
      <c r="F1979" s="13"/>
      <c r="G1979" s="13"/>
      <c r="H1979" s="13"/>
      <c r="I1979" s="11"/>
      <c r="J1979" s="11"/>
      <c r="K1979" s="11"/>
      <c r="L1979" s="11"/>
      <c r="M1979" s="15"/>
      <c r="N1979" s="15"/>
      <c r="O1979" s="15"/>
      <c r="P1979" s="15"/>
      <c r="Q1979" s="16"/>
      <c r="R1979" s="16"/>
      <c r="S1979" s="16"/>
      <c r="T1979" s="17"/>
      <c r="U1979" s="11"/>
      <c r="V1979" s="16"/>
      <c r="W1979" s="11"/>
      <c r="X1979" s="11"/>
      <c r="Y1979" s="15"/>
      <c r="Z1979" s="11"/>
    </row>
    <row r="1980" spans="1:26" x14ac:dyDescent="0.25">
      <c r="A1980" s="11"/>
      <c r="B1980" s="11"/>
      <c r="C1980" s="11"/>
      <c r="D1980" s="11"/>
      <c r="E1980" s="12"/>
      <c r="F1980" s="13"/>
      <c r="G1980" s="13"/>
      <c r="H1980" s="13"/>
      <c r="I1980" s="11"/>
      <c r="J1980" s="11"/>
      <c r="K1980" s="11"/>
      <c r="L1980" s="11"/>
      <c r="M1980" s="15"/>
      <c r="N1980" s="15"/>
      <c r="O1980" s="15"/>
      <c r="P1980" s="15"/>
      <c r="Q1980" s="16"/>
      <c r="R1980" s="16"/>
      <c r="S1980" s="16"/>
      <c r="T1980" s="17"/>
      <c r="U1980" s="11"/>
      <c r="V1980" s="16"/>
      <c r="W1980" s="11"/>
      <c r="X1980" s="11"/>
      <c r="Y1980" s="15"/>
      <c r="Z1980" s="11"/>
    </row>
    <row r="1981" spans="1:26" x14ac:dyDescent="0.25">
      <c r="A1981" s="11"/>
      <c r="B1981" s="11"/>
      <c r="C1981" s="11"/>
      <c r="D1981" s="11"/>
      <c r="E1981" s="12"/>
      <c r="F1981" s="13"/>
      <c r="G1981" s="13"/>
      <c r="H1981" s="13"/>
      <c r="I1981" s="11"/>
      <c r="J1981" s="11"/>
      <c r="K1981" s="11"/>
      <c r="L1981" s="11"/>
      <c r="M1981" s="15"/>
      <c r="N1981" s="15"/>
      <c r="O1981" s="15"/>
      <c r="P1981" s="15"/>
      <c r="Q1981" s="16"/>
      <c r="R1981" s="16"/>
      <c r="S1981" s="16"/>
      <c r="T1981" s="17"/>
      <c r="U1981" s="11"/>
      <c r="V1981" s="16"/>
      <c r="W1981" s="11"/>
      <c r="X1981" s="11"/>
      <c r="Y1981" s="15"/>
      <c r="Z1981" s="11"/>
    </row>
    <row r="1982" spans="1:26" x14ac:dyDescent="0.25">
      <c r="A1982" s="11"/>
      <c r="B1982" s="11"/>
      <c r="C1982" s="11"/>
      <c r="D1982" s="11"/>
      <c r="E1982" s="12"/>
      <c r="F1982" s="13"/>
      <c r="G1982" s="13"/>
      <c r="H1982" s="13"/>
      <c r="I1982" s="11"/>
      <c r="J1982" s="11"/>
      <c r="K1982" s="11"/>
      <c r="L1982" s="11"/>
      <c r="M1982" s="15"/>
      <c r="N1982" s="15"/>
      <c r="O1982" s="15"/>
      <c r="P1982" s="15"/>
      <c r="Q1982" s="16"/>
      <c r="R1982" s="16"/>
      <c r="S1982" s="16"/>
      <c r="T1982" s="17"/>
      <c r="U1982" s="11"/>
      <c r="V1982" s="16"/>
      <c r="W1982" s="11"/>
      <c r="X1982" s="11"/>
      <c r="Y1982" s="15"/>
      <c r="Z1982" s="11"/>
    </row>
    <row r="1983" spans="1:26" x14ac:dyDescent="0.25">
      <c r="A1983" s="11"/>
      <c r="B1983" s="11"/>
      <c r="C1983" s="11"/>
      <c r="D1983" s="11"/>
      <c r="E1983" s="12"/>
      <c r="F1983" s="13"/>
      <c r="G1983" s="13"/>
      <c r="H1983" s="13"/>
      <c r="I1983" s="11"/>
      <c r="J1983" s="11"/>
      <c r="K1983" s="11"/>
      <c r="L1983" s="11"/>
      <c r="M1983" s="15"/>
      <c r="N1983" s="15"/>
      <c r="O1983" s="15"/>
      <c r="P1983" s="15"/>
      <c r="Q1983" s="16"/>
      <c r="R1983" s="16"/>
      <c r="S1983" s="16"/>
      <c r="T1983" s="17"/>
      <c r="U1983" s="11"/>
      <c r="V1983" s="16"/>
      <c r="W1983" s="11"/>
      <c r="X1983" s="11"/>
      <c r="Y1983" s="15"/>
      <c r="Z1983" s="11"/>
    </row>
    <row r="1984" spans="1:26" x14ac:dyDescent="0.25">
      <c r="A1984" s="11"/>
      <c r="B1984" s="11"/>
      <c r="C1984" s="11"/>
      <c r="D1984" s="11"/>
      <c r="E1984" s="12"/>
      <c r="F1984" s="13"/>
      <c r="G1984" s="13"/>
      <c r="H1984" s="13"/>
      <c r="I1984" s="11"/>
      <c r="J1984" s="11"/>
      <c r="K1984" s="11"/>
      <c r="L1984" s="11"/>
      <c r="M1984" s="15"/>
      <c r="N1984" s="15"/>
      <c r="O1984" s="15"/>
      <c r="P1984" s="15"/>
      <c r="Q1984" s="16"/>
      <c r="R1984" s="16"/>
      <c r="S1984" s="16"/>
      <c r="T1984" s="17"/>
      <c r="U1984" s="11"/>
      <c r="V1984" s="16"/>
      <c r="W1984" s="11"/>
      <c r="X1984" s="11"/>
      <c r="Y1984" s="15"/>
      <c r="Z1984" s="11"/>
    </row>
    <row r="1985" spans="1:26" x14ac:dyDescent="0.25">
      <c r="A1985" s="11"/>
      <c r="B1985" s="11"/>
      <c r="C1985" s="11"/>
      <c r="D1985" s="11"/>
      <c r="E1985" s="12"/>
      <c r="F1985" s="13"/>
      <c r="G1985" s="13"/>
      <c r="H1985" s="13"/>
      <c r="I1985" s="11"/>
      <c r="J1985" s="11"/>
      <c r="K1985" s="11"/>
      <c r="L1985" s="11"/>
      <c r="M1985" s="15"/>
      <c r="N1985" s="15"/>
      <c r="O1985" s="15"/>
      <c r="P1985" s="15"/>
      <c r="Q1985" s="16"/>
      <c r="R1985" s="16"/>
      <c r="S1985" s="16"/>
      <c r="T1985" s="17"/>
      <c r="U1985" s="11"/>
      <c r="V1985" s="16"/>
      <c r="W1985" s="11"/>
      <c r="X1985" s="11"/>
      <c r="Y1985" s="15"/>
      <c r="Z1985" s="11"/>
    </row>
    <row r="1986" spans="1:26" x14ac:dyDescent="0.25">
      <c r="A1986" s="11"/>
      <c r="B1986" s="11"/>
      <c r="C1986" s="11"/>
      <c r="D1986" s="11"/>
      <c r="E1986" s="12"/>
      <c r="F1986" s="13"/>
      <c r="G1986" s="13"/>
      <c r="H1986" s="13"/>
      <c r="I1986" s="11"/>
      <c r="J1986" s="11"/>
      <c r="K1986" s="11"/>
      <c r="L1986" s="11"/>
      <c r="M1986" s="15"/>
      <c r="N1986" s="15"/>
      <c r="O1986" s="15"/>
      <c r="P1986" s="15"/>
      <c r="Q1986" s="16"/>
      <c r="R1986" s="16"/>
      <c r="S1986" s="16"/>
      <c r="T1986" s="17"/>
      <c r="U1986" s="11"/>
      <c r="V1986" s="16"/>
      <c r="W1986" s="11"/>
      <c r="X1986" s="11"/>
      <c r="Y1986" s="15"/>
      <c r="Z1986" s="11"/>
    </row>
    <row r="1987" spans="1:26" x14ac:dyDescent="0.25">
      <c r="A1987" s="11"/>
      <c r="B1987" s="11"/>
      <c r="C1987" s="11"/>
      <c r="D1987" s="11"/>
      <c r="E1987" s="12"/>
      <c r="F1987" s="13"/>
      <c r="G1987" s="13"/>
      <c r="H1987" s="13"/>
      <c r="I1987" s="11"/>
      <c r="J1987" s="11"/>
      <c r="K1987" s="11"/>
      <c r="L1987" s="11"/>
      <c r="M1987" s="15"/>
      <c r="N1987" s="15"/>
      <c r="O1987" s="15"/>
      <c r="P1987" s="15"/>
      <c r="Q1987" s="16"/>
      <c r="R1987" s="16"/>
      <c r="S1987" s="16"/>
      <c r="T1987" s="17"/>
      <c r="U1987" s="11"/>
      <c r="V1987" s="16"/>
      <c r="W1987" s="11"/>
      <c r="X1987" s="11"/>
      <c r="Y1987" s="15"/>
      <c r="Z1987" s="11"/>
    </row>
    <row r="1988" spans="1:26" x14ac:dyDescent="0.25">
      <c r="A1988" s="11"/>
      <c r="B1988" s="11"/>
      <c r="C1988" s="11"/>
      <c r="D1988" s="11"/>
      <c r="E1988" s="12"/>
      <c r="F1988" s="13"/>
      <c r="G1988" s="13"/>
      <c r="H1988" s="13"/>
      <c r="I1988" s="11"/>
      <c r="J1988" s="11"/>
      <c r="K1988" s="11"/>
      <c r="L1988" s="11"/>
      <c r="M1988" s="15"/>
      <c r="N1988" s="15"/>
      <c r="O1988" s="15"/>
      <c r="P1988" s="15"/>
      <c r="Q1988" s="16"/>
      <c r="R1988" s="16"/>
      <c r="S1988" s="16"/>
      <c r="T1988" s="17"/>
      <c r="U1988" s="11"/>
      <c r="V1988" s="16"/>
      <c r="W1988" s="11"/>
      <c r="X1988" s="11"/>
      <c r="Y1988" s="15"/>
      <c r="Z1988" s="11"/>
    </row>
    <row r="1989" spans="1:26" x14ac:dyDescent="0.25">
      <c r="A1989" s="11"/>
      <c r="B1989" s="11"/>
      <c r="C1989" s="11"/>
      <c r="D1989" s="11"/>
      <c r="E1989" s="12"/>
      <c r="F1989" s="13"/>
      <c r="G1989" s="13"/>
      <c r="H1989" s="13"/>
      <c r="I1989" s="11"/>
      <c r="J1989" s="11"/>
      <c r="K1989" s="11"/>
      <c r="L1989" s="11"/>
      <c r="M1989" s="15"/>
      <c r="N1989" s="15"/>
      <c r="O1989" s="15"/>
      <c r="P1989" s="15"/>
      <c r="Q1989" s="16"/>
      <c r="R1989" s="16"/>
      <c r="S1989" s="16"/>
      <c r="T1989" s="17"/>
      <c r="U1989" s="11"/>
      <c r="V1989" s="16"/>
      <c r="W1989" s="11"/>
      <c r="X1989" s="11"/>
      <c r="Y1989" s="15"/>
      <c r="Z1989" s="11"/>
    </row>
    <row r="1990" spans="1:26" x14ac:dyDescent="0.25">
      <c r="A1990" s="11"/>
      <c r="B1990" s="11"/>
      <c r="C1990" s="11"/>
      <c r="D1990" s="11"/>
      <c r="E1990" s="12"/>
      <c r="F1990" s="13"/>
      <c r="G1990" s="13"/>
      <c r="H1990" s="13"/>
      <c r="I1990" s="11"/>
      <c r="J1990" s="11"/>
      <c r="K1990" s="11"/>
      <c r="L1990" s="11"/>
      <c r="M1990" s="15"/>
      <c r="N1990" s="15"/>
      <c r="O1990" s="15"/>
      <c r="P1990" s="15"/>
      <c r="Q1990" s="16"/>
      <c r="R1990" s="16"/>
      <c r="S1990" s="16"/>
      <c r="T1990" s="17"/>
      <c r="U1990" s="11"/>
      <c r="V1990" s="16"/>
      <c r="W1990" s="11"/>
      <c r="X1990" s="11"/>
      <c r="Y1990" s="15"/>
      <c r="Z1990" s="11"/>
    </row>
    <row r="1991" spans="1:26" x14ac:dyDescent="0.25">
      <c r="A1991" s="11"/>
      <c r="B1991" s="11"/>
      <c r="C1991" s="11"/>
      <c r="D1991" s="11"/>
      <c r="E1991" s="12"/>
      <c r="F1991" s="13"/>
      <c r="G1991" s="13"/>
      <c r="H1991" s="13"/>
      <c r="I1991" s="11"/>
      <c r="J1991" s="11"/>
      <c r="K1991" s="11"/>
      <c r="L1991" s="11"/>
      <c r="M1991" s="15"/>
      <c r="N1991" s="15"/>
      <c r="O1991" s="15"/>
      <c r="P1991" s="15"/>
      <c r="Q1991" s="16"/>
      <c r="R1991" s="16"/>
      <c r="S1991" s="16"/>
      <c r="T1991" s="17"/>
      <c r="U1991" s="11"/>
      <c r="V1991" s="16"/>
      <c r="W1991" s="11"/>
      <c r="X1991" s="11"/>
      <c r="Y1991" s="15"/>
      <c r="Z1991" s="11"/>
    </row>
    <row r="1992" spans="1:26" x14ac:dyDescent="0.25">
      <c r="A1992" s="11"/>
      <c r="B1992" s="11"/>
      <c r="C1992" s="11"/>
      <c r="D1992" s="11"/>
      <c r="E1992" s="12"/>
      <c r="F1992" s="13"/>
      <c r="G1992" s="13"/>
      <c r="H1992" s="13"/>
      <c r="I1992" s="11"/>
      <c r="J1992" s="11"/>
      <c r="K1992" s="11"/>
      <c r="L1992" s="11"/>
      <c r="M1992" s="15"/>
      <c r="N1992" s="15"/>
      <c r="O1992" s="15"/>
      <c r="P1992" s="15"/>
      <c r="Q1992" s="16"/>
      <c r="R1992" s="16"/>
      <c r="S1992" s="16"/>
      <c r="T1992" s="17"/>
      <c r="U1992" s="11"/>
      <c r="V1992" s="16"/>
      <c r="W1992" s="11"/>
      <c r="X1992" s="11"/>
      <c r="Y1992" s="15"/>
      <c r="Z1992" s="11"/>
    </row>
    <row r="1993" spans="1:26" x14ac:dyDescent="0.25">
      <c r="A1993" s="18"/>
      <c r="B1993" s="18"/>
      <c r="C1993" s="18"/>
      <c r="D1993" s="18"/>
      <c r="E1993" s="19"/>
      <c r="F1993" s="20"/>
      <c r="G1993" s="13"/>
      <c r="H1993" s="20"/>
      <c r="I1993" s="18"/>
      <c r="J1993" s="18"/>
      <c r="K1993" s="18"/>
      <c r="L1993" s="18"/>
      <c r="M1993" s="21"/>
      <c r="N1993" s="21"/>
      <c r="O1993" s="21"/>
      <c r="P1993" s="21"/>
      <c r="Q1993" s="22"/>
      <c r="R1993" s="19"/>
      <c r="S1993" s="22"/>
      <c r="T1993" s="23"/>
      <c r="U1993" s="18"/>
      <c r="V1993" s="22"/>
      <c r="W1993" s="18"/>
      <c r="X1993" s="18"/>
      <c r="Y1993" s="21"/>
      <c r="Z1993" s="18"/>
    </row>
    <row r="1994" spans="1:26" x14ac:dyDescent="0.25">
      <c r="A1994" s="18"/>
      <c r="B1994" s="18"/>
      <c r="C1994" s="18"/>
      <c r="D1994" s="18"/>
      <c r="E1994" s="19"/>
      <c r="F1994" s="20"/>
      <c r="G1994" s="13"/>
      <c r="H1994" s="20"/>
      <c r="I1994" s="18"/>
      <c r="J1994" s="18"/>
      <c r="K1994" s="18"/>
      <c r="L1994" s="18"/>
      <c r="M1994" s="21"/>
      <c r="N1994" s="21"/>
      <c r="O1994" s="21"/>
      <c r="P1994" s="21"/>
      <c r="Q1994" s="22"/>
      <c r="R1994" s="19"/>
      <c r="S1994" s="22"/>
      <c r="T1994" s="23"/>
      <c r="U1994" s="18"/>
      <c r="V1994" s="22"/>
      <c r="W1994" s="18"/>
      <c r="X1994" s="18"/>
      <c r="Y1994" s="21"/>
      <c r="Z1994" s="18"/>
    </row>
    <row r="1995" spans="1:26" x14ac:dyDescent="0.25">
      <c r="A1995" s="19"/>
      <c r="B1995" s="19"/>
      <c r="C1995" s="19"/>
      <c r="D1995" s="19"/>
      <c r="E1995" s="19"/>
      <c r="F1995" s="20"/>
      <c r="G1995" s="13"/>
      <c r="H1995" s="20"/>
      <c r="I1995" s="19"/>
      <c r="J1995" s="19"/>
      <c r="K1995" s="19"/>
      <c r="L1995" s="19"/>
      <c r="M1995" s="21"/>
      <c r="N1995" s="21"/>
      <c r="O1995" s="21"/>
      <c r="P1995" s="21"/>
      <c r="Q1995" s="22"/>
      <c r="R1995" s="19"/>
      <c r="S1995" s="22"/>
      <c r="T1995" s="23"/>
      <c r="U1995" s="19"/>
      <c r="V1995" s="22"/>
      <c r="W1995" s="19"/>
      <c r="X1995" s="19"/>
      <c r="Y1995" s="21"/>
      <c r="Z1995" s="19"/>
    </row>
    <row r="1996" spans="1:26" x14ac:dyDescent="0.25">
      <c r="A1996" s="11"/>
      <c r="B1996" s="11"/>
      <c r="C1996" s="11"/>
      <c r="D1996" s="11"/>
      <c r="E1996" s="12"/>
      <c r="F1996" s="13"/>
      <c r="G1996" s="13"/>
      <c r="H1996" s="13"/>
      <c r="I1996" s="11"/>
      <c r="J1996" s="11"/>
      <c r="K1996" s="11"/>
      <c r="L1996" s="11"/>
      <c r="M1996" s="15"/>
      <c r="N1996" s="15"/>
      <c r="O1996" s="15"/>
      <c r="P1996" s="15"/>
      <c r="Q1996" s="16"/>
      <c r="R1996" s="16"/>
      <c r="S1996" s="16"/>
      <c r="T1996" s="17"/>
      <c r="U1996" s="11"/>
      <c r="V1996" s="16"/>
      <c r="W1996" s="11"/>
      <c r="X1996" s="11"/>
      <c r="Y1996" s="15"/>
      <c r="Z1996" s="11"/>
    </row>
    <row r="1997" spans="1:26" x14ac:dyDescent="0.25">
      <c r="A1997" s="11"/>
      <c r="B1997" s="11"/>
      <c r="C1997" s="11"/>
      <c r="D1997" s="11"/>
      <c r="E1997" s="12"/>
      <c r="F1997" s="13"/>
      <c r="G1997" s="13"/>
      <c r="H1997" s="13"/>
      <c r="I1997" s="11"/>
      <c r="J1997" s="11"/>
      <c r="K1997" s="11"/>
      <c r="L1997" s="11"/>
      <c r="M1997" s="15"/>
      <c r="N1997" s="15"/>
      <c r="O1997" s="15"/>
      <c r="P1997" s="15"/>
      <c r="Q1997" s="16"/>
      <c r="R1997" s="16"/>
      <c r="S1997" s="16"/>
      <c r="T1997" s="17"/>
      <c r="U1997" s="11"/>
      <c r="V1997" s="16"/>
      <c r="W1997" s="11"/>
      <c r="X1997" s="11"/>
      <c r="Y1997" s="15"/>
      <c r="Z1997" s="11"/>
    </row>
    <row r="1998" spans="1:26" x14ac:dyDescent="0.25">
      <c r="A1998" s="11"/>
      <c r="B1998" s="11"/>
      <c r="C1998" s="11"/>
      <c r="D1998" s="11"/>
      <c r="E1998" s="12"/>
      <c r="F1998" s="13"/>
      <c r="G1998" s="13"/>
      <c r="H1998" s="13"/>
      <c r="I1998" s="11"/>
      <c r="J1998" s="11"/>
      <c r="K1998" s="11"/>
      <c r="L1998" s="11"/>
      <c r="M1998" s="15"/>
      <c r="N1998" s="15"/>
      <c r="O1998" s="15"/>
      <c r="P1998" s="15"/>
      <c r="Q1998" s="16"/>
      <c r="R1998" s="16"/>
      <c r="S1998" s="16"/>
      <c r="T1998" s="17"/>
      <c r="U1998" s="11"/>
      <c r="V1998" s="16"/>
      <c r="W1998" s="11"/>
      <c r="X1998" s="11"/>
      <c r="Y1998" s="15"/>
      <c r="Z1998" s="11"/>
    </row>
    <row r="1999" spans="1:26" x14ac:dyDescent="0.25">
      <c r="A1999" s="11"/>
      <c r="B1999" s="11"/>
      <c r="C1999" s="11"/>
      <c r="D1999" s="11"/>
      <c r="E1999" s="12"/>
      <c r="F1999" s="13"/>
      <c r="G1999" s="13"/>
      <c r="H1999" s="13"/>
      <c r="I1999" s="11"/>
      <c r="J1999" s="11"/>
      <c r="K1999" s="11"/>
      <c r="L1999" s="11"/>
      <c r="M1999" s="15"/>
      <c r="N1999" s="15"/>
      <c r="O1999" s="15"/>
      <c r="P1999" s="15"/>
      <c r="Q1999" s="16"/>
      <c r="R1999" s="16"/>
      <c r="S1999" s="16"/>
      <c r="T1999" s="17"/>
      <c r="U1999" s="11"/>
      <c r="V1999" s="16"/>
      <c r="W1999" s="11"/>
      <c r="X1999" s="11"/>
      <c r="Y1999" s="15"/>
      <c r="Z1999" s="11"/>
    </row>
    <row r="2000" spans="1:26" x14ac:dyDescent="0.25">
      <c r="A2000" s="11"/>
      <c r="B2000" s="11"/>
      <c r="C2000" s="11"/>
      <c r="D2000" s="11"/>
      <c r="E2000" s="12"/>
      <c r="F2000" s="13"/>
      <c r="G2000" s="13"/>
      <c r="H2000" s="13"/>
      <c r="I2000" s="11"/>
      <c r="J2000" s="11"/>
      <c r="K2000" s="11"/>
      <c r="L2000" s="11"/>
      <c r="M2000" s="15"/>
      <c r="N2000" s="15"/>
      <c r="O2000" s="15"/>
      <c r="P2000" s="15"/>
      <c r="Q2000" s="16"/>
      <c r="R2000" s="16"/>
      <c r="S2000" s="16"/>
      <c r="T2000" s="17"/>
      <c r="U2000" s="11"/>
      <c r="V2000" s="16"/>
      <c r="W2000" s="11"/>
      <c r="X2000" s="11"/>
      <c r="Y2000" s="15"/>
      <c r="Z2000" s="11"/>
    </row>
    <row r="2001" spans="1:26" x14ac:dyDescent="0.25">
      <c r="A2001" s="18"/>
      <c r="B2001" s="18"/>
      <c r="C2001" s="18"/>
      <c r="D2001" s="18"/>
      <c r="E2001" s="19"/>
      <c r="F2001" s="20"/>
      <c r="G2001" s="13"/>
      <c r="H2001" s="20"/>
      <c r="I2001" s="18"/>
      <c r="J2001" s="18"/>
      <c r="K2001" s="18"/>
      <c r="L2001" s="18"/>
      <c r="M2001" s="21"/>
      <c r="N2001" s="21"/>
      <c r="O2001" s="21"/>
      <c r="P2001" s="21"/>
      <c r="Q2001" s="22"/>
      <c r="R2001" s="19"/>
      <c r="S2001" s="22"/>
      <c r="T2001" s="23"/>
      <c r="U2001" s="18"/>
      <c r="V2001" s="22"/>
      <c r="W2001" s="18"/>
      <c r="X2001" s="18"/>
      <c r="Y2001" s="21"/>
      <c r="Z2001" s="18"/>
    </row>
    <row r="2002" spans="1:26" x14ac:dyDescent="0.25">
      <c r="A2002" s="11"/>
      <c r="B2002" s="11"/>
      <c r="C2002" s="11"/>
      <c r="D2002" s="11"/>
      <c r="E2002" s="12"/>
      <c r="F2002" s="13"/>
      <c r="G2002" s="13"/>
      <c r="H2002" s="13"/>
      <c r="I2002" s="11"/>
      <c r="J2002" s="11"/>
      <c r="K2002" s="11"/>
      <c r="L2002" s="11"/>
      <c r="M2002" s="15"/>
      <c r="N2002" s="15"/>
      <c r="O2002" s="15"/>
      <c r="P2002" s="15"/>
      <c r="Q2002" s="16"/>
      <c r="R2002" s="16"/>
      <c r="S2002" s="16"/>
      <c r="T2002" s="17"/>
      <c r="U2002" s="11"/>
      <c r="V2002" s="16"/>
      <c r="W2002" s="11"/>
      <c r="X2002" s="11"/>
      <c r="Y2002" s="15"/>
      <c r="Z2002" s="11"/>
    </row>
    <row r="2003" spans="1:26" x14ac:dyDescent="0.25">
      <c r="A2003" s="11"/>
      <c r="B2003" s="11"/>
      <c r="C2003" s="11"/>
      <c r="D2003" s="11"/>
      <c r="E2003" s="12"/>
      <c r="F2003" s="13"/>
      <c r="G2003" s="13"/>
      <c r="H2003" s="13"/>
      <c r="I2003" s="11"/>
      <c r="J2003" s="11"/>
      <c r="K2003" s="11"/>
      <c r="L2003" s="11"/>
      <c r="M2003" s="15"/>
      <c r="N2003" s="15"/>
      <c r="O2003" s="15"/>
      <c r="P2003" s="15"/>
      <c r="Q2003" s="16"/>
      <c r="R2003" s="16"/>
      <c r="S2003" s="16"/>
      <c r="T2003" s="17"/>
      <c r="U2003" s="11"/>
      <c r="V2003" s="16"/>
      <c r="W2003" s="11"/>
      <c r="X2003" s="11"/>
      <c r="Y2003" s="15"/>
      <c r="Z2003" s="11"/>
    </row>
    <row r="2004" spans="1:26" x14ac:dyDescent="0.25">
      <c r="A2004" s="11"/>
      <c r="B2004" s="11"/>
      <c r="C2004" s="11"/>
      <c r="D2004" s="11"/>
      <c r="E2004" s="12"/>
      <c r="F2004" s="13"/>
      <c r="G2004" s="13"/>
      <c r="H2004" s="13"/>
      <c r="I2004" s="11"/>
      <c r="J2004" s="11"/>
      <c r="K2004" s="11"/>
      <c r="L2004" s="11"/>
      <c r="M2004" s="15"/>
      <c r="N2004" s="15"/>
      <c r="O2004" s="15"/>
      <c r="P2004" s="15"/>
      <c r="Q2004" s="16"/>
      <c r="R2004" s="16"/>
      <c r="S2004" s="16"/>
      <c r="T2004" s="17"/>
      <c r="U2004" s="11"/>
      <c r="V2004" s="16"/>
      <c r="W2004" s="11"/>
      <c r="X2004" s="11"/>
      <c r="Y2004" s="15"/>
      <c r="Z2004" s="11"/>
    </row>
    <row r="2005" spans="1:26" x14ac:dyDescent="0.25">
      <c r="A2005" s="11"/>
      <c r="B2005" s="11"/>
      <c r="C2005" s="11"/>
      <c r="D2005" s="11"/>
      <c r="E2005" s="12"/>
      <c r="F2005" s="13"/>
      <c r="G2005" s="13"/>
      <c r="H2005" s="13"/>
      <c r="I2005" s="11"/>
      <c r="J2005" s="11"/>
      <c r="K2005" s="11"/>
      <c r="L2005" s="11"/>
      <c r="M2005" s="15"/>
      <c r="N2005" s="15"/>
      <c r="O2005" s="15"/>
      <c r="P2005" s="15"/>
      <c r="Q2005" s="16"/>
      <c r="R2005" s="16"/>
      <c r="S2005" s="16"/>
      <c r="T2005" s="17"/>
      <c r="U2005" s="11"/>
      <c r="V2005" s="16"/>
      <c r="W2005" s="11"/>
      <c r="X2005" s="11"/>
      <c r="Y2005" s="15"/>
      <c r="Z2005" s="11"/>
    </row>
    <row r="2006" spans="1:26" x14ac:dyDescent="0.25">
      <c r="A2006" s="11"/>
      <c r="B2006" s="11"/>
      <c r="C2006" s="11"/>
      <c r="D2006" s="11"/>
      <c r="E2006" s="12"/>
      <c r="F2006" s="13"/>
      <c r="G2006" s="13"/>
      <c r="H2006" s="13"/>
      <c r="I2006" s="11"/>
      <c r="J2006" s="11"/>
      <c r="K2006" s="11"/>
      <c r="L2006" s="11"/>
      <c r="M2006" s="15"/>
      <c r="N2006" s="15"/>
      <c r="O2006" s="15"/>
      <c r="P2006" s="15"/>
      <c r="Q2006" s="16"/>
      <c r="R2006" s="16"/>
      <c r="S2006" s="16"/>
      <c r="T2006" s="17"/>
      <c r="U2006" s="11"/>
      <c r="V2006" s="16"/>
      <c r="W2006" s="11"/>
      <c r="X2006" s="11"/>
      <c r="Y2006" s="15"/>
      <c r="Z2006" s="11"/>
    </row>
    <row r="2007" spans="1:26" x14ac:dyDescent="0.25">
      <c r="A2007" s="11"/>
      <c r="B2007" s="11"/>
      <c r="C2007" s="11"/>
      <c r="D2007" s="11"/>
      <c r="E2007" s="12"/>
      <c r="F2007" s="13"/>
      <c r="G2007" s="13"/>
      <c r="H2007" s="13"/>
      <c r="I2007" s="11"/>
      <c r="J2007" s="11"/>
      <c r="K2007" s="11"/>
      <c r="L2007" s="11"/>
      <c r="M2007" s="15"/>
      <c r="N2007" s="15"/>
      <c r="O2007" s="15"/>
      <c r="P2007" s="15"/>
      <c r="Q2007" s="16"/>
      <c r="R2007" s="16"/>
      <c r="S2007" s="16"/>
      <c r="T2007" s="17"/>
      <c r="U2007" s="11"/>
      <c r="V2007" s="16"/>
      <c r="W2007" s="11"/>
      <c r="X2007" s="11"/>
      <c r="Y2007" s="15"/>
      <c r="Z2007" s="11"/>
    </row>
    <row r="2008" spans="1:26" x14ac:dyDescent="0.25">
      <c r="A2008" s="11"/>
      <c r="B2008" s="11"/>
      <c r="C2008" s="11"/>
      <c r="D2008" s="11"/>
      <c r="E2008" s="12"/>
      <c r="F2008" s="13"/>
      <c r="G2008" s="13"/>
      <c r="H2008" s="13"/>
      <c r="I2008" s="11"/>
      <c r="J2008" s="11"/>
      <c r="K2008" s="11"/>
      <c r="L2008" s="11"/>
      <c r="M2008" s="15"/>
      <c r="N2008" s="15"/>
      <c r="O2008" s="15"/>
      <c r="P2008" s="15"/>
      <c r="Q2008" s="16"/>
      <c r="R2008" s="16"/>
      <c r="S2008" s="16"/>
      <c r="T2008" s="17"/>
      <c r="U2008" s="11"/>
      <c r="V2008" s="16"/>
      <c r="W2008" s="11"/>
      <c r="X2008" s="11"/>
      <c r="Y2008" s="15"/>
      <c r="Z2008" s="11"/>
    </row>
    <row r="2009" spans="1:26" x14ac:dyDescent="0.25">
      <c r="A2009" s="11"/>
      <c r="B2009" s="11"/>
      <c r="C2009" s="11"/>
      <c r="D2009" s="11"/>
      <c r="E2009" s="12"/>
      <c r="F2009" s="13"/>
      <c r="G2009" s="13"/>
      <c r="H2009" s="13"/>
      <c r="I2009" s="11"/>
      <c r="J2009" s="11"/>
      <c r="K2009" s="11"/>
      <c r="L2009" s="11"/>
      <c r="M2009" s="15"/>
      <c r="N2009" s="15"/>
      <c r="O2009" s="15"/>
      <c r="P2009" s="15"/>
      <c r="Q2009" s="16"/>
      <c r="R2009" s="16"/>
      <c r="S2009" s="16"/>
      <c r="T2009" s="17"/>
      <c r="U2009" s="11"/>
      <c r="V2009" s="16"/>
      <c r="W2009" s="11"/>
      <c r="X2009" s="11"/>
      <c r="Y2009" s="15"/>
      <c r="Z2009" s="11"/>
    </row>
    <row r="2010" spans="1:26" x14ac:dyDescent="0.25">
      <c r="A2010" s="11"/>
      <c r="B2010" s="11"/>
      <c r="C2010" s="11"/>
      <c r="D2010" s="11"/>
      <c r="E2010" s="12"/>
      <c r="F2010" s="13"/>
      <c r="G2010" s="13"/>
      <c r="H2010" s="13"/>
      <c r="I2010" s="11"/>
      <c r="J2010" s="11"/>
      <c r="K2010" s="11"/>
      <c r="L2010" s="11"/>
      <c r="M2010" s="15"/>
      <c r="N2010" s="15"/>
      <c r="O2010" s="15"/>
      <c r="P2010" s="15"/>
      <c r="Q2010" s="16"/>
      <c r="R2010" s="16"/>
      <c r="S2010" s="16"/>
      <c r="T2010" s="17"/>
      <c r="U2010" s="11"/>
      <c r="V2010" s="16"/>
      <c r="W2010" s="11"/>
      <c r="X2010" s="11"/>
      <c r="Y2010" s="15"/>
      <c r="Z2010" s="11"/>
    </row>
    <row r="2011" spans="1:26" x14ac:dyDescent="0.25">
      <c r="A2011" s="11"/>
      <c r="B2011" s="11"/>
      <c r="C2011" s="11"/>
      <c r="D2011" s="11"/>
      <c r="E2011" s="12"/>
      <c r="F2011" s="13"/>
      <c r="G2011" s="13"/>
      <c r="H2011" s="13"/>
      <c r="I2011" s="11"/>
      <c r="J2011" s="11"/>
      <c r="K2011" s="11"/>
      <c r="L2011" s="11"/>
      <c r="M2011" s="15"/>
      <c r="N2011" s="15"/>
      <c r="O2011" s="15"/>
      <c r="P2011" s="15"/>
      <c r="Q2011" s="16"/>
      <c r="R2011" s="16"/>
      <c r="S2011" s="16"/>
      <c r="T2011" s="17"/>
      <c r="U2011" s="11"/>
      <c r="V2011" s="16"/>
      <c r="W2011" s="11"/>
      <c r="X2011" s="11"/>
      <c r="Y2011" s="15"/>
      <c r="Z2011" s="11"/>
    </row>
    <row r="2012" spans="1:26" x14ac:dyDescent="0.25">
      <c r="A2012" s="11"/>
      <c r="B2012" s="11"/>
      <c r="C2012" s="11"/>
      <c r="D2012" s="11"/>
      <c r="E2012" s="12"/>
      <c r="F2012" s="13"/>
      <c r="G2012" s="13"/>
      <c r="H2012" s="13"/>
      <c r="I2012" s="11"/>
      <c r="J2012" s="11"/>
      <c r="K2012" s="11"/>
      <c r="L2012" s="11"/>
      <c r="M2012" s="15"/>
      <c r="N2012" s="15"/>
      <c r="O2012" s="15"/>
      <c r="P2012" s="15"/>
      <c r="Q2012" s="16"/>
      <c r="R2012" s="16"/>
      <c r="S2012" s="16"/>
      <c r="T2012" s="17"/>
      <c r="U2012" s="11"/>
      <c r="V2012" s="16"/>
      <c r="W2012" s="11"/>
      <c r="X2012" s="11"/>
      <c r="Y2012" s="15"/>
      <c r="Z2012" s="11"/>
    </row>
    <row r="2013" spans="1:26" x14ac:dyDescent="0.25">
      <c r="A2013" s="11"/>
      <c r="B2013" s="11"/>
      <c r="C2013" s="11"/>
      <c r="D2013" s="11"/>
      <c r="E2013" s="12"/>
      <c r="F2013" s="13"/>
      <c r="G2013" s="13"/>
      <c r="H2013" s="13"/>
      <c r="I2013" s="11"/>
      <c r="J2013" s="11"/>
      <c r="K2013" s="11"/>
      <c r="L2013" s="11"/>
      <c r="M2013" s="15"/>
      <c r="N2013" s="15"/>
      <c r="O2013" s="15"/>
      <c r="P2013" s="15"/>
      <c r="Q2013" s="16"/>
      <c r="R2013" s="16"/>
      <c r="S2013" s="16"/>
      <c r="T2013" s="17"/>
      <c r="U2013" s="11"/>
      <c r="V2013" s="16"/>
      <c r="W2013" s="11"/>
      <c r="X2013" s="11"/>
      <c r="Y2013" s="15"/>
      <c r="Z2013" s="11"/>
    </row>
    <row r="2014" spans="1:26" x14ac:dyDescent="0.25">
      <c r="A2014" s="11"/>
      <c r="B2014" s="11"/>
      <c r="C2014" s="11"/>
      <c r="D2014" s="11"/>
      <c r="E2014" s="12"/>
      <c r="F2014" s="13"/>
      <c r="G2014" s="13"/>
      <c r="H2014" s="13"/>
      <c r="I2014" s="11"/>
      <c r="J2014" s="11"/>
      <c r="K2014" s="11"/>
      <c r="L2014" s="11"/>
      <c r="M2014" s="15"/>
      <c r="N2014" s="15"/>
      <c r="O2014" s="15"/>
      <c r="P2014" s="15"/>
      <c r="Q2014" s="16"/>
      <c r="R2014" s="16"/>
      <c r="S2014" s="16"/>
      <c r="T2014" s="17"/>
      <c r="U2014" s="11"/>
      <c r="V2014" s="16"/>
      <c r="W2014" s="11"/>
      <c r="X2014" s="11"/>
      <c r="Y2014" s="15"/>
      <c r="Z2014" s="11"/>
    </row>
    <row r="2015" spans="1:26" x14ac:dyDescent="0.25">
      <c r="A2015" s="11"/>
      <c r="B2015" s="11"/>
      <c r="C2015" s="11"/>
      <c r="D2015" s="11"/>
      <c r="E2015" s="12"/>
      <c r="F2015" s="13"/>
      <c r="G2015" s="13"/>
      <c r="H2015" s="13"/>
      <c r="I2015" s="11"/>
      <c r="J2015" s="11"/>
      <c r="K2015" s="11"/>
      <c r="L2015" s="11"/>
      <c r="M2015" s="15"/>
      <c r="N2015" s="15"/>
      <c r="O2015" s="15"/>
      <c r="P2015" s="15"/>
      <c r="Q2015" s="16"/>
      <c r="R2015" s="16"/>
      <c r="S2015" s="16"/>
      <c r="T2015" s="17"/>
      <c r="U2015" s="11"/>
      <c r="V2015" s="16"/>
      <c r="W2015" s="11"/>
      <c r="X2015" s="11"/>
      <c r="Y2015" s="15"/>
      <c r="Z2015" s="11"/>
    </row>
    <row r="2016" spans="1:26" x14ac:dyDescent="0.25">
      <c r="A2016" s="11"/>
      <c r="B2016" s="11"/>
      <c r="C2016" s="11"/>
      <c r="D2016" s="11"/>
      <c r="E2016" s="12"/>
      <c r="F2016" s="13"/>
      <c r="G2016" s="13"/>
      <c r="H2016" s="13"/>
      <c r="I2016" s="11"/>
      <c r="J2016" s="11"/>
      <c r="K2016" s="11"/>
      <c r="L2016" s="11"/>
      <c r="M2016" s="15"/>
      <c r="N2016" s="15"/>
      <c r="O2016" s="15"/>
      <c r="P2016" s="15"/>
      <c r="Q2016" s="16"/>
      <c r="R2016" s="16"/>
      <c r="S2016" s="16"/>
      <c r="T2016" s="17"/>
      <c r="U2016" s="11"/>
      <c r="V2016" s="16"/>
      <c r="W2016" s="11"/>
      <c r="X2016" s="11"/>
      <c r="Y2016" s="15"/>
      <c r="Z2016" s="11"/>
    </row>
    <row r="2017" spans="1:26" x14ac:dyDescent="0.25">
      <c r="A2017" s="11"/>
      <c r="B2017" s="11"/>
      <c r="C2017" s="11"/>
      <c r="D2017" s="11"/>
      <c r="E2017" s="12"/>
      <c r="F2017" s="13"/>
      <c r="G2017" s="13"/>
      <c r="H2017" s="13"/>
      <c r="I2017" s="11"/>
      <c r="J2017" s="11"/>
      <c r="K2017" s="11"/>
      <c r="L2017" s="11"/>
      <c r="M2017" s="15"/>
      <c r="N2017" s="15"/>
      <c r="O2017" s="15"/>
      <c r="P2017" s="15"/>
      <c r="Q2017" s="16"/>
      <c r="R2017" s="16"/>
      <c r="S2017" s="16"/>
      <c r="T2017" s="17"/>
      <c r="U2017" s="11"/>
      <c r="V2017" s="16"/>
      <c r="W2017" s="11"/>
      <c r="X2017" s="11"/>
      <c r="Y2017" s="15"/>
      <c r="Z2017" s="11"/>
    </row>
    <row r="2018" spans="1:26" x14ac:dyDescent="0.25">
      <c r="A2018" s="18"/>
      <c r="B2018" s="18"/>
      <c r="C2018" s="18"/>
      <c r="D2018" s="18"/>
      <c r="E2018" s="19"/>
      <c r="F2018" s="20"/>
      <c r="G2018" s="13"/>
      <c r="H2018" s="20"/>
      <c r="I2018" s="18"/>
      <c r="J2018" s="18"/>
      <c r="K2018" s="18"/>
      <c r="L2018" s="18"/>
      <c r="M2018" s="21"/>
      <c r="N2018" s="21"/>
      <c r="O2018" s="21"/>
      <c r="P2018" s="21"/>
      <c r="Q2018" s="22"/>
      <c r="R2018" s="19"/>
      <c r="S2018" s="22"/>
      <c r="T2018" s="23"/>
      <c r="U2018" s="18"/>
      <c r="V2018" s="22"/>
      <c r="W2018" s="18"/>
      <c r="X2018" s="18"/>
      <c r="Y2018" s="21"/>
      <c r="Z2018" s="18"/>
    </row>
    <row r="2019" spans="1:26" x14ac:dyDescent="0.25">
      <c r="A2019" s="11"/>
      <c r="B2019" s="11"/>
      <c r="C2019" s="11"/>
      <c r="D2019" s="11"/>
      <c r="E2019" s="12"/>
      <c r="F2019" s="13"/>
      <c r="G2019" s="13"/>
      <c r="H2019" s="13"/>
      <c r="I2019" s="11"/>
      <c r="J2019" s="11"/>
      <c r="K2019" s="11"/>
      <c r="L2019" s="11"/>
      <c r="M2019" s="15"/>
      <c r="N2019" s="15"/>
      <c r="O2019" s="15"/>
      <c r="P2019" s="15"/>
      <c r="Q2019" s="16"/>
      <c r="R2019" s="16"/>
      <c r="S2019" s="16"/>
      <c r="T2019" s="17"/>
      <c r="U2019" s="11"/>
      <c r="V2019" s="16"/>
      <c r="W2019" s="11"/>
      <c r="X2019" s="11"/>
      <c r="Y2019" s="15"/>
      <c r="Z2019" s="11"/>
    </row>
    <row r="2020" spans="1:26" x14ac:dyDescent="0.25">
      <c r="A2020" s="11"/>
      <c r="B2020" s="11"/>
      <c r="C2020" s="11"/>
      <c r="D2020" s="11"/>
      <c r="E2020" s="12"/>
      <c r="F2020" s="13"/>
      <c r="G2020" s="13"/>
      <c r="H2020" s="13"/>
      <c r="I2020" s="11"/>
      <c r="J2020" s="11"/>
      <c r="K2020" s="11"/>
      <c r="L2020" s="11"/>
      <c r="M2020" s="15"/>
      <c r="N2020" s="15"/>
      <c r="O2020" s="15"/>
      <c r="P2020" s="15"/>
      <c r="Q2020" s="16"/>
      <c r="R2020" s="16"/>
      <c r="S2020" s="16"/>
      <c r="T2020" s="17"/>
      <c r="U2020" s="11"/>
      <c r="V2020" s="16"/>
      <c r="W2020" s="11"/>
      <c r="X2020" s="11"/>
      <c r="Y2020" s="15"/>
      <c r="Z2020" s="11"/>
    </row>
    <row r="2021" spans="1:26" x14ac:dyDescent="0.25">
      <c r="A2021" s="11"/>
      <c r="B2021" s="11"/>
      <c r="C2021" s="11"/>
      <c r="D2021" s="11"/>
      <c r="E2021" s="12"/>
      <c r="F2021" s="13"/>
      <c r="G2021" s="13"/>
      <c r="H2021" s="13"/>
      <c r="I2021" s="11"/>
      <c r="J2021" s="11"/>
      <c r="K2021" s="11"/>
      <c r="L2021" s="11"/>
      <c r="M2021" s="15"/>
      <c r="N2021" s="15"/>
      <c r="O2021" s="15"/>
      <c r="P2021" s="15"/>
      <c r="Q2021" s="16"/>
      <c r="R2021" s="16"/>
      <c r="S2021" s="16"/>
      <c r="T2021" s="17"/>
      <c r="U2021" s="11"/>
      <c r="V2021" s="16"/>
      <c r="W2021" s="11"/>
      <c r="X2021" s="11"/>
      <c r="Y2021" s="15"/>
      <c r="Z2021" s="11"/>
    </row>
    <row r="2022" spans="1:26" x14ac:dyDescent="0.25">
      <c r="A2022" s="11"/>
      <c r="B2022" s="11"/>
      <c r="C2022" s="11"/>
      <c r="D2022" s="11"/>
      <c r="E2022" s="12"/>
      <c r="F2022" s="13"/>
      <c r="G2022" s="13"/>
      <c r="H2022" s="13"/>
      <c r="I2022" s="11"/>
      <c r="J2022" s="11"/>
      <c r="K2022" s="11"/>
      <c r="L2022" s="11"/>
      <c r="M2022" s="15"/>
      <c r="N2022" s="15"/>
      <c r="O2022" s="15"/>
      <c r="P2022" s="15"/>
      <c r="Q2022" s="16"/>
      <c r="R2022" s="16"/>
      <c r="S2022" s="16"/>
      <c r="T2022" s="17"/>
      <c r="U2022" s="11"/>
      <c r="V2022" s="16"/>
      <c r="W2022" s="11"/>
      <c r="X2022" s="11"/>
      <c r="Y2022" s="15"/>
      <c r="Z2022" s="11"/>
    </row>
    <row r="2023" spans="1:26" x14ac:dyDescent="0.25">
      <c r="A2023" s="11"/>
      <c r="B2023" s="11"/>
      <c r="C2023" s="11"/>
      <c r="D2023" s="11"/>
      <c r="E2023" s="12"/>
      <c r="F2023" s="13"/>
      <c r="G2023" s="13"/>
      <c r="H2023" s="13"/>
      <c r="I2023" s="11"/>
      <c r="J2023" s="11"/>
      <c r="K2023" s="11"/>
      <c r="L2023" s="11"/>
      <c r="M2023" s="15"/>
      <c r="N2023" s="15"/>
      <c r="O2023" s="15"/>
      <c r="P2023" s="15"/>
      <c r="Q2023" s="16"/>
      <c r="R2023" s="16"/>
      <c r="S2023" s="16"/>
      <c r="T2023" s="17"/>
      <c r="U2023" s="11"/>
      <c r="V2023" s="16"/>
      <c r="W2023" s="11"/>
      <c r="X2023" s="11"/>
      <c r="Y2023" s="15"/>
      <c r="Z2023" s="11"/>
    </row>
    <row r="2024" spans="1:26" x14ac:dyDescent="0.25">
      <c r="A2024" s="19"/>
      <c r="B2024" s="19"/>
      <c r="C2024" s="19"/>
      <c r="D2024" s="19"/>
      <c r="E2024" s="19"/>
      <c r="F2024" s="20"/>
      <c r="G2024" s="13"/>
      <c r="H2024" s="20"/>
      <c r="I2024" s="19"/>
      <c r="J2024" s="19"/>
      <c r="K2024" s="19"/>
      <c r="L2024" s="19"/>
      <c r="M2024" s="21"/>
      <c r="N2024" s="21"/>
      <c r="O2024" s="21"/>
      <c r="P2024" s="21"/>
      <c r="Q2024" s="22"/>
      <c r="R2024" s="19"/>
      <c r="S2024" s="22"/>
      <c r="T2024" s="23"/>
      <c r="U2024" s="19"/>
      <c r="V2024" s="22"/>
      <c r="W2024" s="19"/>
      <c r="X2024" s="19"/>
      <c r="Y2024" s="21"/>
      <c r="Z2024" s="19"/>
    </row>
    <row r="2025" spans="1:26" x14ac:dyDescent="0.25">
      <c r="A2025" s="11"/>
      <c r="B2025" s="11"/>
      <c r="C2025" s="11"/>
      <c r="D2025" s="11"/>
      <c r="E2025" s="12"/>
      <c r="F2025" s="13"/>
      <c r="G2025" s="13"/>
      <c r="H2025" s="13"/>
      <c r="I2025" s="11"/>
      <c r="J2025" s="11"/>
      <c r="K2025" s="11"/>
      <c r="L2025" s="11"/>
      <c r="M2025" s="15"/>
      <c r="N2025" s="15"/>
      <c r="O2025" s="15"/>
      <c r="P2025" s="15"/>
      <c r="Q2025" s="16"/>
      <c r="R2025" s="16"/>
      <c r="S2025" s="16"/>
      <c r="T2025" s="17"/>
      <c r="U2025" s="11"/>
      <c r="V2025" s="16"/>
      <c r="W2025" s="11"/>
      <c r="X2025" s="11"/>
      <c r="Y2025" s="15"/>
      <c r="Z2025" s="11"/>
    </row>
    <row r="2026" spans="1:26" x14ac:dyDescent="0.25">
      <c r="A2026" s="11"/>
      <c r="B2026" s="11"/>
      <c r="C2026" s="11"/>
      <c r="D2026" s="11"/>
      <c r="E2026" s="12"/>
      <c r="F2026" s="13"/>
      <c r="G2026" s="13"/>
      <c r="H2026" s="13"/>
      <c r="I2026" s="11"/>
      <c r="J2026" s="11"/>
      <c r="K2026" s="11"/>
      <c r="L2026" s="11"/>
      <c r="M2026" s="15"/>
      <c r="N2026" s="15"/>
      <c r="O2026" s="15"/>
      <c r="P2026" s="15"/>
      <c r="Q2026" s="16"/>
      <c r="R2026" s="16"/>
      <c r="S2026" s="16"/>
      <c r="T2026" s="17"/>
      <c r="U2026" s="11"/>
      <c r="V2026" s="16"/>
      <c r="W2026" s="11"/>
      <c r="X2026" s="11"/>
      <c r="Y2026" s="15"/>
      <c r="Z2026" s="11"/>
    </row>
    <row r="2027" spans="1:26" x14ac:dyDescent="0.25">
      <c r="A2027" s="11"/>
      <c r="B2027" s="11"/>
      <c r="C2027" s="11"/>
      <c r="D2027" s="11"/>
      <c r="E2027" s="12"/>
      <c r="F2027" s="13"/>
      <c r="G2027" s="13"/>
      <c r="H2027" s="13"/>
      <c r="I2027" s="11"/>
      <c r="J2027" s="11"/>
      <c r="K2027" s="11"/>
      <c r="L2027" s="11"/>
      <c r="M2027" s="15"/>
      <c r="N2027" s="15"/>
      <c r="O2027" s="15"/>
      <c r="P2027" s="15"/>
      <c r="Q2027" s="16"/>
      <c r="R2027" s="16"/>
      <c r="S2027" s="16"/>
      <c r="T2027" s="17"/>
      <c r="U2027" s="11"/>
      <c r="V2027" s="16"/>
      <c r="W2027" s="11"/>
      <c r="X2027" s="11"/>
      <c r="Y2027" s="15"/>
      <c r="Z2027" s="11"/>
    </row>
    <row r="2028" spans="1:26" x14ac:dyDescent="0.25">
      <c r="A2028" s="11"/>
      <c r="B2028" s="11"/>
      <c r="C2028" s="11"/>
      <c r="D2028" s="11"/>
      <c r="E2028" s="12"/>
      <c r="F2028" s="13"/>
      <c r="G2028" s="13"/>
      <c r="H2028" s="13"/>
      <c r="I2028" s="11"/>
      <c r="J2028" s="11"/>
      <c r="K2028" s="11"/>
      <c r="L2028" s="11"/>
      <c r="M2028" s="15"/>
      <c r="N2028" s="15"/>
      <c r="O2028" s="15"/>
      <c r="P2028" s="15"/>
      <c r="Q2028" s="16"/>
      <c r="R2028" s="16"/>
      <c r="S2028" s="16"/>
      <c r="T2028" s="17"/>
      <c r="U2028" s="11"/>
      <c r="V2028" s="16"/>
      <c r="W2028" s="11"/>
      <c r="X2028" s="11"/>
      <c r="Y2028" s="15"/>
      <c r="Z2028" s="11"/>
    </row>
    <row r="2029" spans="1:26" x14ac:dyDescent="0.25">
      <c r="A2029" s="11"/>
      <c r="B2029" s="11"/>
      <c r="C2029" s="11"/>
      <c r="D2029" s="11"/>
      <c r="E2029" s="12"/>
      <c r="F2029" s="13"/>
      <c r="G2029" s="13"/>
      <c r="H2029" s="13"/>
      <c r="I2029" s="11"/>
      <c r="J2029" s="11"/>
      <c r="K2029" s="11"/>
      <c r="L2029" s="11"/>
      <c r="M2029" s="15"/>
      <c r="N2029" s="15"/>
      <c r="O2029" s="15"/>
      <c r="P2029" s="15"/>
      <c r="Q2029" s="16"/>
      <c r="R2029" s="16"/>
      <c r="S2029" s="16"/>
      <c r="T2029" s="17"/>
      <c r="U2029" s="11"/>
      <c r="V2029" s="16"/>
      <c r="W2029" s="11"/>
      <c r="X2029" s="11"/>
      <c r="Y2029" s="15"/>
      <c r="Z2029" s="11"/>
    </row>
    <row r="2030" spans="1:26" x14ac:dyDescent="0.25">
      <c r="A2030" s="18"/>
      <c r="B2030" s="18"/>
      <c r="C2030" s="18"/>
      <c r="D2030" s="18"/>
      <c r="E2030" s="19"/>
      <c r="F2030" s="20"/>
      <c r="G2030" s="13"/>
      <c r="H2030" s="20"/>
      <c r="I2030" s="18"/>
      <c r="J2030" s="18"/>
      <c r="K2030" s="18"/>
      <c r="L2030" s="18"/>
      <c r="M2030" s="21"/>
      <c r="N2030" s="21"/>
      <c r="O2030" s="21"/>
      <c r="P2030" s="21"/>
      <c r="Q2030" s="22"/>
      <c r="R2030" s="19"/>
      <c r="S2030" s="22"/>
      <c r="T2030" s="23"/>
      <c r="U2030" s="18"/>
      <c r="V2030" s="22"/>
      <c r="W2030" s="18"/>
      <c r="X2030" s="18"/>
      <c r="Y2030" s="21"/>
      <c r="Z2030" s="18"/>
    </row>
    <row r="2031" spans="1:26" x14ac:dyDescent="0.25">
      <c r="A2031" s="18"/>
      <c r="B2031" s="18"/>
      <c r="C2031" s="18"/>
      <c r="D2031" s="18"/>
      <c r="E2031" s="19"/>
      <c r="F2031" s="20"/>
      <c r="G2031" s="13"/>
      <c r="H2031" s="20"/>
      <c r="I2031" s="18"/>
      <c r="J2031" s="18"/>
      <c r="K2031" s="18"/>
      <c r="L2031" s="18"/>
      <c r="M2031" s="21"/>
      <c r="N2031" s="21"/>
      <c r="O2031" s="21"/>
      <c r="P2031" s="21"/>
      <c r="Q2031" s="22"/>
      <c r="R2031" s="19"/>
      <c r="S2031" s="22"/>
      <c r="T2031" s="23"/>
      <c r="U2031" s="18"/>
      <c r="V2031" s="22"/>
      <c r="W2031" s="18"/>
      <c r="X2031" s="18"/>
      <c r="Y2031" s="21"/>
      <c r="Z2031" s="18"/>
    </row>
    <row r="2032" spans="1:26" x14ac:dyDescent="0.25">
      <c r="A2032" s="19"/>
      <c r="B2032" s="19"/>
      <c r="C2032" s="19"/>
      <c r="D2032" s="19"/>
      <c r="E2032" s="19"/>
      <c r="F2032" s="20"/>
      <c r="G2032" s="13"/>
      <c r="H2032" s="20"/>
      <c r="I2032" s="19"/>
      <c r="J2032" s="19"/>
      <c r="K2032" s="19"/>
      <c r="L2032" s="19"/>
      <c r="M2032" s="21"/>
      <c r="N2032" s="21"/>
      <c r="O2032" s="21"/>
      <c r="P2032" s="21"/>
      <c r="Q2032" s="22"/>
      <c r="R2032" s="19"/>
      <c r="S2032" s="22"/>
      <c r="T2032" s="23"/>
      <c r="U2032" s="19"/>
      <c r="V2032" s="22"/>
      <c r="W2032" s="19"/>
      <c r="X2032" s="19"/>
      <c r="Y2032" s="21"/>
      <c r="Z2032" s="19"/>
    </row>
    <row r="2033" spans="1:26" x14ac:dyDescent="0.25">
      <c r="A2033" s="11"/>
      <c r="B2033" s="11"/>
      <c r="C2033" s="11"/>
      <c r="D2033" s="11"/>
      <c r="E2033" s="12"/>
      <c r="F2033" s="13"/>
      <c r="G2033" s="13"/>
      <c r="H2033" s="13"/>
      <c r="I2033" s="11"/>
      <c r="J2033" s="11"/>
      <c r="K2033" s="11"/>
      <c r="L2033" s="11"/>
      <c r="M2033" s="15"/>
      <c r="N2033" s="15"/>
      <c r="O2033" s="15"/>
      <c r="P2033" s="15"/>
      <c r="Q2033" s="16"/>
      <c r="R2033" s="16"/>
      <c r="S2033" s="16"/>
      <c r="T2033" s="17"/>
      <c r="U2033" s="11"/>
      <c r="V2033" s="16"/>
      <c r="W2033" s="11"/>
      <c r="X2033" s="11"/>
      <c r="Y2033" s="15"/>
      <c r="Z2033" s="11"/>
    </row>
    <row r="2034" spans="1:26" x14ac:dyDescent="0.25">
      <c r="A2034" s="11"/>
      <c r="B2034" s="11"/>
      <c r="C2034" s="11"/>
      <c r="D2034" s="11"/>
      <c r="E2034" s="12"/>
      <c r="F2034" s="13"/>
      <c r="G2034" s="13"/>
      <c r="H2034" s="13"/>
      <c r="I2034" s="11"/>
      <c r="J2034" s="11"/>
      <c r="K2034" s="11"/>
      <c r="L2034" s="11"/>
      <c r="M2034" s="15"/>
      <c r="N2034" s="15"/>
      <c r="O2034" s="15"/>
      <c r="P2034" s="15"/>
      <c r="Q2034" s="16"/>
      <c r="R2034" s="16"/>
      <c r="S2034" s="16"/>
      <c r="T2034" s="17"/>
      <c r="U2034" s="11"/>
      <c r="V2034" s="16"/>
      <c r="W2034" s="11"/>
      <c r="X2034" s="11"/>
      <c r="Y2034" s="15"/>
      <c r="Z2034" s="11"/>
    </row>
    <row r="2035" spans="1:26" x14ac:dyDescent="0.25">
      <c r="A2035" s="11"/>
      <c r="B2035" s="11"/>
      <c r="C2035" s="11"/>
      <c r="D2035" s="11"/>
      <c r="E2035" s="12"/>
      <c r="F2035" s="13"/>
      <c r="G2035" s="13"/>
      <c r="H2035" s="13"/>
      <c r="I2035" s="11"/>
      <c r="J2035" s="11"/>
      <c r="K2035" s="11"/>
      <c r="L2035" s="11"/>
      <c r="M2035" s="15"/>
      <c r="N2035" s="15"/>
      <c r="O2035" s="15"/>
      <c r="P2035" s="15"/>
      <c r="Q2035" s="16"/>
      <c r="R2035" s="16"/>
      <c r="S2035" s="16"/>
      <c r="T2035" s="17"/>
      <c r="U2035" s="11"/>
      <c r="V2035" s="16"/>
      <c r="W2035" s="11"/>
      <c r="X2035" s="11"/>
      <c r="Y2035" s="15"/>
      <c r="Z2035" s="11"/>
    </row>
    <row r="2036" spans="1:26" x14ac:dyDescent="0.25">
      <c r="A2036" s="11"/>
      <c r="B2036" s="11"/>
      <c r="C2036" s="11"/>
      <c r="D2036" s="11"/>
      <c r="E2036" s="12"/>
      <c r="F2036" s="13"/>
      <c r="G2036" s="13"/>
      <c r="H2036" s="13"/>
      <c r="I2036" s="11"/>
      <c r="J2036" s="11"/>
      <c r="K2036" s="11"/>
      <c r="L2036" s="11"/>
      <c r="M2036" s="15"/>
      <c r="N2036" s="15"/>
      <c r="O2036" s="15"/>
      <c r="P2036" s="15"/>
      <c r="Q2036" s="16"/>
      <c r="R2036" s="16"/>
      <c r="S2036" s="16"/>
      <c r="T2036" s="17"/>
      <c r="U2036" s="11"/>
      <c r="V2036" s="16"/>
      <c r="W2036" s="11"/>
      <c r="X2036" s="11"/>
      <c r="Y2036" s="15"/>
      <c r="Z2036" s="11"/>
    </row>
    <row r="2037" spans="1:26" x14ac:dyDescent="0.25">
      <c r="A2037" s="11"/>
      <c r="B2037" s="11"/>
      <c r="C2037" s="11"/>
      <c r="D2037" s="11"/>
      <c r="E2037" s="12"/>
      <c r="F2037" s="13"/>
      <c r="G2037" s="13"/>
      <c r="H2037" s="13"/>
      <c r="I2037" s="11"/>
      <c r="J2037" s="11"/>
      <c r="K2037" s="11"/>
      <c r="L2037" s="11"/>
      <c r="M2037" s="15"/>
      <c r="N2037" s="15"/>
      <c r="O2037" s="15"/>
      <c r="P2037" s="15"/>
      <c r="Q2037" s="16"/>
      <c r="R2037" s="16"/>
      <c r="S2037" s="16"/>
      <c r="T2037" s="17"/>
      <c r="U2037" s="11"/>
      <c r="V2037" s="16"/>
      <c r="W2037" s="11"/>
      <c r="X2037" s="11"/>
      <c r="Y2037" s="15"/>
      <c r="Z2037" s="11"/>
    </row>
    <row r="2038" spans="1:26" x14ac:dyDescent="0.25">
      <c r="A2038" s="11"/>
      <c r="B2038" s="11"/>
      <c r="C2038" s="11"/>
      <c r="D2038" s="11"/>
      <c r="E2038" s="12"/>
      <c r="F2038" s="13"/>
      <c r="G2038" s="13"/>
      <c r="H2038" s="13"/>
      <c r="I2038" s="11"/>
      <c r="J2038" s="11"/>
      <c r="K2038" s="11"/>
      <c r="L2038" s="11"/>
      <c r="M2038" s="15"/>
      <c r="N2038" s="15"/>
      <c r="O2038" s="15"/>
      <c r="P2038" s="15"/>
      <c r="Q2038" s="16"/>
      <c r="R2038" s="16"/>
      <c r="S2038" s="16"/>
      <c r="T2038" s="17"/>
      <c r="U2038" s="11"/>
      <c r="V2038" s="16"/>
      <c r="W2038" s="11"/>
      <c r="X2038" s="11"/>
      <c r="Y2038" s="15"/>
      <c r="Z2038" s="11"/>
    </row>
    <row r="2039" spans="1:26" x14ac:dyDescent="0.25">
      <c r="A2039" s="11"/>
      <c r="B2039" s="11"/>
      <c r="C2039" s="11"/>
      <c r="D2039" s="11"/>
      <c r="E2039" s="12"/>
      <c r="F2039" s="13"/>
      <c r="G2039" s="13"/>
      <c r="H2039" s="13"/>
      <c r="I2039" s="11"/>
      <c r="J2039" s="11"/>
      <c r="K2039" s="11"/>
      <c r="L2039" s="11"/>
      <c r="M2039" s="15"/>
      <c r="N2039" s="15"/>
      <c r="O2039" s="15"/>
      <c r="P2039" s="15"/>
      <c r="Q2039" s="16"/>
      <c r="R2039" s="16"/>
      <c r="S2039" s="16"/>
      <c r="T2039" s="17"/>
      <c r="U2039" s="11"/>
      <c r="V2039" s="16"/>
      <c r="W2039" s="11"/>
      <c r="X2039" s="11"/>
      <c r="Y2039" s="15"/>
      <c r="Z2039" s="11"/>
    </row>
    <row r="2040" spans="1:26" x14ac:dyDescent="0.25">
      <c r="A2040" s="11"/>
      <c r="B2040" s="11"/>
      <c r="C2040" s="11"/>
      <c r="D2040" s="11"/>
      <c r="E2040" s="12"/>
      <c r="F2040" s="13"/>
      <c r="G2040" s="13"/>
      <c r="H2040" s="13"/>
      <c r="I2040" s="11"/>
      <c r="J2040" s="11"/>
      <c r="K2040" s="11"/>
      <c r="L2040" s="11"/>
      <c r="M2040" s="15"/>
      <c r="N2040" s="15"/>
      <c r="O2040" s="15"/>
      <c r="P2040" s="15"/>
      <c r="Q2040" s="16"/>
      <c r="R2040" s="16"/>
      <c r="S2040" s="16"/>
      <c r="T2040" s="17"/>
      <c r="U2040" s="11"/>
      <c r="V2040" s="16"/>
      <c r="W2040" s="11"/>
      <c r="X2040" s="11"/>
      <c r="Y2040" s="15"/>
      <c r="Z2040" s="11"/>
    </row>
    <row r="2041" spans="1:26" x14ac:dyDescent="0.25">
      <c r="A2041" s="11"/>
      <c r="B2041" s="11"/>
      <c r="C2041" s="11"/>
      <c r="D2041" s="11"/>
      <c r="E2041" s="12"/>
      <c r="F2041" s="13"/>
      <c r="G2041" s="13"/>
      <c r="H2041" s="13"/>
      <c r="I2041" s="11"/>
      <c r="J2041" s="11"/>
      <c r="K2041" s="11"/>
      <c r="L2041" s="11"/>
      <c r="M2041" s="15"/>
      <c r="N2041" s="15"/>
      <c r="O2041" s="15"/>
      <c r="P2041" s="15"/>
      <c r="Q2041" s="16"/>
      <c r="R2041" s="16"/>
      <c r="S2041" s="16"/>
      <c r="T2041" s="17"/>
      <c r="U2041" s="11"/>
      <c r="V2041" s="16"/>
      <c r="W2041" s="11"/>
      <c r="X2041" s="11"/>
      <c r="Y2041" s="15"/>
      <c r="Z2041" s="11"/>
    </row>
    <row r="2042" spans="1:26" x14ac:dyDescent="0.25">
      <c r="A2042" s="11"/>
      <c r="B2042" s="11"/>
      <c r="C2042" s="11"/>
      <c r="D2042" s="11"/>
      <c r="E2042" s="12"/>
      <c r="F2042" s="13"/>
      <c r="G2042" s="13"/>
      <c r="H2042" s="13"/>
      <c r="I2042" s="11"/>
      <c r="J2042" s="11"/>
      <c r="K2042" s="11"/>
      <c r="L2042" s="11"/>
      <c r="M2042" s="15"/>
      <c r="N2042" s="15"/>
      <c r="O2042" s="15"/>
      <c r="P2042" s="15"/>
      <c r="Q2042" s="16"/>
      <c r="R2042" s="16"/>
      <c r="S2042" s="16"/>
      <c r="T2042" s="17"/>
      <c r="U2042" s="11"/>
      <c r="V2042" s="16"/>
      <c r="W2042" s="11"/>
      <c r="X2042" s="11"/>
      <c r="Y2042" s="15"/>
      <c r="Z2042" s="11"/>
    </row>
    <row r="2043" spans="1:26" x14ac:dyDescent="0.25">
      <c r="A2043" s="11"/>
      <c r="B2043" s="11"/>
      <c r="C2043" s="11"/>
      <c r="D2043" s="11"/>
      <c r="E2043" s="12"/>
      <c r="F2043" s="13"/>
      <c r="G2043" s="13"/>
      <c r="H2043" s="13"/>
      <c r="I2043" s="11"/>
      <c r="J2043" s="11"/>
      <c r="K2043" s="11"/>
      <c r="L2043" s="11"/>
      <c r="M2043" s="15"/>
      <c r="N2043" s="15"/>
      <c r="O2043" s="15"/>
      <c r="P2043" s="15"/>
      <c r="Q2043" s="16"/>
      <c r="R2043" s="16"/>
      <c r="S2043" s="16"/>
      <c r="T2043" s="17"/>
      <c r="U2043" s="11"/>
      <c r="V2043" s="16"/>
      <c r="W2043" s="11"/>
      <c r="X2043" s="11"/>
      <c r="Y2043" s="15"/>
      <c r="Z2043" s="11"/>
    </row>
    <row r="2044" spans="1:26" x14ac:dyDescent="0.25">
      <c r="A2044" s="11"/>
      <c r="B2044" s="11"/>
      <c r="C2044" s="11"/>
      <c r="D2044" s="11"/>
      <c r="E2044" s="12"/>
      <c r="F2044" s="13"/>
      <c r="G2044" s="13"/>
      <c r="H2044" s="13"/>
      <c r="I2044" s="11"/>
      <c r="J2044" s="11"/>
      <c r="K2044" s="11"/>
      <c r="L2044" s="11"/>
      <c r="M2044" s="15"/>
      <c r="N2044" s="15"/>
      <c r="O2044" s="15"/>
      <c r="P2044" s="15"/>
      <c r="Q2044" s="16"/>
      <c r="R2044" s="16"/>
      <c r="S2044" s="16"/>
      <c r="T2044" s="17"/>
      <c r="U2044" s="11"/>
      <c r="V2044" s="16"/>
      <c r="W2044" s="11"/>
      <c r="X2044" s="11"/>
      <c r="Y2044" s="15"/>
      <c r="Z2044" s="11"/>
    </row>
    <row r="2045" spans="1:26" x14ac:dyDescent="0.25">
      <c r="A2045" s="11"/>
      <c r="B2045" s="11"/>
      <c r="C2045" s="11"/>
      <c r="D2045" s="11"/>
      <c r="E2045" s="12"/>
      <c r="F2045" s="13"/>
      <c r="G2045" s="13"/>
      <c r="H2045" s="13"/>
      <c r="I2045" s="11"/>
      <c r="J2045" s="11"/>
      <c r="K2045" s="11"/>
      <c r="L2045" s="11"/>
      <c r="M2045" s="15"/>
      <c r="N2045" s="15"/>
      <c r="O2045" s="15"/>
      <c r="P2045" s="15"/>
      <c r="Q2045" s="16"/>
      <c r="R2045" s="16"/>
      <c r="S2045" s="16"/>
      <c r="T2045" s="17"/>
      <c r="U2045" s="11"/>
      <c r="V2045" s="16"/>
      <c r="W2045" s="11"/>
      <c r="X2045" s="11"/>
      <c r="Y2045" s="15"/>
      <c r="Z2045" s="11"/>
    </row>
    <row r="2046" spans="1:26" x14ac:dyDescent="0.25">
      <c r="A2046" s="11"/>
      <c r="B2046" s="11"/>
      <c r="C2046" s="11"/>
      <c r="D2046" s="11"/>
      <c r="E2046" s="12"/>
      <c r="F2046" s="13"/>
      <c r="G2046" s="13"/>
      <c r="H2046" s="13"/>
      <c r="I2046" s="11"/>
      <c r="J2046" s="11"/>
      <c r="K2046" s="11"/>
      <c r="L2046" s="11"/>
      <c r="M2046" s="15"/>
      <c r="N2046" s="15"/>
      <c r="O2046" s="15"/>
      <c r="P2046" s="15"/>
      <c r="Q2046" s="16"/>
      <c r="R2046" s="16"/>
      <c r="S2046" s="16"/>
      <c r="T2046" s="17"/>
      <c r="U2046" s="11"/>
      <c r="V2046" s="16"/>
      <c r="W2046" s="11"/>
      <c r="X2046" s="11"/>
      <c r="Y2046" s="15"/>
      <c r="Z2046" s="11"/>
    </row>
    <row r="2047" spans="1:26" x14ac:dyDescent="0.25">
      <c r="A2047" s="11"/>
      <c r="B2047" s="11"/>
      <c r="C2047" s="11"/>
      <c r="D2047" s="11"/>
      <c r="E2047" s="12"/>
      <c r="F2047" s="13"/>
      <c r="G2047" s="13"/>
      <c r="H2047" s="13"/>
      <c r="I2047" s="11"/>
      <c r="J2047" s="11"/>
      <c r="K2047" s="11"/>
      <c r="L2047" s="11"/>
      <c r="M2047" s="15"/>
      <c r="N2047" s="15"/>
      <c r="O2047" s="15"/>
      <c r="P2047" s="15"/>
      <c r="Q2047" s="16"/>
      <c r="R2047" s="16"/>
      <c r="S2047" s="16"/>
      <c r="T2047" s="17"/>
      <c r="U2047" s="11"/>
      <c r="V2047" s="16"/>
      <c r="W2047" s="11"/>
      <c r="X2047" s="11"/>
      <c r="Y2047" s="15"/>
      <c r="Z2047" s="11"/>
    </row>
    <row r="2048" spans="1:26" x14ac:dyDescent="0.25">
      <c r="A2048" s="18"/>
      <c r="B2048" s="18"/>
      <c r="C2048" s="18"/>
      <c r="D2048" s="18"/>
      <c r="E2048" s="19"/>
      <c r="F2048" s="20"/>
      <c r="G2048" s="13"/>
      <c r="H2048" s="20"/>
      <c r="I2048" s="18"/>
      <c r="J2048" s="18"/>
      <c r="K2048" s="18"/>
      <c r="L2048" s="18"/>
      <c r="M2048" s="21"/>
      <c r="N2048" s="21"/>
      <c r="O2048" s="21"/>
      <c r="P2048" s="21"/>
      <c r="Q2048" s="22"/>
      <c r="R2048" s="19"/>
      <c r="S2048" s="22"/>
      <c r="T2048" s="23"/>
      <c r="U2048" s="18"/>
      <c r="V2048" s="22"/>
      <c r="W2048" s="18"/>
      <c r="X2048" s="18"/>
      <c r="Y2048" s="21"/>
      <c r="Z2048" s="18"/>
    </row>
    <row r="2049" spans="1:26" x14ac:dyDescent="0.25">
      <c r="A2049" s="11"/>
      <c r="B2049" s="11"/>
      <c r="C2049" s="11"/>
      <c r="D2049" s="11"/>
      <c r="E2049" s="12"/>
      <c r="F2049" s="13"/>
      <c r="G2049" s="13"/>
      <c r="H2049" s="13"/>
      <c r="I2049" s="11"/>
      <c r="J2049" s="11"/>
      <c r="K2049" s="11"/>
      <c r="L2049" s="11"/>
      <c r="M2049" s="15"/>
      <c r="N2049" s="15"/>
      <c r="O2049" s="15"/>
      <c r="P2049" s="15"/>
      <c r="Q2049" s="16"/>
      <c r="R2049" s="16"/>
      <c r="S2049" s="16"/>
      <c r="T2049" s="17"/>
      <c r="U2049" s="11"/>
      <c r="V2049" s="16"/>
      <c r="W2049" s="11"/>
      <c r="X2049" s="11"/>
      <c r="Y2049" s="15"/>
      <c r="Z2049" s="11"/>
    </row>
    <row r="2050" spans="1:26" x14ac:dyDescent="0.25">
      <c r="A2050" s="11"/>
      <c r="B2050" s="11"/>
      <c r="C2050" s="11"/>
      <c r="D2050" s="11"/>
      <c r="E2050" s="12"/>
      <c r="F2050" s="13"/>
      <c r="G2050" s="13"/>
      <c r="H2050" s="13"/>
      <c r="I2050" s="11"/>
      <c r="J2050" s="11"/>
      <c r="K2050" s="11"/>
      <c r="L2050" s="11"/>
      <c r="M2050" s="15"/>
      <c r="N2050" s="15"/>
      <c r="O2050" s="15"/>
      <c r="P2050" s="15"/>
      <c r="Q2050" s="16"/>
      <c r="R2050" s="16"/>
      <c r="S2050" s="16"/>
      <c r="T2050" s="17"/>
      <c r="U2050" s="11"/>
      <c r="V2050" s="16"/>
      <c r="W2050" s="11"/>
      <c r="X2050" s="11"/>
      <c r="Y2050" s="15"/>
      <c r="Z2050" s="11"/>
    </row>
    <row r="2051" spans="1:26" x14ac:dyDescent="0.25">
      <c r="A2051" s="11"/>
      <c r="B2051" s="11"/>
      <c r="C2051" s="11"/>
      <c r="D2051" s="11"/>
      <c r="E2051" s="12"/>
      <c r="F2051" s="13"/>
      <c r="G2051" s="13"/>
      <c r="H2051" s="13"/>
      <c r="I2051" s="11"/>
      <c r="J2051" s="11"/>
      <c r="K2051" s="11"/>
      <c r="L2051" s="11"/>
      <c r="M2051" s="15"/>
      <c r="N2051" s="15"/>
      <c r="O2051" s="15"/>
      <c r="P2051" s="15"/>
      <c r="Q2051" s="16"/>
      <c r="R2051" s="16"/>
      <c r="S2051" s="16"/>
      <c r="T2051" s="17"/>
      <c r="U2051" s="11"/>
      <c r="V2051" s="16"/>
      <c r="W2051" s="11"/>
      <c r="X2051" s="11"/>
      <c r="Y2051" s="15"/>
      <c r="Z2051" s="11"/>
    </row>
    <row r="2052" spans="1:26" x14ac:dyDescent="0.25">
      <c r="A2052" s="11"/>
      <c r="B2052" s="11"/>
      <c r="C2052" s="11"/>
      <c r="D2052" s="11"/>
      <c r="E2052" s="12"/>
      <c r="F2052" s="13"/>
      <c r="G2052" s="13"/>
      <c r="H2052" s="13"/>
      <c r="I2052" s="11"/>
      <c r="J2052" s="11"/>
      <c r="K2052" s="11"/>
      <c r="L2052" s="11"/>
      <c r="M2052" s="15"/>
      <c r="N2052" s="15"/>
      <c r="O2052" s="15"/>
      <c r="P2052" s="15"/>
      <c r="Q2052" s="16"/>
      <c r="R2052" s="16"/>
      <c r="S2052" s="16"/>
      <c r="T2052" s="17"/>
      <c r="U2052" s="11"/>
      <c r="V2052" s="16"/>
      <c r="W2052" s="11"/>
      <c r="X2052" s="11"/>
      <c r="Y2052" s="15"/>
      <c r="Z2052" s="11"/>
    </row>
    <row r="2053" spans="1:26" x14ac:dyDescent="0.25">
      <c r="A2053" s="11"/>
      <c r="B2053" s="11"/>
      <c r="C2053" s="11"/>
      <c r="D2053" s="11"/>
      <c r="E2053" s="12"/>
      <c r="F2053" s="13"/>
      <c r="G2053" s="13"/>
      <c r="H2053" s="13"/>
      <c r="I2053" s="11"/>
      <c r="J2053" s="11"/>
      <c r="K2053" s="11"/>
      <c r="L2053" s="11"/>
      <c r="M2053" s="15"/>
      <c r="N2053" s="15"/>
      <c r="O2053" s="15"/>
      <c r="P2053" s="15"/>
      <c r="Q2053" s="16"/>
      <c r="R2053" s="16"/>
      <c r="S2053" s="16"/>
      <c r="T2053" s="17"/>
      <c r="U2053" s="11"/>
      <c r="V2053" s="16"/>
      <c r="W2053" s="11"/>
      <c r="X2053" s="11"/>
      <c r="Y2053" s="15"/>
      <c r="Z2053" s="11"/>
    </row>
    <row r="2054" spans="1:26" x14ac:dyDescent="0.25">
      <c r="A2054" s="19"/>
      <c r="B2054" s="19"/>
      <c r="C2054" s="19"/>
      <c r="D2054" s="19"/>
      <c r="E2054" s="19"/>
      <c r="F2054" s="20"/>
      <c r="G2054" s="13"/>
      <c r="H2054" s="20"/>
      <c r="I2054" s="19"/>
      <c r="J2054" s="19"/>
      <c r="K2054" s="19"/>
      <c r="L2054" s="19"/>
      <c r="M2054" s="21"/>
      <c r="N2054" s="21"/>
      <c r="O2054" s="21"/>
      <c r="P2054" s="21"/>
      <c r="Q2054" s="22"/>
      <c r="R2054" s="19"/>
      <c r="S2054" s="22"/>
      <c r="T2054" s="23"/>
      <c r="U2054" s="19"/>
      <c r="V2054" s="22"/>
      <c r="W2054" s="19"/>
      <c r="X2054" s="19"/>
      <c r="Y2054" s="21"/>
      <c r="Z2054" s="19"/>
    </row>
    <row r="2055" spans="1:26" x14ac:dyDescent="0.25">
      <c r="A2055" s="19"/>
      <c r="B2055" s="19"/>
      <c r="C2055" s="19"/>
      <c r="D2055" s="19"/>
      <c r="E2055" s="19"/>
      <c r="F2055" s="20"/>
      <c r="G2055" s="13"/>
      <c r="H2055" s="20"/>
      <c r="I2055" s="19"/>
      <c r="J2055" s="19"/>
      <c r="K2055" s="19"/>
      <c r="L2055" s="19"/>
      <c r="M2055" s="21"/>
      <c r="N2055" s="21"/>
      <c r="O2055" s="21"/>
      <c r="P2055" s="21"/>
      <c r="Q2055" s="22"/>
      <c r="R2055" s="19"/>
      <c r="S2055" s="22"/>
      <c r="T2055" s="23"/>
      <c r="U2055" s="19"/>
      <c r="V2055" s="22"/>
      <c r="W2055" s="19"/>
      <c r="X2055" s="19"/>
      <c r="Y2055" s="21"/>
      <c r="Z2055" s="19"/>
    </row>
    <row r="2056" spans="1:26" x14ac:dyDescent="0.25">
      <c r="A2056" s="11"/>
      <c r="B2056" s="11"/>
      <c r="C2056" s="11"/>
      <c r="D2056" s="11"/>
      <c r="E2056" s="12"/>
      <c r="F2056" s="13"/>
      <c r="G2056" s="13"/>
      <c r="H2056" s="13"/>
      <c r="I2056" s="11"/>
      <c r="J2056" s="11"/>
      <c r="K2056" s="11"/>
      <c r="L2056" s="11"/>
      <c r="M2056" s="15"/>
      <c r="N2056" s="15"/>
      <c r="O2056" s="15"/>
      <c r="P2056" s="15"/>
      <c r="Q2056" s="16"/>
      <c r="R2056" s="16"/>
      <c r="S2056" s="16"/>
      <c r="T2056" s="17"/>
      <c r="U2056" s="11"/>
      <c r="V2056" s="16"/>
      <c r="W2056" s="11"/>
      <c r="X2056" s="11"/>
      <c r="Y2056" s="15"/>
      <c r="Z2056" s="11"/>
    </row>
    <row r="2057" spans="1:26" x14ac:dyDescent="0.25">
      <c r="A2057" s="11"/>
      <c r="B2057" s="11"/>
      <c r="C2057" s="11"/>
      <c r="D2057" s="11"/>
      <c r="E2057" s="12"/>
      <c r="F2057" s="13"/>
      <c r="G2057" s="13"/>
      <c r="H2057" s="13"/>
      <c r="I2057" s="11"/>
      <c r="J2057" s="11"/>
      <c r="K2057" s="11"/>
      <c r="L2057" s="11"/>
      <c r="M2057" s="15"/>
      <c r="N2057" s="15"/>
      <c r="O2057" s="15"/>
      <c r="P2057" s="15"/>
      <c r="Q2057" s="16"/>
      <c r="R2057" s="16"/>
      <c r="S2057" s="16"/>
      <c r="T2057" s="17"/>
      <c r="U2057" s="11"/>
      <c r="V2057" s="16"/>
      <c r="W2057" s="11"/>
      <c r="X2057" s="11"/>
      <c r="Y2057" s="15"/>
      <c r="Z2057" s="11"/>
    </row>
    <row r="2058" spans="1:26" x14ac:dyDescent="0.25">
      <c r="A2058" s="11"/>
      <c r="B2058" s="11"/>
      <c r="C2058" s="11"/>
      <c r="D2058" s="11"/>
      <c r="E2058" s="12"/>
      <c r="F2058" s="13"/>
      <c r="G2058" s="13"/>
      <c r="H2058" s="13"/>
      <c r="I2058" s="11"/>
      <c r="J2058" s="11"/>
      <c r="K2058" s="11"/>
      <c r="L2058" s="11"/>
      <c r="M2058" s="15"/>
      <c r="N2058" s="15"/>
      <c r="O2058" s="15"/>
      <c r="P2058" s="15"/>
      <c r="Q2058" s="16"/>
      <c r="R2058" s="16"/>
      <c r="S2058" s="16"/>
      <c r="T2058" s="17"/>
      <c r="U2058" s="11"/>
      <c r="V2058" s="16"/>
      <c r="W2058" s="11"/>
      <c r="X2058" s="11"/>
      <c r="Y2058" s="15"/>
      <c r="Z2058" s="11"/>
    </row>
    <row r="2059" spans="1:26" x14ac:dyDescent="0.25">
      <c r="A2059" s="11"/>
      <c r="B2059" s="11"/>
      <c r="C2059" s="11"/>
      <c r="D2059" s="11"/>
      <c r="E2059" s="12"/>
      <c r="F2059" s="13"/>
      <c r="G2059" s="13"/>
      <c r="H2059" s="13"/>
      <c r="I2059" s="11"/>
      <c r="J2059" s="11"/>
      <c r="K2059" s="11"/>
      <c r="L2059" s="11"/>
      <c r="M2059" s="15"/>
      <c r="N2059" s="15"/>
      <c r="O2059" s="15"/>
      <c r="P2059" s="15"/>
      <c r="Q2059" s="16"/>
      <c r="R2059" s="16"/>
      <c r="S2059" s="16"/>
      <c r="T2059" s="17"/>
      <c r="U2059" s="11"/>
      <c r="V2059" s="16"/>
      <c r="W2059" s="11"/>
      <c r="X2059" s="11"/>
      <c r="Y2059" s="15"/>
      <c r="Z2059" s="11"/>
    </row>
    <row r="2060" spans="1:26" x14ac:dyDescent="0.25">
      <c r="A2060" s="11"/>
      <c r="B2060" s="11"/>
      <c r="C2060" s="11"/>
      <c r="D2060" s="11"/>
      <c r="E2060" s="12"/>
      <c r="F2060" s="13"/>
      <c r="G2060" s="13"/>
      <c r="H2060" s="13"/>
      <c r="I2060" s="11"/>
      <c r="J2060" s="11"/>
      <c r="K2060" s="11"/>
      <c r="L2060" s="11"/>
      <c r="M2060" s="15"/>
      <c r="N2060" s="15"/>
      <c r="O2060" s="15"/>
      <c r="P2060" s="15"/>
      <c r="Q2060" s="16"/>
      <c r="R2060" s="16"/>
      <c r="S2060" s="16"/>
      <c r="T2060" s="17"/>
      <c r="U2060" s="11"/>
      <c r="V2060" s="16"/>
      <c r="W2060" s="11"/>
      <c r="X2060" s="11"/>
      <c r="Y2060" s="15"/>
      <c r="Z2060" s="11"/>
    </row>
    <row r="2061" spans="1:26" x14ac:dyDescent="0.25">
      <c r="A2061" s="11"/>
      <c r="B2061" s="11"/>
      <c r="C2061" s="11"/>
      <c r="D2061" s="11"/>
      <c r="E2061" s="12"/>
      <c r="F2061" s="13"/>
      <c r="G2061" s="13"/>
      <c r="H2061" s="13"/>
      <c r="I2061" s="11"/>
      <c r="J2061" s="11"/>
      <c r="K2061" s="11"/>
      <c r="L2061" s="11"/>
      <c r="M2061" s="15"/>
      <c r="N2061" s="15"/>
      <c r="O2061" s="15"/>
      <c r="P2061" s="15"/>
      <c r="Q2061" s="16"/>
      <c r="R2061" s="16"/>
      <c r="S2061" s="16"/>
      <c r="T2061" s="17"/>
      <c r="U2061" s="11"/>
      <c r="V2061" s="16"/>
      <c r="W2061" s="11"/>
      <c r="X2061" s="11"/>
      <c r="Y2061" s="15"/>
      <c r="Z2061" s="11"/>
    </row>
    <row r="2062" spans="1:26" x14ac:dyDescent="0.25">
      <c r="A2062" s="11"/>
      <c r="B2062" s="11"/>
      <c r="C2062" s="11"/>
      <c r="D2062" s="11"/>
      <c r="E2062" s="12"/>
      <c r="F2062" s="13"/>
      <c r="G2062" s="13"/>
      <c r="H2062" s="13"/>
      <c r="I2062" s="11"/>
      <c r="J2062" s="11"/>
      <c r="K2062" s="11"/>
      <c r="L2062" s="11"/>
      <c r="M2062" s="15"/>
      <c r="N2062" s="15"/>
      <c r="O2062" s="15"/>
      <c r="P2062" s="15"/>
      <c r="Q2062" s="16"/>
      <c r="R2062" s="16"/>
      <c r="S2062" s="16"/>
      <c r="T2062" s="17"/>
      <c r="U2062" s="11"/>
      <c r="V2062" s="16"/>
      <c r="W2062" s="11"/>
      <c r="X2062" s="11"/>
      <c r="Y2062" s="15"/>
      <c r="Z2062" s="11"/>
    </row>
    <row r="2063" spans="1:26" x14ac:dyDescent="0.25">
      <c r="A2063" s="11"/>
      <c r="B2063" s="11"/>
      <c r="C2063" s="11"/>
      <c r="D2063" s="11"/>
      <c r="E2063" s="12"/>
      <c r="F2063" s="13"/>
      <c r="G2063" s="13"/>
      <c r="H2063" s="13"/>
      <c r="I2063" s="11"/>
      <c r="J2063" s="11"/>
      <c r="K2063" s="11"/>
      <c r="L2063" s="11"/>
      <c r="M2063" s="15"/>
      <c r="N2063" s="15"/>
      <c r="O2063" s="15"/>
      <c r="P2063" s="15"/>
      <c r="Q2063" s="16"/>
      <c r="R2063" s="16"/>
      <c r="S2063" s="16"/>
      <c r="T2063" s="17"/>
      <c r="U2063" s="11"/>
      <c r="V2063" s="16"/>
      <c r="W2063" s="11"/>
      <c r="X2063" s="11"/>
      <c r="Y2063" s="15"/>
      <c r="Z2063" s="11"/>
    </row>
    <row r="2064" spans="1:26" x14ac:dyDescent="0.25">
      <c r="A2064" s="11"/>
      <c r="B2064" s="11"/>
      <c r="C2064" s="11"/>
      <c r="D2064" s="11"/>
      <c r="E2064" s="12"/>
      <c r="F2064" s="13"/>
      <c r="G2064" s="13"/>
      <c r="H2064" s="13"/>
      <c r="I2064" s="11"/>
      <c r="J2064" s="11"/>
      <c r="K2064" s="11"/>
      <c r="L2064" s="11"/>
      <c r="M2064" s="15"/>
      <c r="N2064" s="15"/>
      <c r="O2064" s="15"/>
      <c r="P2064" s="15"/>
      <c r="Q2064" s="16"/>
      <c r="R2064" s="16"/>
      <c r="S2064" s="16"/>
      <c r="T2064" s="17"/>
      <c r="U2064" s="11"/>
      <c r="V2064" s="16"/>
      <c r="W2064" s="11"/>
      <c r="X2064" s="11"/>
      <c r="Y2064" s="15"/>
      <c r="Z2064" s="11"/>
    </row>
    <row r="2065" spans="1:26" x14ac:dyDescent="0.25">
      <c r="A2065" s="11"/>
      <c r="B2065" s="11"/>
      <c r="C2065" s="11"/>
      <c r="D2065" s="11"/>
      <c r="E2065" s="12"/>
      <c r="F2065" s="13"/>
      <c r="G2065" s="13"/>
      <c r="H2065" s="13"/>
      <c r="I2065" s="11"/>
      <c r="J2065" s="11"/>
      <c r="K2065" s="11"/>
      <c r="L2065" s="11"/>
      <c r="M2065" s="15"/>
      <c r="N2065" s="15"/>
      <c r="O2065" s="15"/>
      <c r="P2065" s="15"/>
      <c r="Q2065" s="16"/>
      <c r="R2065" s="16"/>
      <c r="S2065" s="16"/>
      <c r="T2065" s="17"/>
      <c r="U2065" s="11"/>
      <c r="V2065" s="16"/>
      <c r="W2065" s="11"/>
      <c r="X2065" s="11"/>
      <c r="Y2065" s="15"/>
      <c r="Z2065" s="11"/>
    </row>
    <row r="2066" spans="1:26" x14ac:dyDescent="0.25">
      <c r="A2066" s="18"/>
      <c r="B2066" s="18"/>
      <c r="C2066" s="18"/>
      <c r="D2066" s="18"/>
      <c r="E2066" s="19"/>
      <c r="F2066" s="20"/>
      <c r="G2066" s="13"/>
      <c r="H2066" s="20"/>
      <c r="I2066" s="18"/>
      <c r="J2066" s="18"/>
      <c r="K2066" s="18"/>
      <c r="L2066" s="18"/>
      <c r="M2066" s="21"/>
      <c r="N2066" s="21"/>
      <c r="O2066" s="21"/>
      <c r="P2066" s="21"/>
      <c r="Q2066" s="22"/>
      <c r="R2066" s="19"/>
      <c r="S2066" s="22"/>
      <c r="T2066" s="23"/>
      <c r="U2066" s="18"/>
      <c r="V2066" s="22"/>
      <c r="W2066" s="18"/>
      <c r="X2066" s="18"/>
      <c r="Y2066" s="21"/>
      <c r="Z2066" s="18"/>
    </row>
    <row r="2067" spans="1:26" x14ac:dyDescent="0.25">
      <c r="A2067" s="11"/>
      <c r="B2067" s="11"/>
      <c r="C2067" s="11"/>
      <c r="D2067" s="11"/>
      <c r="E2067" s="12"/>
      <c r="F2067" s="13"/>
      <c r="G2067" s="13"/>
      <c r="H2067" s="13"/>
      <c r="I2067" s="11"/>
      <c r="J2067" s="11"/>
      <c r="K2067" s="11"/>
      <c r="L2067" s="11"/>
      <c r="M2067" s="15"/>
      <c r="N2067" s="15"/>
      <c r="O2067" s="15"/>
      <c r="P2067" s="15"/>
      <c r="Q2067" s="16"/>
      <c r="R2067" s="16"/>
      <c r="S2067" s="16"/>
      <c r="T2067" s="17"/>
      <c r="U2067" s="11"/>
      <c r="V2067" s="16"/>
      <c r="W2067" s="11"/>
      <c r="X2067" s="11"/>
      <c r="Y2067" s="15"/>
      <c r="Z2067" s="11"/>
    </row>
    <row r="2068" spans="1:26" x14ac:dyDescent="0.25">
      <c r="A2068" s="19"/>
      <c r="B2068" s="19"/>
      <c r="C2068" s="19"/>
      <c r="D2068" s="19"/>
      <c r="E2068" s="19"/>
      <c r="F2068" s="20"/>
      <c r="G2068" s="13"/>
      <c r="H2068" s="20"/>
      <c r="I2068" s="19"/>
      <c r="J2068" s="19"/>
      <c r="K2068" s="19"/>
      <c r="L2068" s="19"/>
      <c r="M2068" s="21"/>
      <c r="N2068" s="21"/>
      <c r="O2068" s="21"/>
      <c r="P2068" s="21"/>
      <c r="Q2068" s="22"/>
      <c r="R2068" s="19"/>
      <c r="S2068" s="22"/>
      <c r="T2068" s="23"/>
      <c r="U2068" s="19"/>
      <c r="V2068" s="22"/>
      <c r="W2068" s="19"/>
      <c r="X2068" s="19"/>
      <c r="Y2068" s="21"/>
      <c r="Z2068" s="19"/>
    </row>
    <row r="2069" spans="1:26" x14ac:dyDescent="0.25">
      <c r="A2069" s="11"/>
      <c r="B2069" s="11"/>
      <c r="C2069" s="11"/>
      <c r="D2069" s="11"/>
      <c r="E2069" s="12"/>
      <c r="F2069" s="13"/>
      <c r="G2069" s="13"/>
      <c r="H2069" s="13"/>
      <c r="I2069" s="11"/>
      <c r="J2069" s="11"/>
      <c r="K2069" s="11"/>
      <c r="L2069" s="11"/>
      <c r="M2069" s="15"/>
      <c r="N2069" s="15"/>
      <c r="O2069" s="15"/>
      <c r="P2069" s="15"/>
      <c r="Q2069" s="16"/>
      <c r="R2069" s="16"/>
      <c r="S2069" s="16"/>
      <c r="T2069" s="17"/>
      <c r="U2069" s="11"/>
      <c r="V2069" s="16"/>
      <c r="W2069" s="11"/>
      <c r="X2069" s="11"/>
      <c r="Y2069" s="15"/>
      <c r="Z2069" s="11"/>
    </row>
    <row r="2070" spans="1:26" x14ac:dyDescent="0.25">
      <c r="A2070" s="11"/>
      <c r="B2070" s="11"/>
      <c r="C2070" s="11"/>
      <c r="D2070" s="11"/>
      <c r="E2070" s="12"/>
      <c r="F2070" s="13"/>
      <c r="G2070" s="13"/>
      <c r="H2070" s="13"/>
      <c r="I2070" s="11"/>
      <c r="J2070" s="11"/>
      <c r="K2070" s="11"/>
      <c r="L2070" s="11"/>
      <c r="M2070" s="15"/>
      <c r="N2070" s="15"/>
      <c r="O2070" s="15"/>
      <c r="P2070" s="15"/>
      <c r="Q2070" s="16"/>
      <c r="R2070" s="16"/>
      <c r="S2070" s="16"/>
      <c r="T2070" s="17"/>
      <c r="U2070" s="11"/>
      <c r="V2070" s="16"/>
      <c r="W2070" s="11"/>
      <c r="X2070" s="11"/>
      <c r="Y2070" s="15"/>
      <c r="Z2070" s="11"/>
    </row>
    <row r="2071" spans="1:26" x14ac:dyDescent="0.25">
      <c r="A2071" s="11"/>
      <c r="B2071" s="11"/>
      <c r="C2071" s="11"/>
      <c r="D2071" s="11"/>
      <c r="E2071" s="12"/>
      <c r="F2071" s="13"/>
      <c r="G2071" s="13"/>
      <c r="H2071" s="13"/>
      <c r="I2071" s="11"/>
      <c r="J2071" s="11"/>
      <c r="K2071" s="11"/>
      <c r="L2071" s="11"/>
      <c r="M2071" s="15"/>
      <c r="N2071" s="15"/>
      <c r="O2071" s="15"/>
      <c r="P2071" s="15"/>
      <c r="Q2071" s="16"/>
      <c r="R2071" s="16"/>
      <c r="S2071" s="16"/>
      <c r="T2071" s="17"/>
      <c r="U2071" s="11"/>
      <c r="V2071" s="16"/>
      <c r="W2071" s="11"/>
      <c r="X2071" s="11"/>
      <c r="Y2071" s="15"/>
      <c r="Z2071" s="11"/>
    </row>
    <row r="2072" spans="1:26" x14ac:dyDescent="0.25">
      <c r="A2072" s="11"/>
      <c r="B2072" s="11"/>
      <c r="C2072" s="11"/>
      <c r="D2072" s="11"/>
      <c r="E2072" s="12"/>
      <c r="F2072" s="13"/>
      <c r="G2072" s="13"/>
      <c r="H2072" s="13"/>
      <c r="I2072" s="11"/>
      <c r="J2072" s="11"/>
      <c r="K2072" s="11"/>
      <c r="L2072" s="11"/>
      <c r="M2072" s="15"/>
      <c r="N2072" s="15"/>
      <c r="O2072" s="15"/>
      <c r="P2072" s="15"/>
      <c r="Q2072" s="16"/>
      <c r="R2072" s="16"/>
      <c r="S2072" s="16"/>
      <c r="T2072" s="17"/>
      <c r="U2072" s="11"/>
      <c r="V2072" s="16"/>
      <c r="W2072" s="11"/>
      <c r="X2072" s="11"/>
      <c r="Y2072" s="15"/>
      <c r="Z2072" s="11"/>
    </row>
    <row r="2073" spans="1:26" x14ac:dyDescent="0.25">
      <c r="A2073" s="11"/>
      <c r="B2073" s="11"/>
      <c r="C2073" s="11"/>
      <c r="D2073" s="11"/>
      <c r="E2073" s="12"/>
      <c r="F2073" s="13"/>
      <c r="G2073" s="13"/>
      <c r="H2073" s="13"/>
      <c r="I2073" s="11"/>
      <c r="J2073" s="11"/>
      <c r="K2073" s="11"/>
      <c r="L2073" s="11"/>
      <c r="M2073" s="15"/>
      <c r="N2073" s="15"/>
      <c r="O2073" s="15"/>
      <c r="P2073" s="15"/>
      <c r="Q2073" s="16"/>
      <c r="R2073" s="16"/>
      <c r="S2073" s="16"/>
      <c r="T2073" s="17"/>
      <c r="U2073" s="11"/>
      <c r="V2073" s="16"/>
      <c r="W2073" s="11"/>
      <c r="X2073" s="11"/>
      <c r="Y2073" s="15"/>
      <c r="Z2073" s="11"/>
    </row>
    <row r="2074" spans="1:26" x14ac:dyDescent="0.25">
      <c r="A2074" s="11"/>
      <c r="B2074" s="11"/>
      <c r="C2074" s="11"/>
      <c r="D2074" s="11"/>
      <c r="E2074" s="12"/>
      <c r="F2074" s="13"/>
      <c r="G2074" s="13"/>
      <c r="H2074" s="13"/>
      <c r="I2074" s="11"/>
      <c r="J2074" s="11"/>
      <c r="K2074" s="11"/>
      <c r="L2074" s="11"/>
      <c r="M2074" s="15"/>
      <c r="N2074" s="15"/>
      <c r="O2074" s="15"/>
      <c r="P2074" s="15"/>
      <c r="Q2074" s="16"/>
      <c r="R2074" s="16"/>
      <c r="S2074" s="16"/>
      <c r="T2074" s="17"/>
      <c r="U2074" s="11"/>
      <c r="V2074" s="16"/>
      <c r="W2074" s="11"/>
      <c r="X2074" s="11"/>
      <c r="Y2074" s="15"/>
      <c r="Z2074" s="11"/>
    </row>
    <row r="2075" spans="1:26" x14ac:dyDescent="0.25">
      <c r="A2075" s="11"/>
      <c r="B2075" s="11"/>
      <c r="C2075" s="11"/>
      <c r="D2075" s="11"/>
      <c r="E2075" s="12"/>
      <c r="F2075" s="13"/>
      <c r="G2075" s="13"/>
      <c r="H2075" s="13"/>
      <c r="I2075" s="11"/>
      <c r="J2075" s="11"/>
      <c r="K2075" s="11"/>
      <c r="L2075" s="11"/>
      <c r="M2075" s="15"/>
      <c r="N2075" s="15"/>
      <c r="O2075" s="15"/>
      <c r="P2075" s="15"/>
      <c r="Q2075" s="16"/>
      <c r="R2075" s="16"/>
      <c r="S2075" s="16"/>
      <c r="T2075" s="17"/>
      <c r="U2075" s="11"/>
      <c r="V2075" s="16"/>
      <c r="W2075" s="11"/>
      <c r="X2075" s="11"/>
      <c r="Y2075" s="15"/>
      <c r="Z2075" s="11"/>
    </row>
    <row r="2076" spans="1:26" x14ac:dyDescent="0.25">
      <c r="A2076" s="11"/>
      <c r="B2076" s="11"/>
      <c r="C2076" s="11"/>
      <c r="D2076" s="11"/>
      <c r="E2076" s="12"/>
      <c r="F2076" s="13"/>
      <c r="G2076" s="13"/>
      <c r="H2076" s="13"/>
      <c r="I2076" s="11"/>
      <c r="J2076" s="11"/>
      <c r="K2076" s="11"/>
      <c r="L2076" s="11"/>
      <c r="M2076" s="15"/>
      <c r="N2076" s="15"/>
      <c r="O2076" s="15"/>
      <c r="P2076" s="15"/>
      <c r="Q2076" s="16"/>
      <c r="R2076" s="16"/>
      <c r="S2076" s="16"/>
      <c r="T2076" s="17"/>
      <c r="U2076" s="11"/>
      <c r="V2076" s="16"/>
      <c r="W2076" s="11"/>
      <c r="X2076" s="11"/>
      <c r="Y2076" s="15"/>
      <c r="Z2076" s="11"/>
    </row>
    <row r="2077" spans="1:26" x14ac:dyDescent="0.25">
      <c r="A2077" s="11"/>
      <c r="B2077" s="11"/>
      <c r="C2077" s="11"/>
      <c r="D2077" s="11"/>
      <c r="E2077" s="12"/>
      <c r="F2077" s="13"/>
      <c r="G2077" s="13"/>
      <c r="H2077" s="13"/>
      <c r="I2077" s="11"/>
      <c r="J2077" s="11"/>
      <c r="K2077" s="11"/>
      <c r="L2077" s="11"/>
      <c r="M2077" s="15"/>
      <c r="N2077" s="15"/>
      <c r="O2077" s="15"/>
      <c r="P2077" s="15"/>
      <c r="Q2077" s="16"/>
      <c r="R2077" s="16"/>
      <c r="S2077" s="16"/>
      <c r="T2077" s="17"/>
      <c r="U2077" s="11"/>
      <c r="V2077" s="16"/>
      <c r="W2077" s="11"/>
      <c r="X2077" s="11"/>
      <c r="Y2077" s="15"/>
      <c r="Z2077" s="11"/>
    </row>
    <row r="2078" spans="1:26" x14ac:dyDescent="0.25">
      <c r="A2078" s="18"/>
      <c r="B2078" s="18"/>
      <c r="C2078" s="18"/>
      <c r="D2078" s="18"/>
      <c r="E2078" s="19"/>
      <c r="F2078" s="20"/>
      <c r="G2078" s="13"/>
      <c r="H2078" s="20"/>
      <c r="I2078" s="18"/>
      <c r="J2078" s="18"/>
      <c r="K2078" s="18"/>
      <c r="L2078" s="18"/>
      <c r="M2078" s="21"/>
      <c r="N2078" s="21"/>
      <c r="O2078" s="21"/>
      <c r="P2078" s="21"/>
      <c r="Q2078" s="22"/>
      <c r="R2078" s="19"/>
      <c r="S2078" s="22"/>
      <c r="T2078" s="23"/>
      <c r="U2078" s="18"/>
      <c r="V2078" s="22"/>
      <c r="W2078" s="18"/>
      <c r="X2078" s="18"/>
      <c r="Y2078" s="21"/>
      <c r="Z2078" s="18"/>
    </row>
    <row r="2079" spans="1:26" x14ac:dyDescent="0.25">
      <c r="A2079" s="11"/>
      <c r="B2079" s="11"/>
      <c r="C2079" s="11"/>
      <c r="D2079" s="11"/>
      <c r="E2079" s="12"/>
      <c r="F2079" s="13"/>
      <c r="G2079" s="13"/>
      <c r="H2079" s="13"/>
      <c r="I2079" s="11"/>
      <c r="J2079" s="11"/>
      <c r="K2079" s="11"/>
      <c r="L2079" s="11"/>
      <c r="M2079" s="15"/>
      <c r="N2079" s="15"/>
      <c r="O2079" s="15"/>
      <c r="P2079" s="15"/>
      <c r="Q2079" s="16"/>
      <c r="R2079" s="16"/>
      <c r="S2079" s="16"/>
      <c r="T2079" s="17"/>
      <c r="U2079" s="11"/>
      <c r="V2079" s="16"/>
      <c r="W2079" s="11"/>
      <c r="X2079" s="11"/>
      <c r="Y2079" s="15"/>
      <c r="Z2079" s="11"/>
    </row>
    <row r="2080" spans="1:26" x14ac:dyDescent="0.25">
      <c r="A2080" s="11"/>
      <c r="B2080" s="11"/>
      <c r="C2080" s="11"/>
      <c r="D2080" s="11"/>
      <c r="E2080" s="12"/>
      <c r="F2080" s="13"/>
      <c r="G2080" s="13"/>
      <c r="H2080" s="13"/>
      <c r="I2080" s="11"/>
      <c r="J2080" s="11"/>
      <c r="K2080" s="11"/>
      <c r="L2080" s="11"/>
      <c r="M2080" s="15"/>
      <c r="N2080" s="15"/>
      <c r="O2080" s="15"/>
      <c r="P2080" s="15"/>
      <c r="Q2080" s="16"/>
      <c r="R2080" s="16"/>
      <c r="S2080" s="16"/>
      <c r="T2080" s="17"/>
      <c r="U2080" s="11"/>
      <c r="V2080" s="16"/>
      <c r="W2080" s="11"/>
      <c r="X2080" s="11"/>
      <c r="Y2080" s="15"/>
      <c r="Z2080" s="11"/>
    </row>
    <row r="2081" spans="1:26" x14ac:dyDescent="0.25">
      <c r="A2081" s="11"/>
      <c r="B2081" s="11"/>
      <c r="C2081" s="11"/>
      <c r="D2081" s="11"/>
      <c r="E2081" s="12"/>
      <c r="F2081" s="13"/>
      <c r="G2081" s="13"/>
      <c r="H2081" s="13"/>
      <c r="I2081" s="11"/>
      <c r="J2081" s="11"/>
      <c r="K2081" s="11"/>
      <c r="L2081" s="11"/>
      <c r="M2081" s="15"/>
      <c r="N2081" s="15"/>
      <c r="O2081" s="15"/>
      <c r="P2081" s="15"/>
      <c r="Q2081" s="16"/>
      <c r="R2081" s="16"/>
      <c r="S2081" s="16"/>
      <c r="T2081" s="17"/>
      <c r="U2081" s="11"/>
      <c r="V2081" s="16"/>
      <c r="W2081" s="11"/>
      <c r="X2081" s="11"/>
      <c r="Y2081" s="15"/>
      <c r="Z2081" s="11"/>
    </row>
    <row r="2082" spans="1:26" x14ac:dyDescent="0.25">
      <c r="A2082" s="11"/>
      <c r="B2082" s="11"/>
      <c r="C2082" s="11"/>
      <c r="D2082" s="11"/>
      <c r="E2082" s="12"/>
      <c r="F2082" s="13"/>
      <c r="G2082" s="13"/>
      <c r="H2082" s="13"/>
      <c r="I2082" s="11"/>
      <c r="J2082" s="11"/>
      <c r="K2082" s="11"/>
      <c r="L2082" s="11"/>
      <c r="M2082" s="15"/>
      <c r="N2082" s="15"/>
      <c r="O2082" s="15"/>
      <c r="P2082" s="15"/>
      <c r="Q2082" s="16"/>
      <c r="R2082" s="16"/>
      <c r="S2082" s="16"/>
      <c r="T2082" s="17"/>
      <c r="U2082" s="11"/>
      <c r="V2082" s="16"/>
      <c r="W2082" s="11"/>
      <c r="X2082" s="11"/>
      <c r="Y2082" s="15"/>
      <c r="Z2082" s="11"/>
    </row>
    <row r="2083" spans="1:26" x14ac:dyDescent="0.25">
      <c r="A2083" s="11"/>
      <c r="B2083" s="11"/>
      <c r="C2083" s="11"/>
      <c r="D2083" s="11"/>
      <c r="E2083" s="12"/>
      <c r="F2083" s="13"/>
      <c r="G2083" s="13"/>
      <c r="H2083" s="13"/>
      <c r="I2083" s="11"/>
      <c r="J2083" s="11"/>
      <c r="K2083" s="11"/>
      <c r="L2083" s="11"/>
      <c r="M2083" s="15"/>
      <c r="N2083" s="15"/>
      <c r="O2083" s="15"/>
      <c r="P2083" s="15"/>
      <c r="Q2083" s="16"/>
      <c r="R2083" s="16"/>
      <c r="S2083" s="16"/>
      <c r="T2083" s="17"/>
      <c r="U2083" s="11"/>
      <c r="V2083" s="16"/>
      <c r="W2083" s="11"/>
      <c r="X2083" s="11"/>
      <c r="Y2083" s="15"/>
      <c r="Z2083" s="11"/>
    </row>
    <row r="2084" spans="1:26" x14ac:dyDescent="0.25">
      <c r="A2084" s="11"/>
      <c r="B2084" s="11"/>
      <c r="C2084" s="11"/>
      <c r="D2084" s="11"/>
      <c r="E2084" s="12"/>
      <c r="F2084" s="13"/>
      <c r="G2084" s="13"/>
      <c r="H2084" s="13"/>
      <c r="I2084" s="11"/>
      <c r="J2084" s="11"/>
      <c r="K2084" s="11"/>
      <c r="L2084" s="11"/>
      <c r="M2084" s="15"/>
      <c r="N2084" s="15"/>
      <c r="O2084" s="15"/>
      <c r="P2084" s="15"/>
      <c r="Q2084" s="16"/>
      <c r="R2084" s="16"/>
      <c r="S2084" s="16"/>
      <c r="T2084" s="17"/>
      <c r="U2084" s="11"/>
      <c r="V2084" s="16"/>
      <c r="W2084" s="11"/>
      <c r="X2084" s="11"/>
      <c r="Y2084" s="15"/>
      <c r="Z2084" s="11"/>
    </row>
    <row r="2085" spans="1:26" x14ac:dyDescent="0.25">
      <c r="A2085" s="11"/>
      <c r="B2085" s="11"/>
      <c r="C2085" s="11"/>
      <c r="D2085" s="11"/>
      <c r="E2085" s="12"/>
      <c r="F2085" s="13"/>
      <c r="G2085" s="13"/>
      <c r="H2085" s="13"/>
      <c r="I2085" s="11"/>
      <c r="J2085" s="11"/>
      <c r="K2085" s="11"/>
      <c r="L2085" s="11"/>
      <c r="M2085" s="15"/>
      <c r="N2085" s="15"/>
      <c r="O2085" s="15"/>
      <c r="P2085" s="15"/>
      <c r="Q2085" s="16"/>
      <c r="R2085" s="16"/>
      <c r="S2085" s="16"/>
      <c r="T2085" s="17"/>
      <c r="U2085" s="11"/>
      <c r="V2085" s="16"/>
      <c r="W2085" s="11"/>
      <c r="X2085" s="11"/>
      <c r="Y2085" s="15"/>
      <c r="Z2085" s="11"/>
    </row>
    <row r="2086" spans="1:26" x14ac:dyDescent="0.25">
      <c r="A2086" s="11"/>
      <c r="B2086" s="11"/>
      <c r="C2086" s="11"/>
      <c r="D2086" s="11"/>
      <c r="E2086" s="12"/>
      <c r="F2086" s="13"/>
      <c r="G2086" s="13"/>
      <c r="H2086" s="13"/>
      <c r="I2086" s="11"/>
      <c r="J2086" s="11"/>
      <c r="K2086" s="11"/>
      <c r="L2086" s="11"/>
      <c r="M2086" s="15"/>
      <c r="N2086" s="15"/>
      <c r="O2086" s="15"/>
      <c r="P2086" s="15"/>
      <c r="Q2086" s="16"/>
      <c r="R2086" s="16"/>
      <c r="S2086" s="16"/>
      <c r="T2086" s="17"/>
      <c r="U2086" s="11"/>
      <c r="V2086" s="16"/>
      <c r="W2086" s="11"/>
      <c r="X2086" s="11"/>
      <c r="Y2086" s="15"/>
      <c r="Z2086" s="11"/>
    </row>
    <row r="2087" spans="1:26" x14ac:dyDescent="0.25">
      <c r="A2087" s="11"/>
      <c r="B2087" s="11"/>
      <c r="C2087" s="11"/>
      <c r="D2087" s="11"/>
      <c r="E2087" s="12"/>
      <c r="F2087" s="13"/>
      <c r="G2087" s="13"/>
      <c r="H2087" s="13"/>
      <c r="I2087" s="11"/>
      <c r="J2087" s="11"/>
      <c r="K2087" s="11"/>
      <c r="L2087" s="11"/>
      <c r="M2087" s="15"/>
      <c r="N2087" s="15"/>
      <c r="O2087" s="15"/>
      <c r="P2087" s="15"/>
      <c r="Q2087" s="16"/>
      <c r="R2087" s="16"/>
      <c r="S2087" s="16"/>
      <c r="T2087" s="17"/>
      <c r="U2087" s="11"/>
      <c r="V2087" s="16"/>
      <c r="W2087" s="11"/>
      <c r="X2087" s="11"/>
      <c r="Y2087" s="15"/>
      <c r="Z2087" s="11"/>
    </row>
    <row r="2088" spans="1:26" x14ac:dyDescent="0.25">
      <c r="A2088" s="11"/>
      <c r="B2088" s="11"/>
      <c r="C2088" s="11"/>
      <c r="D2088" s="11"/>
      <c r="E2088" s="12"/>
      <c r="F2088" s="13"/>
      <c r="G2088" s="13"/>
      <c r="H2088" s="13"/>
      <c r="I2088" s="11"/>
      <c r="J2088" s="11"/>
      <c r="K2088" s="11"/>
      <c r="L2088" s="11"/>
      <c r="M2088" s="15"/>
      <c r="N2088" s="15"/>
      <c r="O2088" s="15"/>
      <c r="P2088" s="15"/>
      <c r="Q2088" s="16"/>
      <c r="R2088" s="16"/>
      <c r="S2088" s="16"/>
      <c r="T2088" s="17"/>
      <c r="U2088" s="11"/>
      <c r="V2088" s="16"/>
      <c r="W2088" s="11"/>
      <c r="X2088" s="11"/>
      <c r="Y2088" s="15"/>
      <c r="Z2088" s="11"/>
    </row>
    <row r="2089" spans="1:26" x14ac:dyDescent="0.25">
      <c r="A2089" s="11"/>
      <c r="B2089" s="11"/>
      <c r="C2089" s="11"/>
      <c r="D2089" s="11"/>
      <c r="E2089" s="12"/>
      <c r="F2089" s="13"/>
      <c r="G2089" s="13"/>
      <c r="H2089" s="13"/>
      <c r="I2089" s="11"/>
      <c r="J2089" s="11"/>
      <c r="K2089" s="11"/>
      <c r="L2089" s="11"/>
      <c r="M2089" s="15"/>
      <c r="N2089" s="15"/>
      <c r="O2089" s="15"/>
      <c r="P2089" s="15"/>
      <c r="Q2089" s="16"/>
      <c r="R2089" s="16"/>
      <c r="S2089" s="16"/>
      <c r="T2089" s="17"/>
      <c r="U2089" s="11"/>
      <c r="V2089" s="16"/>
      <c r="W2089" s="11"/>
      <c r="X2089" s="11"/>
      <c r="Y2089" s="15"/>
      <c r="Z2089" s="11"/>
    </row>
    <row r="2090" spans="1:26" x14ac:dyDescent="0.25">
      <c r="A2090" s="11"/>
      <c r="B2090" s="11"/>
      <c r="C2090" s="11"/>
      <c r="D2090" s="11"/>
      <c r="E2090" s="12"/>
      <c r="F2090" s="13"/>
      <c r="G2090" s="13"/>
      <c r="H2090" s="13"/>
      <c r="I2090" s="11"/>
      <c r="J2090" s="11"/>
      <c r="K2090" s="11"/>
      <c r="L2090" s="11"/>
      <c r="M2090" s="15"/>
      <c r="N2090" s="15"/>
      <c r="O2090" s="15"/>
      <c r="P2090" s="15"/>
      <c r="Q2090" s="16"/>
      <c r="R2090" s="16"/>
      <c r="S2090" s="16"/>
      <c r="T2090" s="17"/>
      <c r="U2090" s="11"/>
      <c r="V2090" s="16"/>
      <c r="W2090" s="11"/>
      <c r="X2090" s="11"/>
      <c r="Y2090" s="15"/>
      <c r="Z2090" s="11"/>
    </row>
    <row r="2091" spans="1:26" x14ac:dyDescent="0.25">
      <c r="A2091" s="11"/>
      <c r="B2091" s="11"/>
      <c r="C2091" s="11"/>
      <c r="D2091" s="11"/>
      <c r="E2091" s="12"/>
      <c r="F2091" s="13"/>
      <c r="G2091" s="13"/>
      <c r="H2091" s="13"/>
      <c r="I2091" s="11"/>
      <c r="J2091" s="11"/>
      <c r="K2091" s="11"/>
      <c r="L2091" s="11"/>
      <c r="M2091" s="15"/>
      <c r="N2091" s="15"/>
      <c r="O2091" s="15"/>
      <c r="P2091" s="15"/>
      <c r="Q2091" s="16"/>
      <c r="R2091" s="16"/>
      <c r="S2091" s="16"/>
      <c r="T2091" s="17"/>
      <c r="U2091" s="11"/>
      <c r="V2091" s="16"/>
      <c r="W2091" s="11"/>
      <c r="X2091" s="11"/>
      <c r="Y2091" s="15"/>
      <c r="Z2091" s="11"/>
    </row>
    <row r="2092" spans="1:26" x14ac:dyDescent="0.25">
      <c r="A2092" s="11"/>
      <c r="B2092" s="11"/>
      <c r="C2092" s="11"/>
      <c r="D2092" s="11"/>
      <c r="E2092" s="12"/>
      <c r="F2092" s="13"/>
      <c r="G2092" s="13"/>
      <c r="H2092" s="13"/>
      <c r="I2092" s="11"/>
      <c r="J2092" s="11"/>
      <c r="K2092" s="11"/>
      <c r="L2092" s="11"/>
      <c r="M2092" s="15"/>
      <c r="N2092" s="15"/>
      <c r="O2092" s="15"/>
      <c r="P2092" s="15"/>
      <c r="Q2092" s="16"/>
      <c r="R2092" s="16"/>
      <c r="S2092" s="16"/>
      <c r="T2092" s="17"/>
      <c r="U2092" s="11"/>
      <c r="V2092" s="16"/>
      <c r="W2092" s="11"/>
      <c r="X2092" s="11"/>
      <c r="Y2092" s="15"/>
      <c r="Z2092" s="11"/>
    </row>
    <row r="2093" spans="1:26" x14ac:dyDescent="0.25">
      <c r="A2093" s="11"/>
      <c r="B2093" s="11"/>
      <c r="C2093" s="11"/>
      <c r="D2093" s="11"/>
      <c r="E2093" s="12"/>
      <c r="F2093" s="13"/>
      <c r="G2093" s="13"/>
      <c r="H2093" s="13"/>
      <c r="I2093" s="11"/>
      <c r="J2093" s="11"/>
      <c r="K2093" s="11"/>
      <c r="L2093" s="11"/>
      <c r="M2093" s="15"/>
      <c r="N2093" s="15"/>
      <c r="O2093" s="15"/>
      <c r="P2093" s="15"/>
      <c r="Q2093" s="16"/>
      <c r="R2093" s="16"/>
      <c r="S2093" s="16"/>
      <c r="T2093" s="17"/>
      <c r="U2093" s="11"/>
      <c r="V2093" s="16"/>
      <c r="W2093" s="11"/>
      <c r="X2093" s="11"/>
      <c r="Y2093" s="15"/>
      <c r="Z2093" s="11"/>
    </row>
    <row r="2094" spans="1:26" x14ac:dyDescent="0.25">
      <c r="A2094" s="11"/>
      <c r="B2094" s="11"/>
      <c r="C2094" s="11"/>
      <c r="D2094" s="11"/>
      <c r="E2094" s="12"/>
      <c r="F2094" s="13"/>
      <c r="G2094" s="13"/>
      <c r="H2094" s="13"/>
      <c r="I2094" s="11"/>
      <c r="J2094" s="11"/>
      <c r="K2094" s="11"/>
      <c r="L2094" s="11"/>
      <c r="M2094" s="15"/>
      <c r="N2094" s="15"/>
      <c r="O2094" s="15"/>
      <c r="P2094" s="15"/>
      <c r="Q2094" s="16"/>
      <c r="R2094" s="16"/>
      <c r="S2094" s="16"/>
      <c r="T2094" s="17"/>
      <c r="U2094" s="11"/>
      <c r="V2094" s="16"/>
      <c r="W2094" s="11"/>
      <c r="X2094" s="11"/>
      <c r="Y2094" s="15"/>
      <c r="Z2094" s="11"/>
    </row>
    <row r="2095" spans="1:26" x14ac:dyDescent="0.25">
      <c r="A2095" s="11"/>
      <c r="B2095" s="11"/>
      <c r="C2095" s="11"/>
      <c r="D2095" s="11"/>
      <c r="E2095" s="12"/>
      <c r="F2095" s="13"/>
      <c r="G2095" s="13"/>
      <c r="H2095" s="13"/>
      <c r="I2095" s="11"/>
      <c r="J2095" s="11"/>
      <c r="K2095" s="11"/>
      <c r="L2095" s="11"/>
      <c r="M2095" s="15"/>
      <c r="N2095" s="15"/>
      <c r="O2095" s="15"/>
      <c r="P2095" s="15"/>
      <c r="Q2095" s="16"/>
      <c r="R2095" s="16"/>
      <c r="S2095" s="16"/>
      <c r="T2095" s="17"/>
      <c r="U2095" s="11"/>
      <c r="V2095" s="16"/>
      <c r="W2095" s="11"/>
      <c r="X2095" s="11"/>
      <c r="Y2095" s="15"/>
      <c r="Z2095" s="11"/>
    </row>
    <row r="2096" spans="1:26" x14ac:dyDescent="0.25">
      <c r="A2096" s="11"/>
      <c r="B2096" s="11"/>
      <c r="C2096" s="11"/>
      <c r="D2096" s="11"/>
      <c r="E2096" s="12"/>
      <c r="F2096" s="13"/>
      <c r="G2096" s="13"/>
      <c r="H2096" s="13"/>
      <c r="I2096" s="11"/>
      <c r="J2096" s="11"/>
      <c r="K2096" s="11"/>
      <c r="L2096" s="11"/>
      <c r="M2096" s="15"/>
      <c r="N2096" s="15"/>
      <c r="O2096" s="15"/>
      <c r="P2096" s="15"/>
      <c r="Q2096" s="16"/>
      <c r="R2096" s="16"/>
      <c r="S2096" s="16"/>
      <c r="T2096" s="17"/>
      <c r="U2096" s="11"/>
      <c r="V2096" s="16"/>
      <c r="W2096" s="11"/>
      <c r="X2096" s="11"/>
      <c r="Y2096" s="15"/>
      <c r="Z2096" s="11"/>
    </row>
    <row r="2097" spans="1:26" x14ac:dyDescent="0.25">
      <c r="A2097" s="18"/>
      <c r="B2097" s="18"/>
      <c r="C2097" s="18"/>
      <c r="D2097" s="18"/>
      <c r="E2097" s="19"/>
      <c r="F2097" s="20"/>
      <c r="G2097" s="13"/>
      <c r="H2097" s="20"/>
      <c r="I2097" s="18"/>
      <c r="J2097" s="18"/>
      <c r="K2097" s="18"/>
      <c r="L2097" s="18"/>
      <c r="M2097" s="21"/>
      <c r="N2097" s="21"/>
      <c r="O2097" s="21"/>
      <c r="P2097" s="21"/>
      <c r="Q2097" s="22"/>
      <c r="R2097" s="19"/>
      <c r="S2097" s="22"/>
      <c r="T2097" s="23"/>
      <c r="U2097" s="18"/>
      <c r="V2097" s="22"/>
      <c r="W2097" s="18"/>
      <c r="X2097" s="18"/>
      <c r="Y2097" s="21"/>
      <c r="Z2097" s="18"/>
    </row>
    <row r="2098" spans="1:26" x14ac:dyDescent="0.25">
      <c r="A2098" s="11"/>
      <c r="B2098" s="11"/>
      <c r="C2098" s="11"/>
      <c r="D2098" s="11"/>
      <c r="E2098" s="12"/>
      <c r="F2098" s="13"/>
      <c r="G2098" s="13"/>
      <c r="H2098" s="13"/>
      <c r="I2098" s="11"/>
      <c r="J2098" s="11"/>
      <c r="K2098" s="11"/>
      <c r="L2098" s="11"/>
      <c r="M2098" s="15"/>
      <c r="N2098" s="15"/>
      <c r="O2098" s="15"/>
      <c r="P2098" s="15"/>
      <c r="Q2098" s="16"/>
      <c r="R2098" s="16"/>
      <c r="S2098" s="16"/>
      <c r="T2098" s="17"/>
      <c r="U2098" s="11"/>
      <c r="V2098" s="16"/>
      <c r="W2098" s="11"/>
      <c r="X2098" s="11"/>
      <c r="Y2098" s="15"/>
      <c r="Z2098" s="11"/>
    </row>
    <row r="2099" spans="1:26" x14ac:dyDescent="0.25">
      <c r="A2099" s="11"/>
      <c r="B2099" s="11"/>
      <c r="C2099" s="11"/>
      <c r="D2099" s="11"/>
      <c r="E2099" s="12"/>
      <c r="F2099" s="13"/>
      <c r="G2099" s="13"/>
      <c r="H2099" s="13"/>
      <c r="I2099" s="11"/>
      <c r="J2099" s="11"/>
      <c r="K2099" s="11"/>
      <c r="L2099" s="11"/>
      <c r="M2099" s="15"/>
      <c r="N2099" s="15"/>
      <c r="O2099" s="15"/>
      <c r="P2099" s="15"/>
      <c r="Q2099" s="16"/>
      <c r="R2099" s="16"/>
      <c r="S2099" s="16"/>
      <c r="T2099" s="17"/>
      <c r="U2099" s="11"/>
      <c r="V2099" s="16"/>
      <c r="W2099" s="11"/>
      <c r="X2099" s="11"/>
      <c r="Y2099" s="15"/>
      <c r="Z2099" s="11"/>
    </row>
    <row r="2100" spans="1:26" x14ac:dyDescent="0.25">
      <c r="A2100" s="11"/>
      <c r="B2100" s="11"/>
      <c r="C2100" s="11"/>
      <c r="D2100" s="11"/>
      <c r="E2100" s="12"/>
      <c r="F2100" s="13"/>
      <c r="G2100" s="13"/>
      <c r="H2100" s="13"/>
      <c r="I2100" s="11"/>
      <c r="J2100" s="11"/>
      <c r="K2100" s="11"/>
      <c r="L2100" s="11"/>
      <c r="M2100" s="15"/>
      <c r="N2100" s="15"/>
      <c r="O2100" s="15"/>
      <c r="P2100" s="15"/>
      <c r="Q2100" s="16"/>
      <c r="R2100" s="16"/>
      <c r="S2100" s="16"/>
      <c r="T2100" s="17"/>
      <c r="U2100" s="11"/>
      <c r="V2100" s="16"/>
      <c r="W2100" s="11"/>
      <c r="X2100" s="11"/>
      <c r="Y2100" s="15"/>
      <c r="Z2100" s="11"/>
    </row>
    <row r="2101" spans="1:26" x14ac:dyDescent="0.25">
      <c r="A2101" s="11"/>
      <c r="B2101" s="11"/>
      <c r="C2101" s="11"/>
      <c r="D2101" s="11"/>
      <c r="E2101" s="12"/>
      <c r="F2101" s="13"/>
      <c r="G2101" s="13"/>
      <c r="H2101" s="13"/>
      <c r="I2101" s="11"/>
      <c r="J2101" s="11"/>
      <c r="K2101" s="11"/>
      <c r="L2101" s="11"/>
      <c r="M2101" s="15"/>
      <c r="N2101" s="15"/>
      <c r="O2101" s="15"/>
      <c r="P2101" s="15"/>
      <c r="Q2101" s="16"/>
      <c r="R2101" s="16"/>
      <c r="S2101" s="16"/>
      <c r="T2101" s="17"/>
      <c r="U2101" s="11"/>
      <c r="V2101" s="16"/>
      <c r="W2101" s="11"/>
      <c r="X2101" s="11"/>
      <c r="Y2101" s="15"/>
      <c r="Z2101" s="11"/>
    </row>
    <row r="2102" spans="1:26" x14ac:dyDescent="0.25">
      <c r="A2102" s="11"/>
      <c r="B2102" s="11"/>
      <c r="C2102" s="11"/>
      <c r="D2102" s="11"/>
      <c r="E2102" s="12"/>
      <c r="F2102" s="13"/>
      <c r="G2102" s="13"/>
      <c r="H2102" s="13"/>
      <c r="I2102" s="11"/>
      <c r="J2102" s="11"/>
      <c r="K2102" s="11"/>
      <c r="L2102" s="11"/>
      <c r="M2102" s="15"/>
      <c r="N2102" s="15"/>
      <c r="O2102" s="15"/>
      <c r="P2102" s="15"/>
      <c r="Q2102" s="16"/>
      <c r="R2102" s="16"/>
      <c r="S2102" s="16"/>
      <c r="T2102" s="17"/>
      <c r="U2102" s="11"/>
      <c r="V2102" s="16"/>
      <c r="W2102" s="11"/>
      <c r="X2102" s="11"/>
      <c r="Y2102" s="15"/>
      <c r="Z2102" s="11"/>
    </row>
    <row r="2103" spans="1:26" x14ac:dyDescent="0.25">
      <c r="A2103" s="11"/>
      <c r="B2103" s="11"/>
      <c r="C2103" s="11"/>
      <c r="D2103" s="11"/>
      <c r="E2103" s="12"/>
      <c r="F2103" s="13"/>
      <c r="G2103" s="13"/>
      <c r="H2103" s="13"/>
      <c r="I2103" s="11"/>
      <c r="J2103" s="11"/>
      <c r="K2103" s="11"/>
      <c r="L2103" s="11"/>
      <c r="M2103" s="15"/>
      <c r="N2103" s="15"/>
      <c r="O2103" s="15"/>
      <c r="P2103" s="15"/>
      <c r="Q2103" s="16"/>
      <c r="R2103" s="16"/>
      <c r="S2103" s="16"/>
      <c r="T2103" s="17"/>
      <c r="U2103" s="11"/>
      <c r="V2103" s="16"/>
      <c r="W2103" s="11"/>
      <c r="X2103" s="11"/>
      <c r="Y2103" s="15"/>
      <c r="Z2103" s="11"/>
    </row>
    <row r="2104" spans="1:26" x14ac:dyDescent="0.25">
      <c r="A2104" s="11"/>
      <c r="B2104" s="11"/>
      <c r="C2104" s="11"/>
      <c r="D2104" s="11"/>
      <c r="E2104" s="12"/>
      <c r="F2104" s="13"/>
      <c r="G2104" s="13"/>
      <c r="H2104" s="13"/>
      <c r="I2104" s="11"/>
      <c r="J2104" s="11"/>
      <c r="K2104" s="11"/>
      <c r="L2104" s="11"/>
      <c r="M2104" s="15"/>
      <c r="N2104" s="15"/>
      <c r="O2104" s="15"/>
      <c r="P2104" s="15"/>
      <c r="Q2104" s="16"/>
      <c r="R2104" s="16"/>
      <c r="S2104" s="16"/>
      <c r="T2104" s="17"/>
      <c r="U2104" s="11"/>
      <c r="V2104" s="16"/>
      <c r="W2104" s="11"/>
      <c r="X2104" s="11"/>
      <c r="Y2104" s="15"/>
      <c r="Z2104" s="11"/>
    </row>
    <row r="2105" spans="1:26" x14ac:dyDescent="0.25">
      <c r="A2105" s="11"/>
      <c r="B2105" s="11"/>
      <c r="C2105" s="11"/>
      <c r="D2105" s="11"/>
      <c r="E2105" s="12"/>
      <c r="F2105" s="13"/>
      <c r="G2105" s="13"/>
      <c r="H2105" s="13"/>
      <c r="I2105" s="11"/>
      <c r="J2105" s="11"/>
      <c r="K2105" s="11"/>
      <c r="L2105" s="11"/>
      <c r="M2105" s="15"/>
      <c r="N2105" s="15"/>
      <c r="O2105" s="15"/>
      <c r="P2105" s="15"/>
      <c r="Q2105" s="16"/>
      <c r="R2105" s="16"/>
      <c r="S2105" s="16"/>
      <c r="T2105" s="17"/>
      <c r="U2105" s="11"/>
      <c r="V2105" s="16"/>
      <c r="W2105" s="11"/>
      <c r="X2105" s="11"/>
      <c r="Y2105" s="15"/>
      <c r="Z2105" s="11"/>
    </row>
    <row r="2106" spans="1:26" x14ac:dyDescent="0.25">
      <c r="A2106" s="11"/>
      <c r="B2106" s="11"/>
      <c r="C2106" s="11"/>
      <c r="D2106" s="11"/>
      <c r="E2106" s="12"/>
      <c r="F2106" s="13"/>
      <c r="G2106" s="13"/>
      <c r="H2106" s="13"/>
      <c r="I2106" s="11"/>
      <c r="J2106" s="11"/>
      <c r="K2106" s="11"/>
      <c r="L2106" s="11"/>
      <c r="M2106" s="15"/>
      <c r="N2106" s="15"/>
      <c r="O2106" s="15"/>
      <c r="P2106" s="15"/>
      <c r="Q2106" s="16"/>
      <c r="R2106" s="16"/>
      <c r="S2106" s="16"/>
      <c r="T2106" s="17"/>
      <c r="U2106" s="11"/>
      <c r="V2106" s="16"/>
      <c r="W2106" s="11"/>
      <c r="X2106" s="11"/>
      <c r="Y2106" s="15"/>
      <c r="Z2106" s="11"/>
    </row>
    <row r="2107" spans="1:26" x14ac:dyDescent="0.25">
      <c r="A2107" s="11"/>
      <c r="B2107" s="11"/>
      <c r="C2107" s="11"/>
      <c r="D2107" s="11"/>
      <c r="E2107" s="12"/>
      <c r="F2107" s="13"/>
      <c r="G2107" s="13"/>
      <c r="H2107" s="13"/>
      <c r="I2107" s="11"/>
      <c r="J2107" s="11"/>
      <c r="K2107" s="11"/>
      <c r="L2107" s="11"/>
      <c r="M2107" s="15"/>
      <c r="N2107" s="15"/>
      <c r="O2107" s="15"/>
      <c r="P2107" s="15"/>
      <c r="Q2107" s="16"/>
      <c r="R2107" s="16"/>
      <c r="S2107" s="16"/>
      <c r="T2107" s="17"/>
      <c r="U2107" s="11"/>
      <c r="V2107" s="16"/>
      <c r="W2107" s="11"/>
      <c r="X2107" s="11"/>
      <c r="Y2107" s="15"/>
      <c r="Z2107" s="11"/>
    </row>
    <row r="2108" spans="1:26" x14ac:dyDescent="0.25">
      <c r="A2108" s="19"/>
      <c r="B2108" s="19"/>
      <c r="C2108" s="19"/>
      <c r="D2108" s="19"/>
      <c r="E2108" s="19"/>
      <c r="F2108" s="20"/>
      <c r="G2108" s="13"/>
      <c r="H2108" s="20"/>
      <c r="I2108" s="19"/>
      <c r="J2108" s="19"/>
      <c r="K2108" s="19"/>
      <c r="L2108" s="19"/>
      <c r="M2108" s="21"/>
      <c r="N2108" s="21"/>
      <c r="O2108" s="21"/>
      <c r="P2108" s="21"/>
      <c r="Q2108" s="22"/>
      <c r="R2108" s="19"/>
      <c r="S2108" s="22"/>
      <c r="T2108" s="23"/>
      <c r="U2108" s="19"/>
      <c r="V2108" s="22"/>
      <c r="W2108" s="19"/>
      <c r="X2108" s="19"/>
      <c r="Y2108" s="21"/>
      <c r="Z2108" s="19"/>
    </row>
    <row r="2109" spans="1:26" x14ac:dyDescent="0.25">
      <c r="A2109" s="11"/>
      <c r="B2109" s="11"/>
      <c r="C2109" s="11"/>
      <c r="D2109" s="11"/>
      <c r="E2109" s="12"/>
      <c r="F2109" s="13"/>
      <c r="G2109" s="13"/>
      <c r="H2109" s="13"/>
      <c r="I2109" s="11"/>
      <c r="J2109" s="11"/>
      <c r="K2109" s="11"/>
      <c r="L2109" s="11"/>
      <c r="M2109" s="15"/>
      <c r="N2109" s="15"/>
      <c r="O2109" s="15"/>
      <c r="P2109" s="15"/>
      <c r="Q2109" s="16"/>
      <c r="R2109" s="16"/>
      <c r="S2109" s="16"/>
      <c r="T2109" s="17"/>
      <c r="U2109" s="11"/>
      <c r="V2109" s="16"/>
      <c r="W2109" s="11"/>
      <c r="X2109" s="11"/>
      <c r="Y2109" s="15"/>
      <c r="Z2109" s="11"/>
    </row>
    <row r="2110" spans="1:26" x14ac:dyDescent="0.25">
      <c r="A2110" s="11"/>
      <c r="B2110" s="11"/>
      <c r="C2110" s="11"/>
      <c r="D2110" s="11"/>
      <c r="E2110" s="12"/>
      <c r="F2110" s="13"/>
      <c r="G2110" s="13"/>
      <c r="H2110" s="13"/>
      <c r="I2110" s="11"/>
      <c r="J2110" s="11"/>
      <c r="K2110" s="11"/>
      <c r="L2110" s="11"/>
      <c r="M2110" s="15"/>
      <c r="N2110" s="15"/>
      <c r="O2110" s="15"/>
      <c r="P2110" s="15"/>
      <c r="Q2110" s="16"/>
      <c r="R2110" s="16"/>
      <c r="S2110" s="16"/>
      <c r="T2110" s="17"/>
      <c r="U2110" s="11"/>
      <c r="V2110" s="16"/>
      <c r="W2110" s="11"/>
      <c r="X2110" s="11"/>
      <c r="Y2110" s="15"/>
      <c r="Z2110" s="11"/>
    </row>
    <row r="2111" spans="1:26" x14ac:dyDescent="0.25">
      <c r="A2111" s="11"/>
      <c r="B2111" s="11"/>
      <c r="C2111" s="11"/>
      <c r="D2111" s="11"/>
      <c r="E2111" s="12"/>
      <c r="F2111" s="13"/>
      <c r="G2111" s="13"/>
      <c r="H2111" s="13"/>
      <c r="I2111" s="11"/>
      <c r="J2111" s="11"/>
      <c r="K2111" s="11"/>
      <c r="L2111" s="11"/>
      <c r="M2111" s="15"/>
      <c r="N2111" s="15"/>
      <c r="O2111" s="15"/>
      <c r="P2111" s="15"/>
      <c r="Q2111" s="16"/>
      <c r="R2111" s="16"/>
      <c r="S2111" s="16"/>
      <c r="T2111" s="17"/>
      <c r="U2111" s="11"/>
      <c r="V2111" s="16"/>
      <c r="W2111" s="11"/>
      <c r="X2111" s="11"/>
      <c r="Y2111" s="15"/>
      <c r="Z2111" s="11"/>
    </row>
    <row r="2112" spans="1:26" x14ac:dyDescent="0.25">
      <c r="A2112" s="11"/>
      <c r="B2112" s="11"/>
      <c r="C2112" s="11"/>
      <c r="D2112" s="11"/>
      <c r="E2112" s="12"/>
      <c r="F2112" s="13"/>
      <c r="G2112" s="13"/>
      <c r="H2112" s="13"/>
      <c r="I2112" s="11"/>
      <c r="J2112" s="11"/>
      <c r="K2112" s="11"/>
      <c r="L2112" s="11"/>
      <c r="M2112" s="15"/>
      <c r="N2112" s="15"/>
      <c r="O2112" s="15"/>
      <c r="P2112" s="15"/>
      <c r="Q2112" s="16"/>
      <c r="R2112" s="16"/>
      <c r="S2112" s="16"/>
      <c r="T2112" s="17"/>
      <c r="U2112" s="11"/>
      <c r="V2112" s="16"/>
      <c r="W2112" s="11"/>
      <c r="X2112" s="11"/>
      <c r="Y2112" s="15"/>
      <c r="Z2112" s="11"/>
    </row>
    <row r="2113" spans="1:26" x14ac:dyDescent="0.25">
      <c r="A2113" s="19"/>
      <c r="B2113" s="19"/>
      <c r="C2113" s="19"/>
      <c r="D2113" s="19"/>
      <c r="E2113" s="19"/>
      <c r="F2113" s="20"/>
      <c r="G2113" s="13"/>
      <c r="H2113" s="20"/>
      <c r="I2113" s="19"/>
      <c r="J2113" s="19"/>
      <c r="K2113" s="19"/>
      <c r="L2113" s="19"/>
      <c r="M2113" s="21"/>
      <c r="N2113" s="21"/>
      <c r="O2113" s="21"/>
      <c r="P2113" s="21"/>
      <c r="Q2113" s="22"/>
      <c r="R2113" s="19"/>
      <c r="S2113" s="22"/>
      <c r="T2113" s="23"/>
      <c r="U2113" s="19"/>
      <c r="V2113" s="22"/>
      <c r="W2113" s="19"/>
      <c r="X2113" s="19"/>
      <c r="Y2113" s="21"/>
      <c r="Z2113" s="19"/>
    </row>
    <row r="2114" spans="1:26" x14ac:dyDescent="0.25">
      <c r="A2114" s="11"/>
      <c r="B2114" s="11"/>
      <c r="C2114" s="11"/>
      <c r="D2114" s="11"/>
      <c r="E2114" s="12"/>
      <c r="F2114" s="13"/>
      <c r="G2114" s="13"/>
      <c r="H2114" s="13"/>
      <c r="I2114" s="11"/>
      <c r="J2114" s="11"/>
      <c r="K2114" s="11"/>
      <c r="L2114" s="11"/>
      <c r="M2114" s="15"/>
      <c r="N2114" s="15"/>
      <c r="O2114" s="15"/>
      <c r="P2114" s="15"/>
      <c r="Q2114" s="16"/>
      <c r="R2114" s="16"/>
      <c r="S2114" s="16"/>
      <c r="T2114" s="17"/>
      <c r="U2114" s="11"/>
      <c r="V2114" s="16"/>
      <c r="W2114" s="11"/>
      <c r="X2114" s="11"/>
      <c r="Y2114" s="15"/>
      <c r="Z2114" s="11"/>
    </row>
    <row r="2115" spans="1:26" x14ac:dyDescent="0.25">
      <c r="A2115" s="11"/>
      <c r="B2115" s="11"/>
      <c r="C2115" s="11"/>
      <c r="D2115" s="11"/>
      <c r="E2115" s="12"/>
      <c r="F2115" s="13"/>
      <c r="G2115" s="13"/>
      <c r="H2115" s="13"/>
      <c r="I2115" s="11"/>
      <c r="J2115" s="11"/>
      <c r="K2115" s="11"/>
      <c r="L2115" s="11"/>
      <c r="M2115" s="15"/>
      <c r="N2115" s="15"/>
      <c r="O2115" s="15"/>
      <c r="P2115" s="15"/>
      <c r="Q2115" s="16"/>
      <c r="R2115" s="16"/>
      <c r="S2115" s="16"/>
      <c r="T2115" s="17"/>
      <c r="U2115" s="11"/>
      <c r="V2115" s="16"/>
      <c r="W2115" s="11"/>
      <c r="X2115" s="11"/>
      <c r="Y2115" s="15"/>
      <c r="Z2115" s="11"/>
    </row>
    <row r="2116" spans="1:26" x14ac:dyDescent="0.25">
      <c r="A2116" s="11"/>
      <c r="B2116" s="11"/>
      <c r="C2116" s="11"/>
      <c r="D2116" s="11"/>
      <c r="E2116" s="12"/>
      <c r="F2116" s="13"/>
      <c r="G2116" s="13"/>
      <c r="H2116" s="13"/>
      <c r="I2116" s="11"/>
      <c r="J2116" s="11"/>
      <c r="K2116" s="11"/>
      <c r="L2116" s="11"/>
      <c r="M2116" s="15"/>
      <c r="N2116" s="15"/>
      <c r="O2116" s="15"/>
      <c r="P2116" s="15"/>
      <c r="Q2116" s="16"/>
      <c r="R2116" s="16"/>
      <c r="S2116" s="16"/>
      <c r="T2116" s="17"/>
      <c r="U2116" s="11"/>
      <c r="V2116" s="16"/>
      <c r="W2116" s="11"/>
      <c r="X2116" s="11"/>
      <c r="Y2116" s="15"/>
      <c r="Z2116" s="11"/>
    </row>
    <row r="2117" spans="1:26" x14ac:dyDescent="0.25">
      <c r="A2117" s="11"/>
      <c r="B2117" s="11"/>
      <c r="C2117" s="11"/>
      <c r="D2117" s="11"/>
      <c r="E2117" s="12"/>
      <c r="F2117" s="13"/>
      <c r="G2117" s="13"/>
      <c r="H2117" s="13"/>
      <c r="I2117" s="11"/>
      <c r="J2117" s="11"/>
      <c r="K2117" s="11"/>
      <c r="L2117" s="11"/>
      <c r="M2117" s="15"/>
      <c r="N2117" s="15"/>
      <c r="O2117" s="15"/>
      <c r="P2117" s="15"/>
      <c r="Q2117" s="16"/>
      <c r="R2117" s="16"/>
      <c r="S2117" s="16"/>
      <c r="T2117" s="17"/>
      <c r="U2117" s="11"/>
      <c r="V2117" s="16"/>
      <c r="W2117" s="11"/>
      <c r="X2117" s="11"/>
      <c r="Y2117" s="15"/>
      <c r="Z2117" s="11"/>
    </row>
    <row r="2118" spans="1:26" x14ac:dyDescent="0.25">
      <c r="A2118" s="11"/>
      <c r="B2118" s="11"/>
      <c r="C2118" s="11"/>
      <c r="D2118" s="11"/>
      <c r="E2118" s="12"/>
      <c r="F2118" s="13"/>
      <c r="G2118" s="13"/>
      <c r="H2118" s="13"/>
      <c r="I2118" s="11"/>
      <c r="J2118" s="11"/>
      <c r="K2118" s="11"/>
      <c r="L2118" s="11"/>
      <c r="M2118" s="15"/>
      <c r="N2118" s="15"/>
      <c r="O2118" s="15"/>
      <c r="P2118" s="15"/>
      <c r="Q2118" s="16"/>
      <c r="R2118" s="16"/>
      <c r="S2118" s="16"/>
      <c r="T2118" s="17"/>
      <c r="U2118" s="11"/>
      <c r="V2118" s="16"/>
      <c r="W2118" s="11"/>
      <c r="X2118" s="11"/>
      <c r="Y2118" s="15"/>
      <c r="Z2118" s="11"/>
    </row>
    <row r="2119" spans="1:26" x14ac:dyDescent="0.25">
      <c r="A2119" s="19"/>
      <c r="B2119" s="19"/>
      <c r="C2119" s="19"/>
      <c r="D2119" s="19"/>
      <c r="E2119" s="19"/>
      <c r="F2119" s="20"/>
      <c r="G2119" s="13"/>
      <c r="H2119" s="20"/>
      <c r="I2119" s="19"/>
      <c r="J2119" s="19"/>
      <c r="K2119" s="19"/>
      <c r="L2119" s="19"/>
      <c r="M2119" s="21"/>
      <c r="N2119" s="21"/>
      <c r="O2119" s="21"/>
      <c r="P2119" s="21"/>
      <c r="Q2119" s="22"/>
      <c r="R2119" s="19"/>
      <c r="S2119" s="22"/>
      <c r="T2119" s="23"/>
      <c r="U2119" s="19"/>
      <c r="V2119" s="22"/>
      <c r="W2119" s="19"/>
      <c r="X2119" s="19"/>
      <c r="Y2119" s="21"/>
      <c r="Z2119" s="19"/>
    </row>
    <row r="2120" spans="1:26" x14ac:dyDescent="0.25">
      <c r="A2120" s="19"/>
      <c r="B2120" s="19"/>
      <c r="C2120" s="19"/>
      <c r="D2120" s="19"/>
      <c r="E2120" s="19"/>
      <c r="F2120" s="20"/>
      <c r="G2120" s="13"/>
      <c r="H2120" s="20"/>
      <c r="I2120" s="19"/>
      <c r="J2120" s="19"/>
      <c r="K2120" s="19"/>
      <c r="L2120" s="19"/>
      <c r="M2120" s="21"/>
      <c r="N2120" s="21"/>
      <c r="O2120" s="21"/>
      <c r="P2120" s="21"/>
      <c r="Q2120" s="22"/>
      <c r="R2120" s="19"/>
      <c r="S2120" s="22"/>
      <c r="T2120" s="23"/>
      <c r="U2120" s="19"/>
      <c r="V2120" s="22"/>
      <c r="W2120" s="19"/>
      <c r="X2120" s="19"/>
      <c r="Y2120" s="21"/>
      <c r="Z2120" s="19"/>
    </row>
    <row r="2121" spans="1:26" x14ac:dyDescent="0.25">
      <c r="A2121" s="11"/>
      <c r="B2121" s="11"/>
      <c r="C2121" s="11"/>
      <c r="D2121" s="11"/>
      <c r="E2121" s="12"/>
      <c r="F2121" s="13"/>
      <c r="G2121" s="13"/>
      <c r="H2121" s="13"/>
      <c r="I2121" s="11"/>
      <c r="J2121" s="11"/>
      <c r="K2121" s="11"/>
      <c r="L2121" s="11"/>
      <c r="M2121" s="15"/>
      <c r="N2121" s="15"/>
      <c r="O2121" s="15"/>
      <c r="P2121" s="15"/>
      <c r="Q2121" s="16"/>
      <c r="R2121" s="16"/>
      <c r="S2121" s="16"/>
      <c r="T2121" s="17"/>
      <c r="U2121" s="11"/>
      <c r="V2121" s="16"/>
      <c r="W2121" s="11"/>
      <c r="X2121" s="11"/>
      <c r="Y2121" s="15"/>
      <c r="Z2121" s="11"/>
    </row>
    <row r="2122" spans="1:26" x14ac:dyDescent="0.25">
      <c r="A2122" s="11"/>
      <c r="B2122" s="11"/>
      <c r="C2122" s="11"/>
      <c r="D2122" s="11"/>
      <c r="E2122" s="12"/>
      <c r="F2122" s="13"/>
      <c r="G2122" s="13"/>
      <c r="H2122" s="13"/>
      <c r="I2122" s="11"/>
      <c r="J2122" s="11"/>
      <c r="K2122" s="11"/>
      <c r="L2122" s="11"/>
      <c r="M2122" s="15"/>
      <c r="N2122" s="15"/>
      <c r="O2122" s="15"/>
      <c r="P2122" s="15"/>
      <c r="Q2122" s="16"/>
      <c r="R2122" s="16"/>
      <c r="S2122" s="16"/>
      <c r="T2122" s="17"/>
      <c r="U2122" s="11"/>
      <c r="V2122" s="16"/>
      <c r="W2122" s="11"/>
      <c r="X2122" s="11"/>
      <c r="Y2122" s="15"/>
      <c r="Z2122" s="11"/>
    </row>
    <row r="2123" spans="1:26" x14ac:dyDescent="0.25">
      <c r="A2123" s="11"/>
      <c r="B2123" s="11"/>
      <c r="C2123" s="11"/>
      <c r="D2123" s="11"/>
      <c r="E2123" s="12"/>
      <c r="F2123" s="13"/>
      <c r="G2123" s="13"/>
      <c r="H2123" s="13"/>
      <c r="I2123" s="11"/>
      <c r="J2123" s="11"/>
      <c r="K2123" s="11"/>
      <c r="L2123" s="11"/>
      <c r="M2123" s="15"/>
      <c r="N2123" s="15"/>
      <c r="O2123" s="15"/>
      <c r="P2123" s="15"/>
      <c r="Q2123" s="16"/>
      <c r="R2123" s="16"/>
      <c r="S2123" s="16"/>
      <c r="T2123" s="17"/>
      <c r="U2123" s="11"/>
      <c r="V2123" s="16"/>
      <c r="W2123" s="11"/>
      <c r="X2123" s="11"/>
      <c r="Y2123" s="15"/>
      <c r="Z2123" s="11"/>
    </row>
    <row r="2124" spans="1:26" x14ac:dyDescent="0.25">
      <c r="A2124" s="11"/>
      <c r="B2124" s="11"/>
      <c r="C2124" s="11"/>
      <c r="D2124" s="11"/>
      <c r="E2124" s="12"/>
      <c r="F2124" s="13"/>
      <c r="G2124" s="13"/>
      <c r="H2124" s="13"/>
      <c r="I2124" s="11"/>
      <c r="J2124" s="11"/>
      <c r="K2124" s="11"/>
      <c r="L2124" s="11"/>
      <c r="M2124" s="15"/>
      <c r="N2124" s="15"/>
      <c r="O2124" s="15"/>
      <c r="P2124" s="15"/>
      <c r="Q2124" s="16"/>
      <c r="R2124" s="16"/>
      <c r="S2124" s="16"/>
      <c r="T2124" s="17"/>
      <c r="U2124" s="11"/>
      <c r="V2124" s="16"/>
      <c r="W2124" s="11"/>
      <c r="X2124" s="11"/>
      <c r="Y2124" s="15"/>
      <c r="Z2124" s="11"/>
    </row>
    <row r="2125" spans="1:26" x14ac:dyDescent="0.25">
      <c r="A2125" s="11"/>
      <c r="B2125" s="11"/>
      <c r="C2125" s="11"/>
      <c r="D2125" s="11"/>
      <c r="E2125" s="12"/>
      <c r="F2125" s="13"/>
      <c r="G2125" s="13"/>
      <c r="H2125" s="13"/>
      <c r="I2125" s="11"/>
      <c r="J2125" s="11"/>
      <c r="K2125" s="11"/>
      <c r="L2125" s="11"/>
      <c r="M2125" s="15"/>
      <c r="N2125" s="15"/>
      <c r="O2125" s="15"/>
      <c r="P2125" s="15"/>
      <c r="Q2125" s="16"/>
      <c r="R2125" s="16"/>
      <c r="S2125" s="16"/>
      <c r="T2125" s="17"/>
      <c r="U2125" s="11"/>
      <c r="V2125" s="16"/>
      <c r="W2125" s="11"/>
      <c r="X2125" s="11"/>
      <c r="Y2125" s="15"/>
      <c r="Z2125" s="11"/>
    </row>
    <row r="2126" spans="1:26" x14ac:dyDescent="0.25">
      <c r="A2126" s="11"/>
      <c r="B2126" s="11"/>
      <c r="C2126" s="11"/>
      <c r="D2126" s="11"/>
      <c r="E2126" s="12"/>
      <c r="F2126" s="13"/>
      <c r="G2126" s="13"/>
      <c r="H2126" s="13"/>
      <c r="I2126" s="11"/>
      <c r="J2126" s="11"/>
      <c r="K2126" s="11"/>
      <c r="L2126" s="11"/>
      <c r="M2126" s="15"/>
      <c r="N2126" s="15"/>
      <c r="O2126" s="15"/>
      <c r="P2126" s="15"/>
      <c r="Q2126" s="16"/>
      <c r="R2126" s="16"/>
      <c r="S2126" s="16"/>
      <c r="T2126" s="17"/>
      <c r="U2126" s="11"/>
      <c r="V2126" s="16"/>
      <c r="W2126" s="11"/>
      <c r="X2126" s="11"/>
      <c r="Y2126" s="15"/>
      <c r="Z2126" s="11"/>
    </row>
    <row r="2127" spans="1:26" x14ac:dyDescent="0.25">
      <c r="A2127" s="11"/>
      <c r="B2127" s="11"/>
      <c r="C2127" s="11"/>
      <c r="D2127" s="11"/>
      <c r="E2127" s="12"/>
      <c r="F2127" s="13"/>
      <c r="G2127" s="13"/>
      <c r="H2127" s="13"/>
      <c r="I2127" s="11"/>
      <c r="J2127" s="11"/>
      <c r="K2127" s="11"/>
      <c r="L2127" s="11"/>
      <c r="M2127" s="15"/>
      <c r="N2127" s="15"/>
      <c r="O2127" s="15"/>
      <c r="P2127" s="15"/>
      <c r="Q2127" s="16"/>
      <c r="R2127" s="16"/>
      <c r="S2127" s="16"/>
      <c r="T2127" s="17"/>
      <c r="U2127" s="11"/>
      <c r="V2127" s="16"/>
      <c r="W2127" s="11"/>
      <c r="X2127" s="11"/>
      <c r="Y2127" s="15"/>
      <c r="Z2127" s="11"/>
    </row>
    <row r="2128" spans="1:26" x14ac:dyDescent="0.25">
      <c r="A2128" s="11"/>
      <c r="B2128" s="11"/>
      <c r="C2128" s="11"/>
      <c r="D2128" s="11"/>
      <c r="E2128" s="12"/>
      <c r="F2128" s="13"/>
      <c r="G2128" s="13"/>
      <c r="H2128" s="13"/>
      <c r="I2128" s="11"/>
      <c r="J2128" s="11"/>
      <c r="K2128" s="11"/>
      <c r="L2128" s="11"/>
      <c r="M2128" s="15"/>
      <c r="N2128" s="15"/>
      <c r="O2128" s="15"/>
      <c r="P2128" s="15"/>
      <c r="Q2128" s="16"/>
      <c r="R2128" s="16"/>
      <c r="S2128" s="16"/>
      <c r="T2128" s="17"/>
      <c r="U2128" s="11"/>
      <c r="V2128" s="16"/>
      <c r="W2128" s="11"/>
      <c r="X2128" s="11"/>
      <c r="Y2128" s="15"/>
      <c r="Z2128" s="11"/>
    </row>
    <row r="2129" spans="1:26" x14ac:dyDescent="0.25">
      <c r="A2129" s="11"/>
      <c r="B2129" s="11"/>
      <c r="C2129" s="11"/>
      <c r="D2129" s="11"/>
      <c r="E2129" s="12"/>
      <c r="F2129" s="13"/>
      <c r="G2129" s="13"/>
      <c r="H2129" s="13"/>
      <c r="I2129" s="11"/>
      <c r="J2129" s="11"/>
      <c r="K2129" s="11"/>
      <c r="L2129" s="11"/>
      <c r="M2129" s="15"/>
      <c r="N2129" s="15"/>
      <c r="O2129" s="15"/>
      <c r="P2129" s="15"/>
      <c r="Q2129" s="16"/>
      <c r="R2129" s="16"/>
      <c r="S2129" s="16"/>
      <c r="T2129" s="17"/>
      <c r="U2129" s="11"/>
      <c r="V2129" s="16"/>
      <c r="W2129" s="11"/>
      <c r="X2129" s="11"/>
      <c r="Y2129" s="15"/>
      <c r="Z2129" s="11"/>
    </row>
    <row r="2130" spans="1:26" x14ac:dyDescent="0.25">
      <c r="A2130" s="11"/>
      <c r="B2130" s="11"/>
      <c r="C2130" s="11"/>
      <c r="D2130" s="11"/>
      <c r="E2130" s="12"/>
      <c r="F2130" s="13"/>
      <c r="G2130" s="13"/>
      <c r="H2130" s="13"/>
      <c r="I2130" s="11"/>
      <c r="J2130" s="11"/>
      <c r="K2130" s="11"/>
      <c r="L2130" s="11"/>
      <c r="M2130" s="15"/>
      <c r="N2130" s="15"/>
      <c r="O2130" s="15"/>
      <c r="P2130" s="15"/>
      <c r="Q2130" s="16"/>
      <c r="R2130" s="16"/>
      <c r="S2130" s="16"/>
      <c r="T2130" s="17"/>
      <c r="U2130" s="11"/>
      <c r="V2130" s="16"/>
      <c r="W2130" s="11"/>
      <c r="X2130" s="11"/>
      <c r="Y2130" s="15"/>
      <c r="Z2130" s="11"/>
    </row>
    <row r="2131" spans="1:26" x14ac:dyDescent="0.25">
      <c r="A2131" s="11"/>
      <c r="B2131" s="11"/>
      <c r="C2131" s="11"/>
      <c r="D2131" s="11"/>
      <c r="E2131" s="12"/>
      <c r="F2131" s="13"/>
      <c r="G2131" s="13"/>
      <c r="H2131" s="13"/>
      <c r="I2131" s="11"/>
      <c r="J2131" s="11"/>
      <c r="K2131" s="11"/>
      <c r="L2131" s="11"/>
      <c r="M2131" s="15"/>
      <c r="N2131" s="15"/>
      <c r="O2131" s="15"/>
      <c r="P2131" s="15"/>
      <c r="Q2131" s="16"/>
      <c r="R2131" s="16"/>
      <c r="S2131" s="16"/>
      <c r="T2131" s="17"/>
      <c r="U2131" s="11"/>
      <c r="V2131" s="16"/>
      <c r="W2131" s="11"/>
      <c r="X2131" s="11"/>
      <c r="Y2131" s="15"/>
      <c r="Z2131" s="11"/>
    </row>
    <row r="2132" spans="1:26" x14ac:dyDescent="0.25">
      <c r="A2132" s="11"/>
      <c r="B2132" s="11"/>
      <c r="C2132" s="11"/>
      <c r="D2132" s="11"/>
      <c r="E2132" s="12"/>
      <c r="F2132" s="13"/>
      <c r="G2132" s="13"/>
      <c r="H2132" s="13"/>
      <c r="I2132" s="11"/>
      <c r="J2132" s="11"/>
      <c r="K2132" s="11"/>
      <c r="L2132" s="11"/>
      <c r="M2132" s="15"/>
      <c r="N2132" s="15"/>
      <c r="O2132" s="15"/>
      <c r="P2132" s="15"/>
      <c r="Q2132" s="16"/>
      <c r="R2132" s="16"/>
      <c r="S2132" s="16"/>
      <c r="T2132" s="17"/>
      <c r="U2132" s="11"/>
      <c r="V2132" s="16"/>
      <c r="W2132" s="11"/>
      <c r="X2132" s="11"/>
      <c r="Y2132" s="15"/>
      <c r="Z2132" s="11"/>
    </row>
    <row r="2133" spans="1:26" x14ac:dyDescent="0.25">
      <c r="A2133" s="11"/>
      <c r="B2133" s="11"/>
      <c r="C2133" s="11"/>
      <c r="D2133" s="11"/>
      <c r="E2133" s="12"/>
      <c r="F2133" s="13"/>
      <c r="G2133" s="13"/>
      <c r="H2133" s="13"/>
      <c r="I2133" s="11"/>
      <c r="J2133" s="11"/>
      <c r="K2133" s="11"/>
      <c r="L2133" s="11"/>
      <c r="M2133" s="15"/>
      <c r="N2133" s="15"/>
      <c r="O2133" s="15"/>
      <c r="P2133" s="15"/>
      <c r="Q2133" s="16"/>
      <c r="R2133" s="16"/>
      <c r="S2133" s="16"/>
      <c r="T2133" s="17"/>
      <c r="U2133" s="11"/>
      <c r="V2133" s="16"/>
      <c r="W2133" s="11"/>
      <c r="X2133" s="11"/>
      <c r="Y2133" s="15"/>
      <c r="Z2133" s="11"/>
    </row>
    <row r="2134" spans="1:26" x14ac:dyDescent="0.25">
      <c r="A2134" s="11"/>
      <c r="B2134" s="11"/>
      <c r="C2134" s="11"/>
      <c r="D2134" s="11"/>
      <c r="E2134" s="12"/>
      <c r="F2134" s="13"/>
      <c r="G2134" s="13"/>
      <c r="H2134" s="13"/>
      <c r="I2134" s="11"/>
      <c r="J2134" s="11"/>
      <c r="K2134" s="11"/>
      <c r="L2134" s="11"/>
      <c r="M2134" s="15"/>
      <c r="N2134" s="15"/>
      <c r="O2134" s="15"/>
      <c r="P2134" s="15"/>
      <c r="Q2134" s="16"/>
      <c r="R2134" s="16"/>
      <c r="S2134" s="16"/>
      <c r="T2134" s="17"/>
      <c r="U2134" s="11"/>
      <c r="V2134" s="16"/>
      <c r="W2134" s="11"/>
      <c r="X2134" s="11"/>
      <c r="Y2134" s="15"/>
      <c r="Z2134" s="11"/>
    </row>
    <row r="2135" spans="1:26" x14ac:dyDescent="0.25">
      <c r="A2135" s="11"/>
      <c r="B2135" s="11"/>
      <c r="C2135" s="11"/>
      <c r="D2135" s="11"/>
      <c r="E2135" s="12"/>
      <c r="F2135" s="13"/>
      <c r="G2135" s="13"/>
      <c r="H2135" s="13"/>
      <c r="I2135" s="11"/>
      <c r="J2135" s="11"/>
      <c r="K2135" s="11"/>
      <c r="L2135" s="11"/>
      <c r="M2135" s="15"/>
      <c r="N2135" s="15"/>
      <c r="O2135" s="15"/>
      <c r="P2135" s="15"/>
      <c r="Q2135" s="16"/>
      <c r="R2135" s="16"/>
      <c r="S2135" s="16"/>
      <c r="T2135" s="17"/>
      <c r="U2135" s="11"/>
      <c r="V2135" s="16"/>
      <c r="W2135" s="11"/>
      <c r="X2135" s="11"/>
      <c r="Y2135" s="15"/>
      <c r="Z2135" s="11"/>
    </row>
    <row r="2136" spans="1:26" x14ac:dyDescent="0.25">
      <c r="A2136" s="11"/>
      <c r="B2136" s="11"/>
      <c r="C2136" s="11"/>
      <c r="D2136" s="11"/>
      <c r="E2136" s="12"/>
      <c r="F2136" s="13"/>
      <c r="G2136" s="13"/>
      <c r="H2136" s="13"/>
      <c r="I2136" s="11"/>
      <c r="J2136" s="11"/>
      <c r="K2136" s="11"/>
      <c r="L2136" s="11"/>
      <c r="M2136" s="15"/>
      <c r="N2136" s="15"/>
      <c r="O2136" s="15"/>
      <c r="P2136" s="15"/>
      <c r="Q2136" s="16"/>
      <c r="R2136" s="16"/>
      <c r="S2136" s="16"/>
      <c r="T2136" s="17"/>
      <c r="U2136" s="11"/>
      <c r="V2136" s="16"/>
      <c r="W2136" s="11"/>
      <c r="X2136" s="11"/>
      <c r="Y2136" s="15"/>
      <c r="Z2136" s="11"/>
    </row>
    <row r="2137" spans="1:26" x14ac:dyDescent="0.25">
      <c r="A2137" s="19"/>
      <c r="B2137" s="19"/>
      <c r="C2137" s="19"/>
      <c r="D2137" s="19"/>
      <c r="E2137" s="19"/>
      <c r="F2137" s="20"/>
      <c r="G2137" s="13"/>
      <c r="H2137" s="20"/>
      <c r="I2137" s="19"/>
      <c r="J2137" s="19"/>
      <c r="K2137" s="19"/>
      <c r="L2137" s="19"/>
      <c r="M2137" s="21"/>
      <c r="N2137" s="21"/>
      <c r="O2137" s="21"/>
      <c r="P2137" s="21"/>
      <c r="Q2137" s="22"/>
      <c r="R2137" s="19"/>
      <c r="S2137" s="22"/>
      <c r="T2137" s="23"/>
      <c r="U2137" s="19"/>
      <c r="V2137" s="22"/>
      <c r="W2137" s="19"/>
      <c r="X2137" s="19"/>
      <c r="Y2137" s="21"/>
      <c r="Z2137" s="19"/>
    </row>
    <row r="2138" spans="1:26" x14ac:dyDescent="0.25">
      <c r="A2138" s="19"/>
      <c r="B2138" s="19"/>
      <c r="C2138" s="19"/>
      <c r="D2138" s="19"/>
      <c r="E2138" s="19"/>
      <c r="F2138" s="20"/>
      <c r="G2138" s="13"/>
      <c r="H2138" s="20"/>
      <c r="I2138" s="19"/>
      <c r="J2138" s="19"/>
      <c r="K2138" s="19"/>
      <c r="L2138" s="19"/>
      <c r="M2138" s="21"/>
      <c r="N2138" s="21"/>
      <c r="O2138" s="21"/>
      <c r="P2138" s="21"/>
      <c r="Q2138" s="22"/>
      <c r="R2138" s="19"/>
      <c r="S2138" s="22"/>
      <c r="T2138" s="23"/>
      <c r="U2138" s="19"/>
      <c r="V2138" s="22"/>
      <c r="W2138" s="19"/>
      <c r="X2138" s="19"/>
      <c r="Y2138" s="21"/>
      <c r="Z2138" s="19"/>
    </row>
    <row r="2139" spans="1:26" x14ac:dyDescent="0.25">
      <c r="A2139" s="11"/>
      <c r="B2139" s="11"/>
      <c r="C2139" s="11"/>
      <c r="D2139" s="11"/>
      <c r="E2139" s="12"/>
      <c r="F2139" s="13"/>
      <c r="G2139" s="13"/>
      <c r="H2139" s="13"/>
      <c r="I2139" s="11"/>
      <c r="J2139" s="11"/>
      <c r="K2139" s="11"/>
      <c r="L2139" s="11"/>
      <c r="M2139" s="15"/>
      <c r="N2139" s="15"/>
      <c r="O2139" s="15"/>
      <c r="P2139" s="15"/>
      <c r="Q2139" s="16"/>
      <c r="R2139" s="16"/>
      <c r="S2139" s="16"/>
      <c r="T2139" s="17"/>
      <c r="U2139" s="11"/>
      <c r="V2139" s="16"/>
      <c r="W2139" s="11"/>
      <c r="X2139" s="11"/>
      <c r="Y2139" s="15"/>
      <c r="Z2139" s="11"/>
    </row>
    <row r="2140" spans="1:26" x14ac:dyDescent="0.25">
      <c r="A2140" s="11"/>
      <c r="B2140" s="11"/>
      <c r="C2140" s="11"/>
      <c r="D2140" s="11"/>
      <c r="E2140" s="12"/>
      <c r="F2140" s="13"/>
      <c r="G2140" s="13"/>
      <c r="H2140" s="13"/>
      <c r="I2140" s="11"/>
      <c r="J2140" s="11"/>
      <c r="K2140" s="11"/>
      <c r="L2140" s="11"/>
      <c r="M2140" s="15"/>
      <c r="N2140" s="15"/>
      <c r="O2140" s="15"/>
      <c r="P2140" s="15"/>
      <c r="Q2140" s="16"/>
      <c r="R2140" s="16"/>
      <c r="S2140" s="16"/>
      <c r="T2140" s="17"/>
      <c r="U2140" s="11"/>
      <c r="V2140" s="16"/>
      <c r="W2140" s="11"/>
      <c r="X2140" s="11"/>
      <c r="Y2140" s="15"/>
      <c r="Z2140" s="11"/>
    </row>
    <row r="2141" spans="1:26" x14ac:dyDescent="0.25">
      <c r="A2141" s="11"/>
      <c r="B2141" s="11"/>
      <c r="C2141" s="11"/>
      <c r="D2141" s="11"/>
      <c r="E2141" s="12"/>
      <c r="F2141" s="13"/>
      <c r="G2141" s="13"/>
      <c r="H2141" s="13"/>
      <c r="I2141" s="11"/>
      <c r="J2141" s="11"/>
      <c r="K2141" s="11"/>
      <c r="L2141" s="11"/>
      <c r="M2141" s="15"/>
      <c r="N2141" s="15"/>
      <c r="O2141" s="15"/>
      <c r="P2141" s="15"/>
      <c r="Q2141" s="16"/>
      <c r="R2141" s="16"/>
      <c r="S2141" s="16"/>
      <c r="T2141" s="17"/>
      <c r="U2141" s="11"/>
      <c r="V2141" s="16"/>
      <c r="W2141" s="11"/>
      <c r="X2141" s="11"/>
      <c r="Y2141" s="15"/>
      <c r="Z2141" s="11"/>
    </row>
    <row r="2142" spans="1:26" x14ac:dyDescent="0.25">
      <c r="A2142" s="11"/>
      <c r="B2142" s="11"/>
      <c r="C2142" s="11"/>
      <c r="D2142" s="11"/>
      <c r="E2142" s="12"/>
      <c r="F2142" s="13"/>
      <c r="G2142" s="13"/>
      <c r="H2142" s="13"/>
      <c r="I2142" s="11"/>
      <c r="J2142" s="11"/>
      <c r="K2142" s="11"/>
      <c r="L2142" s="11"/>
      <c r="M2142" s="15"/>
      <c r="N2142" s="15"/>
      <c r="O2142" s="15"/>
      <c r="P2142" s="15"/>
      <c r="Q2142" s="16"/>
      <c r="R2142" s="16"/>
      <c r="S2142" s="16"/>
      <c r="T2142" s="17"/>
      <c r="U2142" s="11"/>
      <c r="V2142" s="16"/>
      <c r="W2142" s="11"/>
      <c r="X2142" s="11"/>
      <c r="Y2142" s="15"/>
      <c r="Z2142" s="11"/>
    </row>
    <row r="2143" spans="1:26" x14ac:dyDescent="0.25">
      <c r="A2143" s="11"/>
      <c r="B2143" s="11"/>
      <c r="C2143" s="11"/>
      <c r="D2143" s="11"/>
      <c r="E2143" s="12"/>
      <c r="F2143" s="13"/>
      <c r="G2143" s="13"/>
      <c r="H2143" s="13"/>
      <c r="I2143" s="11"/>
      <c r="J2143" s="11"/>
      <c r="K2143" s="11"/>
      <c r="L2143" s="11"/>
      <c r="M2143" s="15"/>
      <c r="N2143" s="15"/>
      <c r="O2143" s="15"/>
      <c r="P2143" s="15"/>
      <c r="Q2143" s="16"/>
      <c r="R2143" s="16"/>
      <c r="S2143" s="16"/>
      <c r="T2143" s="17"/>
      <c r="U2143" s="11"/>
      <c r="V2143" s="16"/>
      <c r="W2143" s="11"/>
      <c r="X2143" s="11"/>
      <c r="Y2143" s="15"/>
      <c r="Z2143" s="11"/>
    </row>
    <row r="2144" spans="1:26" x14ac:dyDescent="0.25">
      <c r="A2144" s="11"/>
      <c r="B2144" s="11"/>
      <c r="C2144" s="11"/>
      <c r="D2144" s="11"/>
      <c r="E2144" s="12"/>
      <c r="F2144" s="13"/>
      <c r="G2144" s="13"/>
      <c r="H2144" s="13"/>
      <c r="I2144" s="11"/>
      <c r="J2144" s="11"/>
      <c r="K2144" s="11"/>
      <c r="L2144" s="11"/>
      <c r="M2144" s="15"/>
      <c r="N2144" s="15"/>
      <c r="O2144" s="15"/>
      <c r="P2144" s="15"/>
      <c r="Q2144" s="16"/>
      <c r="R2144" s="16"/>
      <c r="S2144" s="16"/>
      <c r="T2144" s="17"/>
      <c r="U2144" s="11"/>
      <c r="V2144" s="16"/>
      <c r="W2144" s="11"/>
      <c r="X2144" s="11"/>
      <c r="Y2144" s="15"/>
      <c r="Z2144" s="11"/>
    </row>
    <row r="2145" spans="1:26" x14ac:dyDescent="0.25">
      <c r="A2145" s="11"/>
      <c r="B2145" s="11"/>
      <c r="C2145" s="11"/>
      <c r="D2145" s="11"/>
      <c r="E2145" s="12"/>
      <c r="F2145" s="13"/>
      <c r="G2145" s="13"/>
      <c r="H2145" s="13"/>
      <c r="I2145" s="11"/>
      <c r="J2145" s="11"/>
      <c r="K2145" s="11"/>
      <c r="L2145" s="11"/>
      <c r="M2145" s="15"/>
      <c r="N2145" s="15"/>
      <c r="O2145" s="15"/>
      <c r="P2145" s="15"/>
      <c r="Q2145" s="16"/>
      <c r="R2145" s="16"/>
      <c r="S2145" s="16"/>
      <c r="T2145" s="17"/>
      <c r="U2145" s="11"/>
      <c r="V2145" s="16"/>
      <c r="W2145" s="11"/>
      <c r="X2145" s="11"/>
      <c r="Y2145" s="15"/>
      <c r="Z2145" s="11"/>
    </row>
    <row r="2146" spans="1:26" x14ac:dyDescent="0.25">
      <c r="A2146" s="11"/>
      <c r="B2146" s="11"/>
      <c r="C2146" s="11"/>
      <c r="D2146" s="11"/>
      <c r="E2146" s="12"/>
      <c r="F2146" s="13"/>
      <c r="G2146" s="13"/>
      <c r="H2146" s="13"/>
      <c r="I2146" s="11"/>
      <c r="J2146" s="11"/>
      <c r="K2146" s="11"/>
      <c r="L2146" s="11"/>
      <c r="M2146" s="15"/>
      <c r="N2146" s="15"/>
      <c r="O2146" s="15"/>
      <c r="P2146" s="15"/>
      <c r="Q2146" s="16"/>
      <c r="R2146" s="16"/>
      <c r="S2146" s="16"/>
      <c r="T2146" s="17"/>
      <c r="U2146" s="11"/>
      <c r="V2146" s="16"/>
      <c r="W2146" s="11"/>
      <c r="X2146" s="11"/>
      <c r="Y2146" s="15"/>
      <c r="Z2146" s="11"/>
    </row>
    <row r="2147" spans="1:26" x14ac:dyDescent="0.25">
      <c r="A2147" s="11"/>
      <c r="B2147" s="11"/>
      <c r="C2147" s="11"/>
      <c r="D2147" s="11"/>
      <c r="E2147" s="12"/>
      <c r="F2147" s="13"/>
      <c r="G2147" s="13"/>
      <c r="H2147" s="13"/>
      <c r="I2147" s="11"/>
      <c r="J2147" s="11"/>
      <c r="K2147" s="11"/>
      <c r="L2147" s="11"/>
      <c r="M2147" s="15"/>
      <c r="N2147" s="15"/>
      <c r="O2147" s="15"/>
      <c r="P2147" s="15"/>
      <c r="Q2147" s="16"/>
      <c r="R2147" s="16"/>
      <c r="S2147" s="16"/>
      <c r="T2147" s="17"/>
      <c r="U2147" s="11"/>
      <c r="V2147" s="16"/>
      <c r="W2147" s="11"/>
      <c r="X2147" s="11"/>
      <c r="Y2147" s="15"/>
      <c r="Z2147" s="11"/>
    </row>
    <row r="2148" spans="1:26" x14ac:dyDescent="0.25">
      <c r="A2148" s="18"/>
      <c r="B2148" s="18"/>
      <c r="C2148" s="18"/>
      <c r="D2148" s="18"/>
      <c r="E2148" s="19"/>
      <c r="F2148" s="20"/>
      <c r="G2148" s="13"/>
      <c r="H2148" s="20"/>
      <c r="I2148" s="18"/>
      <c r="J2148" s="18"/>
      <c r="K2148" s="18"/>
      <c r="L2148" s="18"/>
      <c r="M2148" s="21"/>
      <c r="N2148" s="21"/>
      <c r="O2148" s="21"/>
      <c r="P2148" s="21"/>
      <c r="Q2148" s="22"/>
      <c r="R2148" s="19"/>
      <c r="S2148" s="22"/>
      <c r="T2148" s="23"/>
      <c r="U2148" s="18"/>
      <c r="V2148" s="22"/>
      <c r="W2148" s="18"/>
      <c r="X2148" s="18"/>
      <c r="Y2148" s="21"/>
      <c r="Z2148" s="18"/>
    </row>
    <row r="2149" spans="1:26" x14ac:dyDescent="0.25">
      <c r="A2149" s="11"/>
      <c r="B2149" s="11"/>
      <c r="C2149" s="11"/>
      <c r="D2149" s="11"/>
      <c r="E2149" s="12"/>
      <c r="F2149" s="13"/>
      <c r="G2149" s="13"/>
      <c r="H2149" s="13"/>
      <c r="I2149" s="11"/>
      <c r="J2149" s="11"/>
      <c r="K2149" s="11"/>
      <c r="L2149" s="11"/>
      <c r="M2149" s="15"/>
      <c r="N2149" s="15"/>
      <c r="O2149" s="15"/>
      <c r="P2149" s="15"/>
      <c r="Q2149" s="16"/>
      <c r="R2149" s="16"/>
      <c r="S2149" s="16"/>
      <c r="T2149" s="17"/>
      <c r="U2149" s="11"/>
      <c r="V2149" s="16"/>
      <c r="W2149" s="11"/>
      <c r="X2149" s="11"/>
      <c r="Y2149" s="15"/>
      <c r="Z2149" s="11"/>
    </row>
    <row r="2150" spans="1:26" x14ac:dyDescent="0.25">
      <c r="A2150" s="11"/>
      <c r="B2150" s="11"/>
      <c r="C2150" s="11"/>
      <c r="D2150" s="11"/>
      <c r="E2150" s="12"/>
      <c r="F2150" s="13"/>
      <c r="G2150" s="13"/>
      <c r="H2150" s="13"/>
      <c r="I2150" s="11"/>
      <c r="J2150" s="11"/>
      <c r="K2150" s="11"/>
      <c r="L2150" s="11"/>
      <c r="M2150" s="15"/>
      <c r="N2150" s="15"/>
      <c r="O2150" s="15"/>
      <c r="P2150" s="15"/>
      <c r="Q2150" s="16"/>
      <c r="R2150" s="16"/>
      <c r="S2150" s="16"/>
      <c r="T2150" s="17"/>
      <c r="U2150" s="11"/>
      <c r="V2150" s="16"/>
      <c r="W2150" s="11"/>
      <c r="X2150" s="11"/>
      <c r="Y2150" s="15"/>
      <c r="Z2150" s="11"/>
    </row>
    <row r="2151" spans="1:26" x14ac:dyDescent="0.25">
      <c r="A2151" s="11"/>
      <c r="B2151" s="11"/>
      <c r="C2151" s="11"/>
      <c r="D2151" s="11"/>
      <c r="E2151" s="12"/>
      <c r="F2151" s="13"/>
      <c r="G2151" s="13"/>
      <c r="H2151" s="13"/>
      <c r="I2151" s="11"/>
      <c r="J2151" s="11"/>
      <c r="K2151" s="11"/>
      <c r="L2151" s="11"/>
      <c r="M2151" s="15"/>
      <c r="N2151" s="15"/>
      <c r="O2151" s="15"/>
      <c r="P2151" s="15"/>
      <c r="Q2151" s="16"/>
      <c r="R2151" s="16"/>
      <c r="S2151" s="16"/>
      <c r="T2151" s="17"/>
      <c r="U2151" s="11"/>
      <c r="V2151" s="16"/>
      <c r="W2151" s="11"/>
      <c r="X2151" s="11"/>
      <c r="Y2151" s="15"/>
      <c r="Z2151" s="11"/>
    </row>
    <row r="2152" spans="1:26" x14ac:dyDescent="0.25">
      <c r="A2152" s="11"/>
      <c r="B2152" s="11"/>
      <c r="C2152" s="11"/>
      <c r="D2152" s="11"/>
      <c r="E2152" s="12"/>
      <c r="F2152" s="13"/>
      <c r="G2152" s="13"/>
      <c r="H2152" s="13"/>
      <c r="I2152" s="11"/>
      <c r="J2152" s="11"/>
      <c r="K2152" s="11"/>
      <c r="L2152" s="11"/>
      <c r="M2152" s="15"/>
      <c r="N2152" s="15"/>
      <c r="O2152" s="15"/>
      <c r="P2152" s="15"/>
      <c r="Q2152" s="16"/>
      <c r="R2152" s="16"/>
      <c r="S2152" s="16"/>
      <c r="T2152" s="17"/>
      <c r="U2152" s="11"/>
      <c r="V2152" s="16"/>
      <c r="W2152" s="11"/>
      <c r="X2152" s="11"/>
      <c r="Y2152" s="15"/>
      <c r="Z2152" s="11"/>
    </row>
    <row r="2153" spans="1:26" x14ac:dyDescent="0.25">
      <c r="A2153" s="11"/>
      <c r="B2153" s="11"/>
      <c r="C2153" s="11"/>
      <c r="D2153" s="11"/>
      <c r="E2153" s="12"/>
      <c r="F2153" s="13"/>
      <c r="G2153" s="13"/>
      <c r="H2153" s="13"/>
      <c r="I2153" s="11"/>
      <c r="J2153" s="11"/>
      <c r="K2153" s="11"/>
      <c r="L2153" s="11"/>
      <c r="M2153" s="15"/>
      <c r="N2153" s="15"/>
      <c r="O2153" s="15"/>
      <c r="P2153" s="15"/>
      <c r="Q2153" s="16"/>
      <c r="R2153" s="16"/>
      <c r="S2153" s="16"/>
      <c r="T2153" s="17"/>
      <c r="U2153" s="11"/>
      <c r="V2153" s="16"/>
      <c r="W2153" s="11"/>
      <c r="X2153" s="11"/>
      <c r="Y2153" s="15"/>
      <c r="Z2153" s="11"/>
    </row>
    <row r="2154" spans="1:26" x14ac:dyDescent="0.25">
      <c r="A2154" s="11"/>
      <c r="B2154" s="11"/>
      <c r="C2154" s="11"/>
      <c r="D2154" s="11"/>
      <c r="E2154" s="12"/>
      <c r="F2154" s="13"/>
      <c r="G2154" s="13"/>
      <c r="H2154" s="13"/>
      <c r="I2154" s="11"/>
      <c r="J2154" s="11"/>
      <c r="K2154" s="11"/>
      <c r="L2154" s="11"/>
      <c r="M2154" s="15"/>
      <c r="N2154" s="15"/>
      <c r="O2154" s="15"/>
      <c r="P2154" s="15"/>
      <c r="Q2154" s="16"/>
      <c r="R2154" s="16"/>
      <c r="S2154" s="16"/>
      <c r="T2154" s="17"/>
      <c r="U2154" s="11"/>
      <c r="V2154" s="16"/>
      <c r="W2154" s="11"/>
      <c r="X2154" s="11"/>
      <c r="Y2154" s="15"/>
      <c r="Z2154" s="11"/>
    </row>
    <row r="2155" spans="1:26" x14ac:dyDescent="0.25">
      <c r="A2155" s="11"/>
      <c r="B2155" s="11"/>
      <c r="C2155" s="11"/>
      <c r="D2155" s="11"/>
      <c r="E2155" s="12"/>
      <c r="F2155" s="13"/>
      <c r="G2155" s="13"/>
      <c r="H2155" s="13"/>
      <c r="I2155" s="11"/>
      <c r="J2155" s="11"/>
      <c r="K2155" s="11"/>
      <c r="L2155" s="11"/>
      <c r="M2155" s="15"/>
      <c r="N2155" s="15"/>
      <c r="O2155" s="15"/>
      <c r="P2155" s="15"/>
      <c r="Q2155" s="16"/>
      <c r="R2155" s="16"/>
      <c r="S2155" s="16"/>
      <c r="T2155" s="17"/>
      <c r="U2155" s="11"/>
      <c r="V2155" s="16"/>
      <c r="W2155" s="11"/>
      <c r="X2155" s="11"/>
      <c r="Y2155" s="15"/>
      <c r="Z2155" s="11"/>
    </row>
    <row r="2156" spans="1:26" x14ac:dyDescent="0.25">
      <c r="A2156" s="11"/>
      <c r="B2156" s="11"/>
      <c r="C2156" s="11"/>
      <c r="D2156" s="11"/>
      <c r="E2156" s="12"/>
      <c r="F2156" s="13"/>
      <c r="G2156" s="13"/>
      <c r="H2156" s="13"/>
      <c r="I2156" s="11"/>
      <c r="J2156" s="11"/>
      <c r="K2156" s="11"/>
      <c r="L2156" s="11"/>
      <c r="M2156" s="15"/>
      <c r="N2156" s="15"/>
      <c r="O2156" s="15"/>
      <c r="P2156" s="15"/>
      <c r="Q2156" s="16"/>
      <c r="R2156" s="16"/>
      <c r="S2156" s="16"/>
      <c r="T2156" s="17"/>
      <c r="U2156" s="11"/>
      <c r="V2156" s="16"/>
      <c r="W2156" s="11"/>
      <c r="X2156" s="11"/>
      <c r="Y2156" s="15"/>
      <c r="Z2156" s="11"/>
    </row>
    <row r="2157" spans="1:26" x14ac:dyDescent="0.25">
      <c r="A2157" s="11"/>
      <c r="B2157" s="11"/>
      <c r="C2157" s="11"/>
      <c r="D2157" s="11"/>
      <c r="E2157" s="12"/>
      <c r="F2157" s="13"/>
      <c r="G2157" s="13"/>
      <c r="H2157" s="13"/>
      <c r="I2157" s="11"/>
      <c r="J2157" s="11"/>
      <c r="K2157" s="11"/>
      <c r="L2157" s="11"/>
      <c r="M2157" s="15"/>
      <c r="N2157" s="15"/>
      <c r="O2157" s="15"/>
      <c r="P2157" s="15"/>
      <c r="Q2157" s="16"/>
      <c r="R2157" s="16"/>
      <c r="S2157" s="16"/>
      <c r="T2157" s="17"/>
      <c r="U2157" s="11"/>
      <c r="V2157" s="16"/>
      <c r="W2157" s="11"/>
      <c r="X2157" s="11"/>
      <c r="Y2157" s="15"/>
      <c r="Z2157" s="11"/>
    </row>
    <row r="2158" spans="1:26" x14ac:dyDescent="0.25">
      <c r="A2158" s="18"/>
      <c r="B2158" s="18"/>
      <c r="C2158" s="18"/>
      <c r="D2158" s="18"/>
      <c r="E2158" s="19"/>
      <c r="F2158" s="20"/>
      <c r="G2158" s="13"/>
      <c r="H2158" s="20"/>
      <c r="I2158" s="18"/>
      <c r="J2158" s="18"/>
      <c r="K2158" s="18"/>
      <c r="L2158" s="18"/>
      <c r="M2158" s="21"/>
      <c r="N2158" s="21"/>
      <c r="O2158" s="21"/>
      <c r="P2158" s="21"/>
      <c r="Q2158" s="22"/>
      <c r="R2158" s="19"/>
      <c r="S2158" s="22"/>
      <c r="T2158" s="23"/>
      <c r="U2158" s="18"/>
      <c r="V2158" s="22"/>
      <c r="W2158" s="18"/>
      <c r="X2158" s="18"/>
      <c r="Y2158" s="21"/>
      <c r="Z2158" s="18"/>
    </row>
    <row r="2159" spans="1:26" x14ac:dyDescent="0.25">
      <c r="A2159" s="11"/>
      <c r="B2159" s="11"/>
      <c r="C2159" s="11"/>
      <c r="D2159" s="11"/>
      <c r="E2159" s="12"/>
      <c r="F2159" s="13"/>
      <c r="G2159" s="13"/>
      <c r="H2159" s="13"/>
      <c r="I2159" s="11"/>
      <c r="J2159" s="11"/>
      <c r="K2159" s="11"/>
      <c r="L2159" s="11"/>
      <c r="M2159" s="15"/>
      <c r="N2159" s="15"/>
      <c r="O2159" s="15"/>
      <c r="P2159" s="15"/>
      <c r="Q2159" s="16"/>
      <c r="R2159" s="16"/>
      <c r="S2159" s="16"/>
      <c r="T2159" s="17"/>
      <c r="U2159" s="11"/>
      <c r="V2159" s="16"/>
      <c r="W2159" s="11"/>
      <c r="X2159" s="11"/>
      <c r="Y2159" s="15"/>
      <c r="Z2159" s="11"/>
    </row>
    <row r="2160" spans="1:26" x14ac:dyDescent="0.25">
      <c r="A2160" s="18"/>
      <c r="B2160" s="18"/>
      <c r="C2160" s="18"/>
      <c r="D2160" s="18"/>
      <c r="E2160" s="19"/>
      <c r="F2160" s="20"/>
      <c r="G2160" s="13"/>
      <c r="H2160" s="20"/>
      <c r="I2160" s="18"/>
      <c r="J2160" s="18"/>
      <c r="K2160" s="18"/>
      <c r="L2160" s="18"/>
      <c r="M2160" s="21"/>
      <c r="N2160" s="21"/>
      <c r="O2160" s="21"/>
      <c r="P2160" s="21"/>
      <c r="Q2160" s="22"/>
      <c r="R2160" s="19"/>
      <c r="S2160" s="22"/>
      <c r="T2160" s="23"/>
      <c r="U2160" s="18"/>
      <c r="V2160" s="22"/>
      <c r="W2160" s="18"/>
      <c r="X2160" s="18"/>
      <c r="Y2160" s="21"/>
      <c r="Z2160" s="18"/>
    </row>
    <row r="2161" spans="1:26" x14ac:dyDescent="0.25">
      <c r="A2161" s="11"/>
      <c r="B2161" s="11"/>
      <c r="C2161" s="11"/>
      <c r="D2161" s="11"/>
      <c r="E2161" s="12"/>
      <c r="F2161" s="13"/>
      <c r="G2161" s="13"/>
      <c r="H2161" s="13"/>
      <c r="I2161" s="11"/>
      <c r="J2161" s="11"/>
      <c r="K2161" s="11"/>
      <c r="L2161" s="11"/>
      <c r="M2161" s="15"/>
      <c r="N2161" s="15"/>
      <c r="O2161" s="15"/>
      <c r="P2161" s="15"/>
      <c r="Q2161" s="16"/>
      <c r="R2161" s="16"/>
      <c r="S2161" s="16"/>
      <c r="T2161" s="17"/>
      <c r="U2161" s="11"/>
      <c r="V2161" s="16"/>
      <c r="W2161" s="11"/>
      <c r="X2161" s="11"/>
      <c r="Y2161" s="15"/>
      <c r="Z2161" s="11"/>
    </row>
    <row r="2162" spans="1:26" x14ac:dyDescent="0.25">
      <c r="A2162" s="11"/>
      <c r="B2162" s="11"/>
      <c r="C2162" s="11"/>
      <c r="D2162" s="11"/>
      <c r="E2162" s="12"/>
      <c r="F2162" s="13"/>
      <c r="G2162" s="13"/>
      <c r="H2162" s="13"/>
      <c r="I2162" s="11"/>
      <c r="J2162" s="11"/>
      <c r="K2162" s="11"/>
      <c r="L2162" s="11"/>
      <c r="M2162" s="15"/>
      <c r="N2162" s="15"/>
      <c r="O2162" s="15"/>
      <c r="P2162" s="15"/>
      <c r="Q2162" s="16"/>
      <c r="R2162" s="16"/>
      <c r="S2162" s="16"/>
      <c r="T2162" s="17"/>
      <c r="U2162" s="11"/>
      <c r="V2162" s="16"/>
      <c r="W2162" s="11"/>
      <c r="X2162" s="11"/>
      <c r="Y2162" s="15"/>
      <c r="Z2162" s="11"/>
    </row>
    <row r="2163" spans="1:26" x14ac:dyDescent="0.25">
      <c r="A2163" s="19"/>
      <c r="B2163" s="19"/>
      <c r="C2163" s="19"/>
      <c r="D2163" s="19"/>
      <c r="E2163" s="19"/>
      <c r="F2163" s="20"/>
      <c r="G2163" s="13"/>
      <c r="H2163" s="20"/>
      <c r="I2163" s="19"/>
      <c r="J2163" s="19"/>
      <c r="K2163" s="19"/>
      <c r="L2163" s="19"/>
      <c r="M2163" s="21"/>
      <c r="N2163" s="21"/>
      <c r="O2163" s="21"/>
      <c r="P2163" s="21"/>
      <c r="Q2163" s="22"/>
      <c r="R2163" s="19"/>
      <c r="S2163" s="22"/>
      <c r="T2163" s="23"/>
      <c r="U2163" s="19"/>
      <c r="V2163" s="22"/>
      <c r="W2163" s="19"/>
      <c r="X2163" s="19"/>
      <c r="Y2163" s="21"/>
      <c r="Z2163" s="19"/>
    </row>
    <row r="2164" spans="1:26" x14ac:dyDescent="0.25">
      <c r="A2164" s="11"/>
      <c r="B2164" s="11"/>
      <c r="C2164" s="11"/>
      <c r="D2164" s="11"/>
      <c r="E2164" s="12"/>
      <c r="F2164" s="13"/>
      <c r="G2164" s="13"/>
      <c r="H2164" s="13"/>
      <c r="I2164" s="11"/>
      <c r="J2164" s="11"/>
      <c r="K2164" s="11"/>
      <c r="L2164" s="11"/>
      <c r="M2164" s="15"/>
      <c r="N2164" s="15"/>
      <c r="O2164" s="15"/>
      <c r="P2164" s="15"/>
      <c r="Q2164" s="16"/>
      <c r="R2164" s="16"/>
      <c r="S2164" s="16"/>
      <c r="T2164" s="17"/>
      <c r="U2164" s="11"/>
      <c r="V2164" s="16"/>
      <c r="W2164" s="11"/>
      <c r="X2164" s="11"/>
      <c r="Y2164" s="15"/>
      <c r="Z2164" s="11"/>
    </row>
    <row r="2165" spans="1:26" x14ac:dyDescent="0.25">
      <c r="A2165" s="11"/>
      <c r="B2165" s="11"/>
      <c r="C2165" s="11"/>
      <c r="D2165" s="11"/>
      <c r="E2165" s="12"/>
      <c r="F2165" s="13"/>
      <c r="G2165" s="13"/>
      <c r="H2165" s="13"/>
      <c r="I2165" s="11"/>
      <c r="J2165" s="11"/>
      <c r="K2165" s="11"/>
      <c r="L2165" s="11"/>
      <c r="M2165" s="15"/>
      <c r="N2165" s="15"/>
      <c r="O2165" s="15"/>
      <c r="P2165" s="15"/>
      <c r="Q2165" s="16"/>
      <c r="R2165" s="16"/>
      <c r="S2165" s="16"/>
      <c r="T2165" s="17"/>
      <c r="U2165" s="11"/>
      <c r="V2165" s="16"/>
      <c r="W2165" s="11"/>
      <c r="X2165" s="11"/>
      <c r="Y2165" s="15"/>
      <c r="Z2165" s="11"/>
    </row>
    <row r="2166" spans="1:26" x14ac:dyDescent="0.25">
      <c r="A2166" s="11"/>
      <c r="B2166" s="11"/>
      <c r="C2166" s="11"/>
      <c r="D2166" s="11"/>
      <c r="E2166" s="12"/>
      <c r="F2166" s="13"/>
      <c r="G2166" s="13"/>
      <c r="H2166" s="13"/>
      <c r="I2166" s="11"/>
      <c r="J2166" s="11"/>
      <c r="K2166" s="11"/>
      <c r="L2166" s="11"/>
      <c r="M2166" s="15"/>
      <c r="N2166" s="15"/>
      <c r="O2166" s="15"/>
      <c r="P2166" s="15"/>
      <c r="Q2166" s="16"/>
      <c r="R2166" s="16"/>
      <c r="S2166" s="16"/>
      <c r="T2166" s="17"/>
      <c r="U2166" s="11"/>
      <c r="V2166" s="16"/>
      <c r="W2166" s="11"/>
      <c r="X2166" s="11"/>
      <c r="Y2166" s="15"/>
      <c r="Z2166" s="11"/>
    </row>
    <row r="2167" spans="1:26" x14ac:dyDescent="0.25">
      <c r="A2167" s="11"/>
      <c r="B2167" s="11"/>
      <c r="C2167" s="11"/>
      <c r="D2167" s="11"/>
      <c r="E2167" s="12"/>
      <c r="F2167" s="13"/>
      <c r="G2167" s="13"/>
      <c r="H2167" s="13"/>
      <c r="I2167" s="11"/>
      <c r="J2167" s="11"/>
      <c r="K2167" s="11"/>
      <c r="L2167" s="11"/>
      <c r="M2167" s="15"/>
      <c r="N2167" s="15"/>
      <c r="O2167" s="15"/>
      <c r="P2167" s="15"/>
      <c r="Q2167" s="16"/>
      <c r="R2167" s="16"/>
      <c r="S2167" s="16"/>
      <c r="T2167" s="17"/>
      <c r="U2167" s="11"/>
      <c r="V2167" s="16"/>
      <c r="W2167" s="11"/>
      <c r="X2167" s="11"/>
      <c r="Y2167" s="15"/>
      <c r="Z2167" s="11"/>
    </row>
    <row r="2168" spans="1:26" x14ac:dyDescent="0.25">
      <c r="A2168" s="11"/>
      <c r="B2168" s="11"/>
      <c r="C2168" s="11"/>
      <c r="D2168" s="11"/>
      <c r="E2168" s="12"/>
      <c r="F2168" s="13"/>
      <c r="G2168" s="13"/>
      <c r="H2168" s="13"/>
      <c r="I2168" s="11"/>
      <c r="J2168" s="11"/>
      <c r="K2168" s="11"/>
      <c r="L2168" s="11"/>
      <c r="M2168" s="15"/>
      <c r="N2168" s="15"/>
      <c r="O2168" s="15"/>
      <c r="P2168" s="15"/>
      <c r="Q2168" s="16"/>
      <c r="R2168" s="16"/>
      <c r="S2168" s="16"/>
      <c r="T2168" s="17"/>
      <c r="U2168" s="11"/>
      <c r="V2168" s="16"/>
      <c r="W2168" s="11"/>
      <c r="X2168" s="11"/>
      <c r="Y2168" s="15"/>
      <c r="Z2168" s="11"/>
    </row>
    <row r="2169" spans="1:26" x14ac:dyDescent="0.25">
      <c r="A2169" s="11"/>
      <c r="B2169" s="11"/>
      <c r="C2169" s="11"/>
      <c r="D2169" s="11"/>
      <c r="E2169" s="12"/>
      <c r="F2169" s="13"/>
      <c r="G2169" s="13"/>
      <c r="H2169" s="13"/>
      <c r="I2169" s="11"/>
      <c r="J2169" s="11"/>
      <c r="K2169" s="11"/>
      <c r="L2169" s="11"/>
      <c r="M2169" s="15"/>
      <c r="N2169" s="15"/>
      <c r="O2169" s="15"/>
      <c r="P2169" s="15"/>
      <c r="Q2169" s="16"/>
      <c r="R2169" s="16"/>
      <c r="S2169" s="16"/>
      <c r="T2169" s="17"/>
      <c r="U2169" s="11"/>
      <c r="V2169" s="16"/>
      <c r="W2169" s="11"/>
      <c r="X2169" s="11"/>
      <c r="Y2169" s="15"/>
      <c r="Z2169" s="11"/>
    </row>
    <row r="2170" spans="1:26" x14ac:dyDescent="0.25">
      <c r="A2170" s="11"/>
      <c r="B2170" s="11"/>
      <c r="C2170" s="11"/>
      <c r="D2170" s="11"/>
      <c r="E2170" s="12"/>
      <c r="F2170" s="13"/>
      <c r="G2170" s="13"/>
      <c r="H2170" s="13"/>
      <c r="I2170" s="11"/>
      <c r="J2170" s="11"/>
      <c r="K2170" s="11"/>
      <c r="L2170" s="11"/>
      <c r="M2170" s="15"/>
      <c r="N2170" s="15"/>
      <c r="O2170" s="15"/>
      <c r="P2170" s="15"/>
      <c r="Q2170" s="16"/>
      <c r="R2170" s="16"/>
      <c r="S2170" s="16"/>
      <c r="T2170" s="17"/>
      <c r="U2170" s="11"/>
      <c r="V2170" s="16"/>
      <c r="W2170" s="11"/>
      <c r="X2170" s="11"/>
      <c r="Y2170" s="15"/>
      <c r="Z2170" s="11"/>
    </row>
    <row r="2171" spans="1:26" x14ac:dyDescent="0.25">
      <c r="A2171" s="11"/>
      <c r="B2171" s="11"/>
      <c r="C2171" s="11"/>
      <c r="D2171" s="11"/>
      <c r="E2171" s="12"/>
      <c r="F2171" s="13"/>
      <c r="G2171" s="13"/>
      <c r="H2171" s="13"/>
      <c r="I2171" s="11"/>
      <c r="J2171" s="11"/>
      <c r="K2171" s="11"/>
      <c r="L2171" s="11"/>
      <c r="M2171" s="15"/>
      <c r="N2171" s="15"/>
      <c r="O2171" s="15"/>
      <c r="P2171" s="15"/>
      <c r="Q2171" s="16"/>
      <c r="R2171" s="16"/>
      <c r="S2171" s="16"/>
      <c r="T2171" s="17"/>
      <c r="U2171" s="11"/>
      <c r="V2171" s="16"/>
      <c r="W2171" s="11"/>
      <c r="X2171" s="11"/>
      <c r="Y2171" s="15"/>
      <c r="Z2171" s="11"/>
    </row>
    <row r="2172" spans="1:26" x14ac:dyDescent="0.25">
      <c r="A2172" s="11"/>
      <c r="B2172" s="11"/>
      <c r="C2172" s="11"/>
      <c r="D2172" s="11"/>
      <c r="E2172" s="12"/>
      <c r="F2172" s="13"/>
      <c r="G2172" s="13"/>
      <c r="H2172" s="13"/>
      <c r="I2172" s="11"/>
      <c r="J2172" s="11"/>
      <c r="K2172" s="11"/>
      <c r="L2172" s="11"/>
      <c r="M2172" s="15"/>
      <c r="N2172" s="15"/>
      <c r="O2172" s="15"/>
      <c r="P2172" s="15"/>
      <c r="Q2172" s="16"/>
      <c r="R2172" s="16"/>
      <c r="S2172" s="16"/>
      <c r="T2172" s="17"/>
      <c r="U2172" s="11"/>
      <c r="V2172" s="16"/>
      <c r="W2172" s="11"/>
      <c r="X2172" s="11"/>
      <c r="Y2172" s="15"/>
      <c r="Z2172" s="11"/>
    </row>
    <row r="2173" spans="1:26" x14ac:dyDescent="0.25">
      <c r="A2173" s="11"/>
      <c r="B2173" s="11"/>
      <c r="C2173" s="11"/>
      <c r="D2173" s="11"/>
      <c r="E2173" s="12"/>
      <c r="F2173" s="13"/>
      <c r="G2173" s="13"/>
      <c r="H2173" s="13"/>
      <c r="I2173" s="11"/>
      <c r="J2173" s="11"/>
      <c r="K2173" s="11"/>
      <c r="L2173" s="11"/>
      <c r="M2173" s="15"/>
      <c r="N2173" s="15"/>
      <c r="O2173" s="15"/>
      <c r="P2173" s="15"/>
      <c r="Q2173" s="16"/>
      <c r="R2173" s="16"/>
      <c r="S2173" s="16"/>
      <c r="T2173" s="17"/>
      <c r="U2173" s="11"/>
      <c r="V2173" s="16"/>
      <c r="W2173" s="11"/>
      <c r="X2173" s="11"/>
      <c r="Y2173" s="15"/>
      <c r="Z2173" s="11"/>
    </row>
    <row r="2174" spans="1:26" x14ac:dyDescent="0.25">
      <c r="A2174" s="19"/>
      <c r="B2174" s="19"/>
      <c r="C2174" s="19"/>
      <c r="D2174" s="19"/>
      <c r="E2174" s="19"/>
      <c r="F2174" s="20"/>
      <c r="G2174" s="13"/>
      <c r="H2174" s="20"/>
      <c r="I2174" s="19"/>
      <c r="J2174" s="19"/>
      <c r="K2174" s="19"/>
      <c r="L2174" s="19"/>
      <c r="M2174" s="21"/>
      <c r="N2174" s="21"/>
      <c r="O2174" s="21"/>
      <c r="P2174" s="21"/>
      <c r="Q2174" s="22"/>
      <c r="R2174" s="19"/>
      <c r="S2174" s="22"/>
      <c r="T2174" s="23"/>
      <c r="U2174" s="19"/>
      <c r="V2174" s="22"/>
      <c r="W2174" s="19"/>
      <c r="X2174" s="19"/>
      <c r="Y2174" s="21"/>
      <c r="Z2174" s="19"/>
    </row>
    <row r="2175" spans="1:26" x14ac:dyDescent="0.25">
      <c r="A2175" s="19"/>
      <c r="B2175" s="19"/>
      <c r="C2175" s="19"/>
      <c r="D2175" s="19"/>
      <c r="E2175" s="19"/>
      <c r="F2175" s="20"/>
      <c r="G2175" s="13"/>
      <c r="H2175" s="20"/>
      <c r="I2175" s="19"/>
      <c r="J2175" s="19"/>
      <c r="K2175" s="19"/>
      <c r="L2175" s="19"/>
      <c r="M2175" s="21"/>
      <c r="N2175" s="21"/>
      <c r="O2175" s="21"/>
      <c r="P2175" s="21"/>
      <c r="Q2175" s="22"/>
      <c r="R2175" s="19"/>
      <c r="S2175" s="22"/>
      <c r="T2175" s="23"/>
      <c r="U2175" s="19"/>
      <c r="V2175" s="22"/>
      <c r="W2175" s="19"/>
      <c r="X2175" s="19"/>
      <c r="Y2175" s="21"/>
      <c r="Z2175" s="19"/>
    </row>
    <row r="2176" spans="1:26" x14ac:dyDescent="0.25">
      <c r="A2176" s="11"/>
      <c r="B2176" s="11"/>
      <c r="C2176" s="11"/>
      <c r="D2176" s="11"/>
      <c r="E2176" s="12"/>
      <c r="F2176" s="13"/>
      <c r="G2176" s="13"/>
      <c r="H2176" s="13"/>
      <c r="I2176" s="11"/>
      <c r="J2176" s="11"/>
      <c r="K2176" s="11"/>
      <c r="L2176" s="11"/>
      <c r="M2176" s="15"/>
      <c r="N2176" s="15"/>
      <c r="O2176" s="15"/>
      <c r="P2176" s="15"/>
      <c r="Q2176" s="16"/>
      <c r="R2176" s="16"/>
      <c r="S2176" s="16"/>
      <c r="T2176" s="17"/>
      <c r="U2176" s="11"/>
      <c r="V2176" s="16"/>
      <c r="W2176" s="11"/>
      <c r="X2176" s="11"/>
      <c r="Y2176" s="15"/>
      <c r="Z2176" s="11"/>
    </row>
    <row r="2177" spans="1:26" x14ac:dyDescent="0.25">
      <c r="A2177" s="11"/>
      <c r="B2177" s="11"/>
      <c r="C2177" s="11"/>
      <c r="D2177" s="11"/>
      <c r="E2177" s="12"/>
      <c r="F2177" s="13"/>
      <c r="G2177" s="13"/>
      <c r="H2177" s="13"/>
      <c r="I2177" s="11"/>
      <c r="J2177" s="11"/>
      <c r="K2177" s="11"/>
      <c r="L2177" s="11"/>
      <c r="M2177" s="15"/>
      <c r="N2177" s="15"/>
      <c r="O2177" s="15"/>
      <c r="P2177" s="15"/>
      <c r="Q2177" s="16"/>
      <c r="R2177" s="16"/>
      <c r="S2177" s="16"/>
      <c r="T2177" s="17"/>
      <c r="U2177" s="11"/>
      <c r="V2177" s="16"/>
      <c r="W2177" s="11"/>
      <c r="X2177" s="11"/>
      <c r="Y2177" s="15"/>
      <c r="Z2177" s="11"/>
    </row>
    <row r="2178" spans="1:26" x14ac:dyDescent="0.25">
      <c r="A2178" s="11"/>
      <c r="B2178" s="11"/>
      <c r="C2178" s="11"/>
      <c r="D2178" s="11"/>
      <c r="E2178" s="12"/>
      <c r="F2178" s="13"/>
      <c r="G2178" s="13"/>
      <c r="H2178" s="13"/>
      <c r="I2178" s="11"/>
      <c r="J2178" s="11"/>
      <c r="K2178" s="11"/>
      <c r="L2178" s="11"/>
      <c r="M2178" s="15"/>
      <c r="N2178" s="15"/>
      <c r="O2178" s="15"/>
      <c r="P2178" s="15"/>
      <c r="Q2178" s="16"/>
      <c r="R2178" s="16"/>
      <c r="S2178" s="16"/>
      <c r="T2178" s="17"/>
      <c r="U2178" s="11"/>
      <c r="V2178" s="16"/>
      <c r="W2178" s="11"/>
      <c r="X2178" s="11"/>
      <c r="Y2178" s="15"/>
      <c r="Z2178" s="11"/>
    </row>
    <row r="2179" spans="1:26" x14ac:dyDescent="0.25">
      <c r="A2179" s="11"/>
      <c r="B2179" s="11"/>
      <c r="C2179" s="11"/>
      <c r="D2179" s="11"/>
      <c r="E2179" s="12"/>
      <c r="F2179" s="13"/>
      <c r="G2179" s="13"/>
      <c r="H2179" s="13"/>
      <c r="I2179" s="11"/>
      <c r="J2179" s="11"/>
      <c r="K2179" s="11"/>
      <c r="L2179" s="11"/>
      <c r="M2179" s="15"/>
      <c r="N2179" s="15"/>
      <c r="O2179" s="15"/>
      <c r="P2179" s="15"/>
      <c r="Q2179" s="16"/>
      <c r="R2179" s="16"/>
      <c r="S2179" s="16"/>
      <c r="T2179" s="17"/>
      <c r="U2179" s="11"/>
      <c r="V2179" s="16"/>
      <c r="W2179" s="11"/>
      <c r="X2179" s="11"/>
      <c r="Y2179" s="15"/>
      <c r="Z2179" s="11"/>
    </row>
    <row r="2180" spans="1:26" x14ac:dyDescent="0.25">
      <c r="A2180" s="11"/>
      <c r="B2180" s="11"/>
      <c r="C2180" s="11"/>
      <c r="D2180" s="11"/>
      <c r="E2180" s="12"/>
      <c r="F2180" s="13"/>
      <c r="G2180" s="13"/>
      <c r="H2180" s="13"/>
      <c r="I2180" s="11"/>
      <c r="J2180" s="11"/>
      <c r="K2180" s="11"/>
      <c r="L2180" s="11"/>
      <c r="M2180" s="15"/>
      <c r="N2180" s="15"/>
      <c r="O2180" s="15"/>
      <c r="P2180" s="15"/>
      <c r="Q2180" s="16"/>
      <c r="R2180" s="16"/>
      <c r="S2180" s="16"/>
      <c r="T2180" s="17"/>
      <c r="U2180" s="11"/>
      <c r="V2180" s="16"/>
      <c r="W2180" s="11"/>
      <c r="X2180" s="11"/>
      <c r="Y2180" s="15"/>
      <c r="Z2180" s="11"/>
    </row>
    <row r="2181" spans="1:26" x14ac:dyDescent="0.25">
      <c r="A2181" s="19"/>
      <c r="B2181" s="19"/>
      <c r="C2181" s="19"/>
      <c r="D2181" s="19"/>
      <c r="E2181" s="19"/>
      <c r="F2181" s="20"/>
      <c r="G2181" s="13"/>
      <c r="H2181" s="20"/>
      <c r="I2181" s="19"/>
      <c r="J2181" s="19"/>
      <c r="K2181" s="19"/>
      <c r="L2181" s="19"/>
      <c r="M2181" s="21"/>
      <c r="N2181" s="21"/>
      <c r="O2181" s="21"/>
      <c r="P2181" s="21"/>
      <c r="Q2181" s="22"/>
      <c r="R2181" s="19"/>
      <c r="S2181" s="22"/>
      <c r="T2181" s="23"/>
      <c r="U2181" s="19"/>
      <c r="V2181" s="22"/>
      <c r="W2181" s="19"/>
      <c r="X2181" s="19"/>
      <c r="Y2181" s="21"/>
      <c r="Z2181" s="19"/>
    </row>
    <row r="2182" spans="1:26" x14ac:dyDescent="0.25">
      <c r="A2182" s="11"/>
      <c r="B2182" s="11"/>
      <c r="C2182" s="11"/>
      <c r="D2182" s="11"/>
      <c r="E2182" s="12"/>
      <c r="F2182" s="13"/>
      <c r="G2182" s="13"/>
      <c r="H2182" s="13"/>
      <c r="I2182" s="11"/>
      <c r="J2182" s="11"/>
      <c r="K2182" s="11"/>
      <c r="L2182" s="11"/>
      <c r="M2182" s="15"/>
      <c r="N2182" s="15"/>
      <c r="O2182" s="15"/>
      <c r="P2182" s="15"/>
      <c r="Q2182" s="16"/>
      <c r="R2182" s="16"/>
      <c r="S2182" s="16"/>
      <c r="T2182" s="17"/>
      <c r="U2182" s="11"/>
      <c r="V2182" s="16"/>
      <c r="W2182" s="11"/>
      <c r="X2182" s="11"/>
      <c r="Y2182" s="15"/>
      <c r="Z2182" s="11"/>
    </row>
    <row r="2183" spans="1:26" x14ac:dyDescent="0.25">
      <c r="A2183" s="11"/>
      <c r="B2183" s="11"/>
      <c r="C2183" s="11"/>
      <c r="D2183" s="11"/>
      <c r="E2183" s="12"/>
      <c r="F2183" s="13"/>
      <c r="G2183" s="13"/>
      <c r="H2183" s="13"/>
      <c r="I2183" s="11"/>
      <c r="J2183" s="11"/>
      <c r="K2183" s="11"/>
      <c r="L2183" s="11"/>
      <c r="M2183" s="15"/>
      <c r="N2183" s="15"/>
      <c r="O2183" s="15"/>
      <c r="P2183" s="15"/>
      <c r="Q2183" s="16"/>
      <c r="R2183" s="16"/>
      <c r="S2183" s="16"/>
      <c r="T2183" s="17"/>
      <c r="U2183" s="11"/>
      <c r="V2183" s="16"/>
      <c r="W2183" s="11"/>
      <c r="X2183" s="11"/>
      <c r="Y2183" s="15"/>
      <c r="Z2183" s="11"/>
    </row>
    <row r="2184" spans="1:26" x14ac:dyDescent="0.25">
      <c r="A2184" s="11"/>
      <c r="B2184" s="11"/>
      <c r="C2184" s="11"/>
      <c r="D2184" s="11"/>
      <c r="E2184" s="12"/>
      <c r="F2184" s="13"/>
      <c r="G2184" s="13"/>
      <c r="H2184" s="13"/>
      <c r="I2184" s="11"/>
      <c r="J2184" s="11"/>
      <c r="K2184" s="11"/>
      <c r="L2184" s="11"/>
      <c r="M2184" s="15"/>
      <c r="N2184" s="15"/>
      <c r="O2184" s="15"/>
      <c r="P2184" s="15"/>
      <c r="Q2184" s="16"/>
      <c r="R2184" s="16"/>
      <c r="S2184" s="16"/>
      <c r="T2184" s="17"/>
      <c r="U2184" s="11"/>
      <c r="V2184" s="16"/>
      <c r="W2184" s="11"/>
      <c r="X2184" s="11"/>
      <c r="Y2184" s="15"/>
      <c r="Z2184" s="11"/>
    </row>
    <row r="2185" spans="1:26" x14ac:dyDescent="0.25">
      <c r="A2185" s="11"/>
      <c r="B2185" s="11"/>
      <c r="C2185" s="11"/>
      <c r="D2185" s="11"/>
      <c r="E2185" s="12"/>
      <c r="F2185" s="13"/>
      <c r="G2185" s="13"/>
      <c r="H2185" s="13"/>
      <c r="I2185" s="11"/>
      <c r="J2185" s="11"/>
      <c r="K2185" s="11"/>
      <c r="L2185" s="11"/>
      <c r="M2185" s="15"/>
      <c r="N2185" s="15"/>
      <c r="O2185" s="15"/>
      <c r="P2185" s="15"/>
      <c r="Q2185" s="16"/>
      <c r="R2185" s="16"/>
      <c r="S2185" s="16"/>
      <c r="T2185" s="17"/>
      <c r="U2185" s="11"/>
      <c r="V2185" s="16"/>
      <c r="W2185" s="11"/>
      <c r="X2185" s="11"/>
      <c r="Y2185" s="15"/>
      <c r="Z2185" s="11"/>
    </row>
    <row r="2186" spans="1:26" x14ac:dyDescent="0.25">
      <c r="A2186" s="11"/>
      <c r="B2186" s="11"/>
      <c r="C2186" s="11"/>
      <c r="D2186" s="11"/>
      <c r="E2186" s="12"/>
      <c r="F2186" s="13"/>
      <c r="G2186" s="13"/>
      <c r="H2186" s="13"/>
      <c r="I2186" s="11"/>
      <c r="J2186" s="11"/>
      <c r="K2186" s="11"/>
      <c r="L2186" s="11"/>
      <c r="M2186" s="15"/>
      <c r="N2186" s="15"/>
      <c r="O2186" s="15"/>
      <c r="P2186" s="15"/>
      <c r="Q2186" s="16"/>
      <c r="R2186" s="16"/>
      <c r="S2186" s="16"/>
      <c r="T2186" s="17"/>
      <c r="U2186" s="11"/>
      <c r="V2186" s="16"/>
      <c r="W2186" s="11"/>
      <c r="X2186" s="11"/>
      <c r="Y2186" s="15"/>
      <c r="Z2186" s="11"/>
    </row>
    <row r="2187" spans="1:26" x14ac:dyDescent="0.25">
      <c r="A2187" s="11"/>
      <c r="B2187" s="11"/>
      <c r="C2187" s="11"/>
      <c r="D2187" s="11"/>
      <c r="E2187" s="12"/>
      <c r="F2187" s="13"/>
      <c r="G2187" s="13"/>
      <c r="H2187" s="13"/>
      <c r="I2187" s="11"/>
      <c r="J2187" s="11"/>
      <c r="K2187" s="11"/>
      <c r="L2187" s="11"/>
      <c r="M2187" s="15"/>
      <c r="N2187" s="15"/>
      <c r="O2187" s="15"/>
      <c r="P2187" s="15"/>
      <c r="Q2187" s="16"/>
      <c r="R2187" s="16"/>
      <c r="S2187" s="16"/>
      <c r="T2187" s="17"/>
      <c r="U2187" s="11"/>
      <c r="V2187" s="16"/>
      <c r="W2187" s="11"/>
      <c r="X2187" s="11"/>
      <c r="Y2187" s="15"/>
      <c r="Z2187" s="11"/>
    </row>
    <row r="2188" spans="1:26" x14ac:dyDescent="0.25">
      <c r="A2188" s="11"/>
      <c r="B2188" s="11"/>
      <c r="C2188" s="11"/>
      <c r="D2188" s="11"/>
      <c r="E2188" s="12"/>
      <c r="F2188" s="13"/>
      <c r="G2188" s="13"/>
      <c r="H2188" s="13"/>
      <c r="I2188" s="11"/>
      <c r="J2188" s="11"/>
      <c r="K2188" s="11"/>
      <c r="L2188" s="11"/>
      <c r="M2188" s="15"/>
      <c r="N2188" s="15"/>
      <c r="O2188" s="15"/>
      <c r="P2188" s="15"/>
      <c r="Q2188" s="16"/>
      <c r="R2188" s="16"/>
      <c r="S2188" s="16"/>
      <c r="T2188" s="17"/>
      <c r="U2188" s="11"/>
      <c r="V2188" s="16"/>
      <c r="W2188" s="11"/>
      <c r="X2188" s="11"/>
      <c r="Y2188" s="15"/>
      <c r="Z2188" s="11"/>
    </row>
    <row r="2189" spans="1:26" x14ac:dyDescent="0.25">
      <c r="A2189" s="11"/>
      <c r="B2189" s="11"/>
      <c r="C2189" s="11"/>
      <c r="D2189" s="11"/>
      <c r="E2189" s="12"/>
      <c r="F2189" s="13"/>
      <c r="G2189" s="13"/>
      <c r="H2189" s="13"/>
      <c r="I2189" s="11"/>
      <c r="J2189" s="11"/>
      <c r="K2189" s="11"/>
      <c r="L2189" s="11"/>
      <c r="M2189" s="15"/>
      <c r="N2189" s="15"/>
      <c r="O2189" s="15"/>
      <c r="P2189" s="15"/>
      <c r="Q2189" s="16"/>
      <c r="R2189" s="16"/>
      <c r="S2189" s="16"/>
      <c r="T2189" s="17"/>
      <c r="U2189" s="11"/>
      <c r="V2189" s="16"/>
      <c r="W2189" s="11"/>
      <c r="X2189" s="11"/>
      <c r="Y2189" s="15"/>
      <c r="Z2189" s="11"/>
    </row>
    <row r="2190" spans="1:26" x14ac:dyDescent="0.25">
      <c r="A2190" s="11"/>
      <c r="B2190" s="11"/>
      <c r="C2190" s="11"/>
      <c r="D2190" s="11"/>
      <c r="E2190" s="12"/>
      <c r="F2190" s="13"/>
      <c r="G2190" s="13"/>
      <c r="H2190" s="13"/>
      <c r="I2190" s="11"/>
      <c r="J2190" s="11"/>
      <c r="K2190" s="11"/>
      <c r="L2190" s="11"/>
      <c r="M2190" s="15"/>
      <c r="N2190" s="15"/>
      <c r="O2190" s="15"/>
      <c r="P2190" s="15"/>
      <c r="Q2190" s="16"/>
      <c r="R2190" s="16"/>
      <c r="S2190" s="16"/>
      <c r="T2190" s="17"/>
      <c r="U2190" s="11"/>
      <c r="V2190" s="16"/>
      <c r="W2190" s="11"/>
      <c r="X2190" s="11"/>
      <c r="Y2190" s="15"/>
      <c r="Z2190" s="11"/>
    </row>
    <row r="2191" spans="1:26" x14ac:dyDescent="0.25">
      <c r="A2191" s="11"/>
      <c r="B2191" s="11"/>
      <c r="C2191" s="11"/>
      <c r="D2191" s="11"/>
      <c r="E2191" s="12"/>
      <c r="F2191" s="13"/>
      <c r="G2191" s="13"/>
      <c r="H2191" s="13"/>
      <c r="I2191" s="11"/>
      <c r="J2191" s="11"/>
      <c r="K2191" s="11"/>
      <c r="L2191" s="11"/>
      <c r="M2191" s="15"/>
      <c r="N2191" s="15"/>
      <c r="O2191" s="15"/>
      <c r="P2191" s="15"/>
      <c r="Q2191" s="16"/>
      <c r="R2191" s="16"/>
      <c r="S2191" s="16"/>
      <c r="T2191" s="17"/>
      <c r="U2191" s="11"/>
      <c r="V2191" s="16"/>
      <c r="W2191" s="11"/>
      <c r="X2191" s="11"/>
      <c r="Y2191" s="15"/>
      <c r="Z2191" s="11"/>
    </row>
    <row r="2192" spans="1:26" x14ac:dyDescent="0.25">
      <c r="A2192" s="11"/>
      <c r="B2192" s="11"/>
      <c r="C2192" s="11"/>
      <c r="D2192" s="11"/>
      <c r="E2192" s="12"/>
      <c r="F2192" s="13"/>
      <c r="G2192" s="13"/>
      <c r="H2192" s="13"/>
      <c r="I2192" s="11"/>
      <c r="J2192" s="11"/>
      <c r="K2192" s="11"/>
      <c r="L2192" s="11"/>
      <c r="M2192" s="15"/>
      <c r="N2192" s="15"/>
      <c r="O2192" s="15"/>
      <c r="P2192" s="15"/>
      <c r="Q2192" s="16"/>
      <c r="R2192" s="16"/>
      <c r="S2192" s="16"/>
      <c r="T2192" s="17"/>
      <c r="U2192" s="11"/>
      <c r="V2192" s="16"/>
      <c r="W2192" s="11"/>
      <c r="X2192" s="11"/>
      <c r="Y2192" s="15"/>
      <c r="Z2192" s="11"/>
    </row>
    <row r="2193" spans="1:26" x14ac:dyDescent="0.25">
      <c r="A2193" s="11"/>
      <c r="B2193" s="11"/>
      <c r="C2193" s="11"/>
      <c r="D2193" s="11"/>
      <c r="E2193" s="12"/>
      <c r="F2193" s="13"/>
      <c r="G2193" s="13"/>
      <c r="H2193" s="13"/>
      <c r="I2193" s="11"/>
      <c r="J2193" s="11"/>
      <c r="K2193" s="11"/>
      <c r="L2193" s="11"/>
      <c r="M2193" s="15"/>
      <c r="N2193" s="15"/>
      <c r="O2193" s="15"/>
      <c r="P2193" s="15"/>
      <c r="Q2193" s="16"/>
      <c r="R2193" s="16"/>
      <c r="S2193" s="16"/>
      <c r="T2193" s="17"/>
      <c r="U2193" s="11"/>
      <c r="V2193" s="16"/>
      <c r="W2193" s="11"/>
      <c r="X2193" s="11"/>
      <c r="Y2193" s="15"/>
      <c r="Z2193" s="11"/>
    </row>
    <row r="2194" spans="1:26" x14ac:dyDescent="0.25">
      <c r="A2194" s="11"/>
      <c r="B2194" s="11"/>
      <c r="C2194" s="11"/>
      <c r="D2194" s="11"/>
      <c r="E2194" s="12"/>
      <c r="F2194" s="13"/>
      <c r="G2194" s="13"/>
      <c r="H2194" s="13"/>
      <c r="I2194" s="11"/>
      <c r="J2194" s="11"/>
      <c r="K2194" s="11"/>
      <c r="L2194" s="11"/>
      <c r="M2194" s="15"/>
      <c r="N2194" s="15"/>
      <c r="O2194" s="15"/>
      <c r="P2194" s="15"/>
      <c r="Q2194" s="16"/>
      <c r="R2194" s="16"/>
      <c r="S2194" s="16"/>
      <c r="T2194" s="17"/>
      <c r="U2194" s="11"/>
      <c r="V2194" s="16"/>
      <c r="W2194" s="11"/>
      <c r="X2194" s="11"/>
      <c r="Y2194" s="15"/>
      <c r="Z2194" s="11"/>
    </row>
    <row r="2195" spans="1:26" x14ac:dyDescent="0.25">
      <c r="A2195" s="11"/>
      <c r="B2195" s="11"/>
      <c r="C2195" s="11"/>
      <c r="D2195" s="11"/>
      <c r="E2195" s="12"/>
      <c r="F2195" s="13"/>
      <c r="G2195" s="13"/>
      <c r="H2195" s="13"/>
      <c r="I2195" s="11"/>
      <c r="J2195" s="11"/>
      <c r="K2195" s="11"/>
      <c r="L2195" s="11"/>
      <c r="M2195" s="15"/>
      <c r="N2195" s="15"/>
      <c r="O2195" s="15"/>
      <c r="P2195" s="15"/>
      <c r="Q2195" s="16"/>
      <c r="R2195" s="16"/>
      <c r="S2195" s="16"/>
      <c r="T2195" s="17"/>
      <c r="U2195" s="11"/>
      <c r="V2195" s="16"/>
      <c r="W2195" s="11"/>
      <c r="X2195" s="11"/>
      <c r="Y2195" s="15"/>
      <c r="Z2195" s="11"/>
    </row>
    <row r="2196" spans="1:26" x14ac:dyDescent="0.25">
      <c r="A2196" s="18"/>
      <c r="B2196" s="18"/>
      <c r="C2196" s="18"/>
      <c r="D2196" s="18"/>
      <c r="E2196" s="19"/>
      <c r="F2196" s="20"/>
      <c r="G2196" s="13"/>
      <c r="H2196" s="20"/>
      <c r="I2196" s="18"/>
      <c r="J2196" s="18"/>
      <c r="K2196" s="18"/>
      <c r="L2196" s="18"/>
      <c r="M2196" s="21"/>
      <c r="N2196" s="21"/>
      <c r="O2196" s="21"/>
      <c r="P2196" s="21"/>
      <c r="Q2196" s="22"/>
      <c r="R2196" s="19"/>
      <c r="S2196" s="22"/>
      <c r="T2196" s="23"/>
      <c r="U2196" s="18"/>
      <c r="V2196" s="22"/>
      <c r="W2196" s="18"/>
      <c r="X2196" s="18"/>
      <c r="Y2196" s="21"/>
      <c r="Z2196" s="18"/>
    </row>
    <row r="2197" spans="1:26" x14ac:dyDescent="0.25">
      <c r="A2197" s="11"/>
      <c r="B2197" s="11"/>
      <c r="C2197" s="11"/>
      <c r="D2197" s="11"/>
      <c r="E2197" s="12"/>
      <c r="F2197" s="13"/>
      <c r="G2197" s="13"/>
      <c r="H2197" s="13"/>
      <c r="I2197" s="11"/>
      <c r="J2197" s="11"/>
      <c r="K2197" s="11"/>
      <c r="L2197" s="11"/>
      <c r="M2197" s="15"/>
      <c r="N2197" s="15"/>
      <c r="O2197" s="15"/>
      <c r="P2197" s="15"/>
      <c r="Q2197" s="16"/>
      <c r="R2197" s="16"/>
      <c r="S2197" s="16"/>
      <c r="T2197" s="17"/>
      <c r="U2197" s="11"/>
      <c r="V2197" s="16"/>
      <c r="W2197" s="11"/>
      <c r="X2197" s="11"/>
      <c r="Y2197" s="15"/>
      <c r="Z2197" s="11"/>
    </row>
    <row r="2198" spans="1:26" x14ac:dyDescent="0.25">
      <c r="A2198" s="11"/>
      <c r="B2198" s="11"/>
      <c r="C2198" s="11"/>
      <c r="D2198" s="11"/>
      <c r="E2198" s="12"/>
      <c r="F2198" s="13"/>
      <c r="G2198" s="13"/>
      <c r="H2198" s="13"/>
      <c r="I2198" s="11"/>
      <c r="J2198" s="11"/>
      <c r="K2198" s="11"/>
      <c r="L2198" s="11"/>
      <c r="M2198" s="15"/>
      <c r="N2198" s="15"/>
      <c r="O2198" s="15"/>
      <c r="P2198" s="15"/>
      <c r="Q2198" s="16"/>
      <c r="R2198" s="16"/>
      <c r="S2198" s="16"/>
      <c r="T2198" s="17"/>
      <c r="U2198" s="11"/>
      <c r="V2198" s="16"/>
      <c r="W2198" s="11"/>
      <c r="X2198" s="11"/>
      <c r="Y2198" s="15"/>
      <c r="Z2198" s="11"/>
    </row>
    <row r="2199" spans="1:26" x14ac:dyDescent="0.25">
      <c r="A2199" s="19"/>
      <c r="B2199" s="19"/>
      <c r="C2199" s="19"/>
      <c r="D2199" s="19"/>
      <c r="E2199" s="19"/>
      <c r="F2199" s="20"/>
      <c r="G2199" s="13"/>
      <c r="H2199" s="20"/>
      <c r="I2199" s="19"/>
      <c r="J2199" s="19"/>
      <c r="K2199" s="19"/>
      <c r="L2199" s="19"/>
      <c r="M2199" s="21"/>
      <c r="N2199" s="21"/>
      <c r="O2199" s="21"/>
      <c r="P2199" s="21"/>
      <c r="Q2199" s="22"/>
      <c r="R2199" s="19"/>
      <c r="S2199" s="22"/>
      <c r="T2199" s="23"/>
      <c r="U2199" s="19"/>
      <c r="V2199" s="22"/>
      <c r="W2199" s="19"/>
      <c r="X2199" s="19"/>
      <c r="Y2199" s="21"/>
      <c r="Z2199" s="19"/>
    </row>
    <row r="2200" spans="1:26" x14ac:dyDescent="0.25">
      <c r="A2200" s="11"/>
      <c r="B2200" s="11"/>
      <c r="C2200" s="11"/>
      <c r="D2200" s="11"/>
      <c r="E2200" s="12"/>
      <c r="F2200" s="13"/>
      <c r="G2200" s="13"/>
      <c r="H2200" s="13"/>
      <c r="I2200" s="11"/>
      <c r="J2200" s="11"/>
      <c r="K2200" s="11"/>
      <c r="L2200" s="11"/>
      <c r="M2200" s="15"/>
      <c r="N2200" s="15"/>
      <c r="O2200" s="15"/>
      <c r="P2200" s="15"/>
      <c r="Q2200" s="16"/>
      <c r="R2200" s="16"/>
      <c r="S2200" s="16"/>
      <c r="T2200" s="17"/>
      <c r="U2200" s="11"/>
      <c r="V2200" s="16"/>
      <c r="W2200" s="11"/>
      <c r="X2200" s="11"/>
      <c r="Y2200" s="15"/>
      <c r="Z2200" s="11"/>
    </row>
    <row r="2201" spans="1:26" x14ac:dyDescent="0.25">
      <c r="A2201" s="11"/>
      <c r="B2201" s="11"/>
      <c r="C2201" s="11"/>
      <c r="D2201" s="11"/>
      <c r="E2201" s="12"/>
      <c r="F2201" s="13"/>
      <c r="G2201" s="13"/>
      <c r="H2201" s="13"/>
      <c r="I2201" s="11"/>
      <c r="J2201" s="11"/>
      <c r="K2201" s="11"/>
      <c r="L2201" s="11"/>
      <c r="M2201" s="15"/>
      <c r="N2201" s="15"/>
      <c r="O2201" s="15"/>
      <c r="P2201" s="15"/>
      <c r="Q2201" s="16"/>
      <c r="R2201" s="16"/>
      <c r="S2201" s="16"/>
      <c r="T2201" s="17"/>
      <c r="U2201" s="11"/>
      <c r="V2201" s="16"/>
      <c r="W2201" s="11"/>
      <c r="X2201" s="11"/>
      <c r="Y2201" s="15"/>
      <c r="Z2201" s="11"/>
    </row>
    <row r="2202" spans="1:26" x14ac:dyDescent="0.25">
      <c r="A2202" s="11"/>
      <c r="B2202" s="11"/>
      <c r="C2202" s="11"/>
      <c r="D2202" s="11"/>
      <c r="E2202" s="12"/>
      <c r="F2202" s="13"/>
      <c r="G2202" s="13"/>
      <c r="H2202" s="13"/>
      <c r="I2202" s="11"/>
      <c r="J2202" s="11"/>
      <c r="K2202" s="11"/>
      <c r="L2202" s="11"/>
      <c r="M2202" s="15"/>
      <c r="N2202" s="15"/>
      <c r="O2202" s="15"/>
      <c r="P2202" s="15"/>
      <c r="Q2202" s="16"/>
      <c r="R2202" s="16"/>
      <c r="S2202" s="16"/>
      <c r="T2202" s="17"/>
      <c r="U2202" s="11"/>
      <c r="V2202" s="16"/>
      <c r="W2202" s="11"/>
      <c r="X2202" s="11"/>
      <c r="Y2202" s="15"/>
      <c r="Z2202" s="11"/>
    </row>
    <row r="2203" spans="1:26" x14ac:dyDescent="0.25">
      <c r="A2203" s="18"/>
      <c r="B2203" s="18"/>
      <c r="C2203" s="18"/>
      <c r="D2203" s="18"/>
      <c r="E2203" s="19"/>
      <c r="F2203" s="20"/>
      <c r="G2203" s="13"/>
      <c r="H2203" s="20"/>
      <c r="I2203" s="18"/>
      <c r="J2203" s="18"/>
      <c r="K2203" s="18"/>
      <c r="L2203" s="18"/>
      <c r="M2203" s="21"/>
      <c r="N2203" s="21"/>
      <c r="O2203" s="21"/>
      <c r="P2203" s="21"/>
      <c r="Q2203" s="22"/>
      <c r="R2203" s="19"/>
      <c r="S2203" s="22"/>
      <c r="T2203" s="23"/>
      <c r="U2203" s="18"/>
      <c r="V2203" s="22"/>
      <c r="W2203" s="18"/>
      <c r="X2203" s="18"/>
      <c r="Y2203" s="21"/>
      <c r="Z2203" s="18"/>
    </row>
    <row r="2204" spans="1:26" x14ac:dyDescent="0.25">
      <c r="A2204" s="18"/>
      <c r="B2204" s="18"/>
      <c r="C2204" s="18"/>
      <c r="D2204" s="18"/>
      <c r="E2204" s="19"/>
      <c r="F2204" s="20"/>
      <c r="G2204" s="13"/>
      <c r="H2204" s="20"/>
      <c r="I2204" s="18"/>
      <c r="J2204" s="18"/>
      <c r="K2204" s="18"/>
      <c r="L2204" s="18"/>
      <c r="M2204" s="21"/>
      <c r="N2204" s="21"/>
      <c r="O2204" s="21"/>
      <c r="P2204" s="21"/>
      <c r="Q2204" s="22"/>
      <c r="R2204" s="19"/>
      <c r="S2204" s="22"/>
      <c r="T2204" s="23"/>
      <c r="U2204" s="18"/>
      <c r="V2204" s="22"/>
      <c r="W2204" s="18"/>
      <c r="X2204" s="18"/>
      <c r="Y2204" s="21"/>
      <c r="Z2204" s="18"/>
    </row>
    <row r="2205" spans="1:26" x14ac:dyDescent="0.25">
      <c r="A2205" s="19"/>
      <c r="B2205" s="19"/>
      <c r="C2205" s="19"/>
      <c r="D2205" s="19"/>
      <c r="E2205" s="19"/>
      <c r="F2205" s="20"/>
      <c r="G2205" s="13"/>
      <c r="H2205" s="20"/>
      <c r="I2205" s="19"/>
      <c r="J2205" s="19"/>
      <c r="K2205" s="19"/>
      <c r="L2205" s="19"/>
      <c r="M2205" s="21"/>
      <c r="N2205" s="21"/>
      <c r="O2205" s="21"/>
      <c r="P2205" s="21"/>
      <c r="Q2205" s="22"/>
      <c r="R2205" s="19"/>
      <c r="S2205" s="22"/>
      <c r="T2205" s="23"/>
      <c r="U2205" s="19"/>
      <c r="V2205" s="22"/>
      <c r="W2205" s="19"/>
      <c r="X2205" s="19"/>
      <c r="Y2205" s="21"/>
      <c r="Z2205" s="19"/>
    </row>
    <row r="2206" spans="1:26" x14ac:dyDescent="0.25">
      <c r="A2206" s="11"/>
      <c r="B2206" s="11"/>
      <c r="C2206" s="11"/>
      <c r="D2206" s="11"/>
      <c r="E2206" s="12"/>
      <c r="F2206" s="13"/>
      <c r="G2206" s="13"/>
      <c r="H2206" s="13"/>
      <c r="I2206" s="11"/>
      <c r="J2206" s="11"/>
      <c r="K2206" s="11"/>
      <c r="L2206" s="11"/>
      <c r="M2206" s="15"/>
      <c r="N2206" s="15"/>
      <c r="O2206" s="15"/>
      <c r="P2206" s="15"/>
      <c r="Q2206" s="16"/>
      <c r="R2206" s="16"/>
      <c r="S2206" s="16"/>
      <c r="T2206" s="17"/>
      <c r="U2206" s="11"/>
      <c r="V2206" s="16"/>
      <c r="W2206" s="11"/>
      <c r="X2206" s="11"/>
      <c r="Y2206" s="15"/>
      <c r="Z2206" s="11"/>
    </row>
    <row r="2207" spans="1:26" x14ac:dyDescent="0.25">
      <c r="A2207" s="11"/>
      <c r="B2207" s="11"/>
      <c r="C2207" s="11"/>
      <c r="D2207" s="11"/>
      <c r="E2207" s="12"/>
      <c r="F2207" s="13"/>
      <c r="G2207" s="13"/>
      <c r="H2207" s="13"/>
      <c r="I2207" s="11"/>
      <c r="J2207" s="11"/>
      <c r="K2207" s="11"/>
      <c r="L2207" s="11"/>
      <c r="M2207" s="15"/>
      <c r="N2207" s="15"/>
      <c r="O2207" s="15"/>
      <c r="P2207" s="15"/>
      <c r="Q2207" s="16"/>
      <c r="R2207" s="16"/>
      <c r="S2207" s="16"/>
      <c r="T2207" s="17"/>
      <c r="U2207" s="11"/>
      <c r="V2207" s="16"/>
      <c r="W2207" s="11"/>
      <c r="X2207" s="11"/>
      <c r="Y2207" s="15"/>
      <c r="Z2207" s="11"/>
    </row>
    <row r="2208" spans="1:26" x14ac:dyDescent="0.25">
      <c r="A2208" s="11"/>
      <c r="B2208" s="11"/>
      <c r="C2208" s="11"/>
      <c r="D2208" s="11"/>
      <c r="E2208" s="12"/>
      <c r="F2208" s="13"/>
      <c r="G2208" s="13"/>
      <c r="H2208" s="13"/>
      <c r="I2208" s="11"/>
      <c r="J2208" s="11"/>
      <c r="K2208" s="11"/>
      <c r="L2208" s="11"/>
      <c r="M2208" s="15"/>
      <c r="N2208" s="15"/>
      <c r="O2208" s="15"/>
      <c r="P2208" s="15"/>
      <c r="Q2208" s="16"/>
      <c r="R2208" s="16"/>
      <c r="S2208" s="16"/>
      <c r="T2208" s="17"/>
      <c r="U2208" s="11"/>
      <c r="V2208" s="16"/>
      <c r="W2208" s="11"/>
      <c r="X2208" s="11"/>
      <c r="Y2208" s="15"/>
      <c r="Z2208" s="11"/>
    </row>
    <row r="2209" spans="1:26" x14ac:dyDescent="0.25">
      <c r="A2209" s="11"/>
      <c r="B2209" s="11"/>
      <c r="C2209" s="11"/>
      <c r="D2209" s="11"/>
      <c r="E2209" s="12"/>
      <c r="F2209" s="13"/>
      <c r="G2209" s="13"/>
      <c r="H2209" s="13"/>
      <c r="I2209" s="11"/>
      <c r="J2209" s="11"/>
      <c r="K2209" s="11"/>
      <c r="L2209" s="11"/>
      <c r="M2209" s="15"/>
      <c r="N2209" s="15"/>
      <c r="O2209" s="15"/>
      <c r="P2209" s="15"/>
      <c r="Q2209" s="16"/>
      <c r="R2209" s="16"/>
      <c r="S2209" s="16"/>
      <c r="T2209" s="17"/>
      <c r="U2209" s="11"/>
      <c r="V2209" s="16"/>
      <c r="W2209" s="11"/>
      <c r="X2209" s="11"/>
      <c r="Y2209" s="15"/>
      <c r="Z2209" s="11"/>
    </row>
    <row r="2210" spans="1:26" x14ac:dyDescent="0.25">
      <c r="A2210" s="19"/>
      <c r="B2210" s="19"/>
      <c r="C2210" s="19"/>
      <c r="D2210" s="19"/>
      <c r="E2210" s="19"/>
      <c r="F2210" s="20"/>
      <c r="G2210" s="13"/>
      <c r="H2210" s="20"/>
      <c r="I2210" s="19"/>
      <c r="J2210" s="19"/>
      <c r="K2210" s="19"/>
      <c r="L2210" s="19"/>
      <c r="M2210" s="21"/>
      <c r="N2210" s="21"/>
      <c r="O2210" s="21"/>
      <c r="P2210" s="21"/>
      <c r="Q2210" s="22"/>
      <c r="R2210" s="19"/>
      <c r="S2210" s="22"/>
      <c r="T2210" s="23"/>
      <c r="U2210" s="19"/>
      <c r="V2210" s="22"/>
      <c r="W2210" s="19"/>
      <c r="X2210" s="19"/>
      <c r="Y2210" s="21"/>
      <c r="Z2210" s="19"/>
    </row>
    <row r="2211" spans="1:26" x14ac:dyDescent="0.25">
      <c r="A2211" s="19"/>
      <c r="B2211" s="19"/>
      <c r="C2211" s="19"/>
      <c r="D2211" s="19"/>
      <c r="E2211" s="19"/>
      <c r="F2211" s="20"/>
      <c r="G2211" s="13"/>
      <c r="H2211" s="20"/>
      <c r="I2211" s="19"/>
      <c r="J2211" s="19"/>
      <c r="K2211" s="19"/>
      <c r="L2211" s="19"/>
      <c r="M2211" s="21"/>
      <c r="N2211" s="21"/>
      <c r="O2211" s="21"/>
      <c r="P2211" s="21"/>
      <c r="Q2211" s="22"/>
      <c r="R2211" s="19"/>
      <c r="S2211" s="22"/>
      <c r="T2211" s="23"/>
      <c r="U2211" s="19"/>
      <c r="V2211" s="22"/>
      <c r="W2211" s="19"/>
      <c r="X2211" s="19"/>
      <c r="Y2211" s="21"/>
      <c r="Z2211" s="19"/>
    </row>
    <row r="2212" spans="1:26" x14ac:dyDescent="0.25">
      <c r="A2212" s="18"/>
      <c r="B2212" s="18"/>
      <c r="C2212" s="18"/>
      <c r="D2212" s="18"/>
      <c r="E2212" s="19"/>
      <c r="F2212" s="20"/>
      <c r="G2212" s="13"/>
      <c r="H2212" s="20"/>
      <c r="I2212" s="18"/>
      <c r="J2212" s="18"/>
      <c r="K2212" s="18"/>
      <c r="L2212" s="18"/>
      <c r="M2212" s="21"/>
      <c r="N2212" s="21"/>
      <c r="O2212" s="21"/>
      <c r="P2212" s="21"/>
      <c r="Q2212" s="22"/>
      <c r="R2212" s="19"/>
      <c r="S2212" s="22"/>
      <c r="T2212" s="23"/>
      <c r="U2212" s="18"/>
      <c r="V2212" s="22"/>
      <c r="W2212" s="18"/>
      <c r="X2212" s="18"/>
      <c r="Y2212" s="21"/>
      <c r="Z2212" s="18"/>
    </row>
    <row r="2213" spans="1:26" x14ac:dyDescent="0.25">
      <c r="A2213" s="19"/>
      <c r="B2213" s="19"/>
      <c r="C2213" s="19"/>
      <c r="D2213" s="19"/>
      <c r="E2213" s="19"/>
      <c r="F2213" s="20"/>
      <c r="G2213" s="13"/>
      <c r="H2213" s="20"/>
      <c r="I2213" s="19"/>
      <c r="J2213" s="19"/>
      <c r="K2213" s="19"/>
      <c r="L2213" s="19"/>
      <c r="M2213" s="21"/>
      <c r="N2213" s="21"/>
      <c r="O2213" s="21"/>
      <c r="P2213" s="21"/>
      <c r="Q2213" s="22"/>
      <c r="R2213" s="19"/>
      <c r="S2213" s="22"/>
      <c r="T2213" s="23"/>
      <c r="U2213" s="19"/>
      <c r="V2213" s="22"/>
      <c r="W2213" s="19"/>
      <c r="X2213" s="19"/>
      <c r="Y2213" s="21"/>
      <c r="Z2213" s="19"/>
    </row>
    <row r="2214" spans="1:26" x14ac:dyDescent="0.25">
      <c r="A2214" s="11"/>
      <c r="B2214" s="11"/>
      <c r="C2214" s="11"/>
      <c r="D2214" s="11"/>
      <c r="E2214" s="12"/>
      <c r="F2214" s="13"/>
      <c r="G2214" s="13"/>
      <c r="H2214" s="13"/>
      <c r="I2214" s="11"/>
      <c r="J2214" s="11"/>
      <c r="K2214" s="11"/>
      <c r="L2214" s="11"/>
      <c r="M2214" s="15"/>
      <c r="N2214" s="15"/>
      <c r="O2214" s="15"/>
      <c r="P2214" s="15"/>
      <c r="Q2214" s="16"/>
      <c r="R2214" s="16"/>
      <c r="S2214" s="16"/>
      <c r="T2214" s="17"/>
      <c r="U2214" s="11"/>
      <c r="V2214" s="16"/>
      <c r="W2214" s="11"/>
      <c r="X2214" s="11"/>
      <c r="Y2214" s="15"/>
      <c r="Z2214" s="11"/>
    </row>
    <row r="2215" spans="1:26" x14ac:dyDescent="0.25">
      <c r="A2215" s="19"/>
      <c r="B2215" s="19"/>
      <c r="C2215" s="19"/>
      <c r="D2215" s="19"/>
      <c r="E2215" s="19"/>
      <c r="F2215" s="20"/>
      <c r="G2215" s="13"/>
      <c r="H2215" s="20"/>
      <c r="I2215" s="19"/>
      <c r="J2215" s="19"/>
      <c r="K2215" s="19"/>
      <c r="L2215" s="19"/>
      <c r="M2215" s="21"/>
      <c r="N2215" s="21"/>
      <c r="O2215" s="21"/>
      <c r="P2215" s="21"/>
      <c r="Q2215" s="22"/>
      <c r="R2215" s="19"/>
      <c r="S2215" s="22"/>
      <c r="T2215" s="23"/>
      <c r="U2215" s="19"/>
      <c r="V2215" s="22"/>
      <c r="W2215" s="19"/>
      <c r="X2215" s="19"/>
      <c r="Y2215" s="21"/>
      <c r="Z2215" s="19"/>
    </row>
    <row r="2216" spans="1:26" x14ac:dyDescent="0.25">
      <c r="A2216" s="11"/>
      <c r="B2216" s="11"/>
      <c r="C2216" s="11"/>
      <c r="D2216" s="11"/>
      <c r="E2216" s="12"/>
      <c r="F2216" s="13"/>
      <c r="G2216" s="13"/>
      <c r="H2216" s="13"/>
      <c r="I2216" s="11"/>
      <c r="J2216" s="11"/>
      <c r="K2216" s="11"/>
      <c r="L2216" s="11"/>
      <c r="M2216" s="15"/>
      <c r="N2216" s="15"/>
      <c r="O2216" s="15"/>
      <c r="P2216" s="15"/>
      <c r="Q2216" s="16"/>
      <c r="R2216" s="16"/>
      <c r="S2216" s="16"/>
      <c r="T2216" s="17"/>
      <c r="U2216" s="11"/>
      <c r="V2216" s="16"/>
      <c r="W2216" s="11"/>
      <c r="X2216" s="11"/>
      <c r="Y2216" s="15"/>
      <c r="Z2216" s="11"/>
    </row>
    <row r="2217" spans="1:26" x14ac:dyDescent="0.25">
      <c r="A2217" s="18"/>
      <c r="B2217" s="18"/>
      <c r="C2217" s="18"/>
      <c r="D2217" s="18"/>
      <c r="E2217" s="19"/>
      <c r="F2217" s="20"/>
      <c r="G2217" s="13"/>
      <c r="H2217" s="20"/>
      <c r="I2217" s="18"/>
      <c r="J2217" s="18"/>
      <c r="K2217" s="18"/>
      <c r="L2217" s="18"/>
      <c r="M2217" s="21"/>
      <c r="N2217" s="21"/>
      <c r="O2217" s="21"/>
      <c r="P2217" s="21"/>
      <c r="Q2217" s="22"/>
      <c r="R2217" s="19"/>
      <c r="S2217" s="22"/>
      <c r="T2217" s="23"/>
      <c r="U2217" s="18"/>
      <c r="V2217" s="22"/>
      <c r="W2217" s="18"/>
      <c r="X2217" s="18"/>
      <c r="Y2217" s="21"/>
      <c r="Z2217" s="18"/>
    </row>
    <row r="2218" spans="1:26" x14ac:dyDescent="0.25">
      <c r="A2218" s="19"/>
      <c r="B2218" s="19"/>
      <c r="C2218" s="19"/>
      <c r="D2218" s="19"/>
      <c r="E2218" s="19"/>
      <c r="F2218" s="20"/>
      <c r="G2218" s="13"/>
      <c r="H2218" s="20"/>
      <c r="I2218" s="19"/>
      <c r="J2218" s="19"/>
      <c r="K2218" s="19"/>
      <c r="L2218" s="19"/>
      <c r="M2218" s="21"/>
      <c r="N2218" s="21"/>
      <c r="O2218" s="21"/>
      <c r="P2218" s="21"/>
      <c r="Q2218" s="22"/>
      <c r="R2218" s="19"/>
      <c r="S2218" s="22"/>
      <c r="T2218" s="23"/>
      <c r="U2218" s="19"/>
      <c r="V2218" s="22"/>
      <c r="W2218" s="19"/>
      <c r="X2218" s="19"/>
      <c r="Y2218" s="21"/>
      <c r="Z2218" s="19"/>
    </row>
    <row r="2219" spans="1:26" x14ac:dyDescent="0.25">
      <c r="A2219" s="11"/>
      <c r="B2219" s="11"/>
      <c r="C2219" s="11"/>
      <c r="D2219" s="11"/>
      <c r="E2219" s="12"/>
      <c r="F2219" s="13"/>
      <c r="G2219" s="13"/>
      <c r="H2219" s="13"/>
      <c r="I2219" s="11"/>
      <c r="J2219" s="11"/>
      <c r="K2219" s="11"/>
      <c r="L2219" s="11"/>
      <c r="M2219" s="15"/>
      <c r="N2219" s="15"/>
      <c r="O2219" s="15"/>
      <c r="P2219" s="15"/>
      <c r="Q2219" s="16"/>
      <c r="R2219" s="16"/>
      <c r="S2219" s="16"/>
      <c r="T2219" s="17"/>
      <c r="U2219" s="11"/>
      <c r="V2219" s="16"/>
      <c r="W2219" s="11"/>
      <c r="X2219" s="11"/>
      <c r="Y2219" s="15"/>
      <c r="Z2219" s="11"/>
    </row>
    <row r="2220" spans="1:26" x14ac:dyDescent="0.25">
      <c r="A2220" s="11"/>
      <c r="B2220" s="11"/>
      <c r="C2220" s="11"/>
      <c r="D2220" s="11"/>
      <c r="E2220" s="12"/>
      <c r="F2220" s="13"/>
      <c r="G2220" s="13"/>
      <c r="H2220" s="13"/>
      <c r="I2220" s="11"/>
      <c r="J2220" s="11"/>
      <c r="K2220" s="11"/>
      <c r="L2220" s="11"/>
      <c r="M2220" s="15"/>
      <c r="N2220" s="15"/>
      <c r="O2220" s="15"/>
      <c r="P2220" s="15"/>
      <c r="Q2220" s="16"/>
      <c r="R2220" s="16"/>
      <c r="S2220" s="16"/>
      <c r="T2220" s="17"/>
      <c r="U2220" s="11"/>
      <c r="V2220" s="16"/>
      <c r="W2220" s="11"/>
      <c r="X2220" s="11"/>
      <c r="Y2220" s="15"/>
      <c r="Z2220" s="11"/>
    </row>
    <row r="2221" spans="1:26" x14ac:dyDescent="0.25">
      <c r="A2221" s="11"/>
      <c r="B2221" s="11"/>
      <c r="C2221" s="11"/>
      <c r="D2221" s="11"/>
      <c r="E2221" s="12"/>
      <c r="F2221" s="13"/>
      <c r="G2221" s="13"/>
      <c r="H2221" s="13"/>
      <c r="I2221" s="11"/>
      <c r="J2221" s="11"/>
      <c r="K2221" s="11"/>
      <c r="L2221" s="11"/>
      <c r="M2221" s="15"/>
      <c r="N2221" s="15"/>
      <c r="O2221" s="15"/>
      <c r="P2221" s="15"/>
      <c r="Q2221" s="16"/>
      <c r="R2221" s="16"/>
      <c r="S2221" s="16"/>
      <c r="T2221" s="17"/>
      <c r="U2221" s="11"/>
      <c r="V2221" s="16"/>
      <c r="W2221" s="11"/>
      <c r="X2221" s="11"/>
      <c r="Y2221" s="15"/>
      <c r="Z2221" s="11"/>
    </row>
    <row r="2222" spans="1:26" x14ac:dyDescent="0.25">
      <c r="A2222" s="18"/>
      <c r="B2222" s="18"/>
      <c r="C2222" s="18"/>
      <c r="D2222" s="18"/>
      <c r="E2222" s="19"/>
      <c r="F2222" s="20"/>
      <c r="G2222" s="13"/>
      <c r="H2222" s="20"/>
      <c r="I2222" s="18"/>
      <c r="J2222" s="18"/>
      <c r="K2222" s="18"/>
      <c r="L2222" s="18"/>
      <c r="M2222" s="21"/>
      <c r="N2222" s="21"/>
      <c r="O2222" s="21"/>
      <c r="P2222" s="21"/>
      <c r="Q2222" s="22"/>
      <c r="R2222" s="19"/>
      <c r="S2222" s="22"/>
      <c r="T2222" s="23"/>
      <c r="U2222" s="18"/>
      <c r="V2222" s="22"/>
      <c r="W2222" s="18"/>
      <c r="X2222" s="18"/>
      <c r="Y2222" s="21"/>
      <c r="Z2222" s="18"/>
    </row>
    <row r="2223" spans="1:26" x14ac:dyDescent="0.25">
      <c r="A2223" s="18"/>
      <c r="B2223" s="18"/>
      <c r="C2223" s="18"/>
      <c r="D2223" s="18"/>
      <c r="E2223" s="19"/>
      <c r="F2223" s="20"/>
      <c r="G2223" s="13"/>
      <c r="H2223" s="20"/>
      <c r="I2223" s="18"/>
      <c r="J2223" s="18"/>
      <c r="K2223" s="18"/>
      <c r="L2223" s="18"/>
      <c r="M2223" s="21"/>
      <c r="N2223" s="21"/>
      <c r="O2223" s="21"/>
      <c r="P2223" s="21"/>
      <c r="Q2223" s="22"/>
      <c r="R2223" s="19"/>
      <c r="S2223" s="22"/>
      <c r="T2223" s="23"/>
      <c r="U2223" s="18"/>
      <c r="V2223" s="22"/>
      <c r="W2223" s="18"/>
      <c r="X2223" s="18"/>
      <c r="Y2223" s="21"/>
      <c r="Z2223" s="18"/>
    </row>
    <row r="2224" spans="1:26" x14ac:dyDescent="0.25">
      <c r="A2224" s="11"/>
      <c r="B2224" s="11"/>
      <c r="C2224" s="11"/>
      <c r="D2224" s="11"/>
      <c r="E2224" s="12"/>
      <c r="F2224" s="13"/>
      <c r="G2224" s="13"/>
      <c r="H2224" s="13"/>
      <c r="I2224" s="11"/>
      <c r="J2224" s="11"/>
      <c r="K2224" s="11"/>
      <c r="L2224" s="11"/>
      <c r="M2224" s="15"/>
      <c r="N2224" s="15"/>
      <c r="O2224" s="15"/>
      <c r="P2224" s="15"/>
      <c r="Q2224" s="16"/>
      <c r="R2224" s="16"/>
      <c r="S2224" s="16"/>
      <c r="T2224" s="17"/>
      <c r="U2224" s="11"/>
      <c r="V2224" s="16"/>
      <c r="W2224" s="11"/>
      <c r="X2224" s="11"/>
      <c r="Y2224" s="15"/>
      <c r="Z2224" s="11"/>
    </row>
    <row r="2225" spans="1:26" x14ac:dyDescent="0.25">
      <c r="A2225" s="11"/>
      <c r="B2225" s="11"/>
      <c r="C2225" s="11"/>
      <c r="D2225" s="11"/>
      <c r="E2225" s="12"/>
      <c r="F2225" s="13"/>
      <c r="G2225" s="13"/>
      <c r="H2225" s="13"/>
      <c r="I2225" s="11"/>
      <c r="J2225" s="11"/>
      <c r="K2225" s="11"/>
      <c r="L2225" s="11"/>
      <c r="M2225" s="15"/>
      <c r="N2225" s="15"/>
      <c r="O2225" s="15"/>
      <c r="P2225" s="15"/>
      <c r="Q2225" s="16"/>
      <c r="R2225" s="16"/>
      <c r="S2225" s="16"/>
      <c r="T2225" s="17"/>
      <c r="U2225" s="11"/>
      <c r="V2225" s="16"/>
      <c r="W2225" s="11"/>
      <c r="X2225" s="11"/>
      <c r="Y2225" s="15"/>
      <c r="Z2225" s="11"/>
    </row>
    <row r="2226" spans="1:26" x14ac:dyDescent="0.25">
      <c r="A2226" s="11"/>
      <c r="B2226" s="11"/>
      <c r="C2226" s="11"/>
      <c r="D2226" s="11"/>
      <c r="E2226" s="12"/>
      <c r="F2226" s="13"/>
      <c r="G2226" s="13"/>
      <c r="H2226" s="13"/>
      <c r="I2226" s="11"/>
      <c r="J2226" s="11"/>
      <c r="K2226" s="11"/>
      <c r="L2226" s="11"/>
      <c r="M2226" s="15"/>
      <c r="N2226" s="15"/>
      <c r="O2226" s="15"/>
      <c r="P2226" s="15"/>
      <c r="Q2226" s="16"/>
      <c r="R2226" s="16"/>
      <c r="S2226" s="16"/>
      <c r="T2226" s="17"/>
      <c r="U2226" s="11"/>
      <c r="V2226" s="16"/>
      <c r="W2226" s="11"/>
      <c r="X2226" s="11"/>
      <c r="Y2226" s="15"/>
      <c r="Z2226" s="11"/>
    </row>
    <row r="2227" spans="1:26" x14ac:dyDescent="0.25">
      <c r="A2227" s="11"/>
      <c r="B2227" s="11"/>
      <c r="C2227" s="11"/>
      <c r="D2227" s="11"/>
      <c r="E2227" s="12"/>
      <c r="F2227" s="13"/>
      <c r="G2227" s="13"/>
      <c r="H2227" s="13"/>
      <c r="I2227" s="11"/>
      <c r="J2227" s="11"/>
      <c r="K2227" s="11"/>
      <c r="L2227" s="11"/>
      <c r="M2227" s="15"/>
      <c r="N2227" s="15"/>
      <c r="O2227" s="15"/>
      <c r="P2227" s="15"/>
      <c r="Q2227" s="16"/>
      <c r="R2227" s="16"/>
      <c r="S2227" s="16"/>
      <c r="T2227" s="17"/>
      <c r="U2227" s="11"/>
      <c r="V2227" s="16"/>
      <c r="W2227" s="11"/>
      <c r="X2227" s="11"/>
      <c r="Y2227" s="15"/>
      <c r="Z2227" s="11"/>
    </row>
    <row r="2228" spans="1:26" x14ac:dyDescent="0.25">
      <c r="A2228" s="18"/>
      <c r="B2228" s="18"/>
      <c r="C2228" s="18"/>
      <c r="D2228" s="18"/>
      <c r="E2228" s="19"/>
      <c r="F2228" s="20"/>
      <c r="G2228" s="13"/>
      <c r="H2228" s="20"/>
      <c r="I2228" s="18"/>
      <c r="J2228" s="18"/>
      <c r="K2228" s="18"/>
      <c r="L2228" s="18"/>
      <c r="M2228" s="21"/>
      <c r="N2228" s="21"/>
      <c r="O2228" s="21"/>
      <c r="P2228" s="21"/>
      <c r="Q2228" s="22"/>
      <c r="R2228" s="19"/>
      <c r="S2228" s="22"/>
      <c r="T2228" s="23"/>
      <c r="U2228" s="18"/>
      <c r="V2228" s="22"/>
      <c r="W2228" s="18"/>
      <c r="X2228" s="18"/>
      <c r="Y2228" s="21"/>
      <c r="Z2228" s="18"/>
    </row>
    <row r="2229" spans="1:26" x14ac:dyDescent="0.25">
      <c r="A2229" s="18"/>
      <c r="B2229" s="18"/>
      <c r="C2229" s="18"/>
      <c r="D2229" s="18"/>
      <c r="E2229" s="19"/>
      <c r="F2229" s="20"/>
      <c r="G2229" s="13"/>
      <c r="H2229" s="20"/>
      <c r="I2229" s="18"/>
      <c r="J2229" s="18"/>
      <c r="K2229" s="18"/>
      <c r="L2229" s="18"/>
      <c r="M2229" s="21"/>
      <c r="N2229" s="21"/>
      <c r="O2229" s="21"/>
      <c r="P2229" s="21"/>
      <c r="Q2229" s="22"/>
      <c r="R2229" s="19"/>
      <c r="S2229" s="22"/>
      <c r="T2229" s="23"/>
      <c r="U2229" s="18"/>
      <c r="V2229" s="22"/>
      <c r="W2229" s="18"/>
      <c r="X2229" s="18"/>
      <c r="Y2229" s="21"/>
      <c r="Z2229" s="18"/>
    </row>
    <row r="2230" spans="1:26" x14ac:dyDescent="0.25">
      <c r="A2230" s="19"/>
      <c r="B2230" s="19"/>
      <c r="C2230" s="19"/>
      <c r="D2230" s="19"/>
      <c r="E2230" s="19"/>
      <c r="F2230" s="20"/>
      <c r="G2230" s="13"/>
      <c r="H2230" s="20"/>
      <c r="I2230" s="19"/>
      <c r="J2230" s="19"/>
      <c r="K2230" s="19"/>
      <c r="L2230" s="19"/>
      <c r="M2230" s="21"/>
      <c r="N2230" s="21"/>
      <c r="O2230" s="21"/>
      <c r="P2230" s="21"/>
      <c r="Q2230" s="22"/>
      <c r="R2230" s="19"/>
      <c r="S2230" s="22"/>
      <c r="T2230" s="23"/>
      <c r="U2230" s="19"/>
      <c r="V2230" s="22"/>
      <c r="W2230" s="19"/>
      <c r="X2230" s="19"/>
      <c r="Y2230" s="21"/>
      <c r="Z2230" s="19"/>
    </row>
    <row r="2231" spans="1:26" x14ac:dyDescent="0.25">
      <c r="A2231" s="11"/>
      <c r="B2231" s="11"/>
      <c r="C2231" s="11"/>
      <c r="D2231" s="11"/>
      <c r="E2231" s="12"/>
      <c r="F2231" s="13"/>
      <c r="G2231" s="13"/>
      <c r="H2231" s="13"/>
      <c r="I2231" s="11"/>
      <c r="J2231" s="11"/>
      <c r="K2231" s="11"/>
      <c r="L2231" s="11"/>
      <c r="M2231" s="15"/>
      <c r="N2231" s="15"/>
      <c r="O2231" s="15"/>
      <c r="P2231" s="15"/>
      <c r="Q2231" s="16"/>
      <c r="R2231" s="16"/>
      <c r="S2231" s="16"/>
      <c r="T2231" s="17"/>
      <c r="U2231" s="11"/>
      <c r="V2231" s="16"/>
      <c r="W2231" s="11"/>
      <c r="X2231" s="11"/>
      <c r="Y2231" s="15"/>
      <c r="Z2231" s="11"/>
    </row>
    <row r="2232" spans="1:26" x14ac:dyDescent="0.25">
      <c r="A2232" s="11"/>
      <c r="B2232" s="11"/>
      <c r="C2232" s="11"/>
      <c r="D2232" s="11"/>
      <c r="E2232" s="12"/>
      <c r="F2232" s="13"/>
      <c r="G2232" s="13"/>
      <c r="H2232" s="13"/>
      <c r="I2232" s="11"/>
      <c r="J2232" s="11"/>
      <c r="K2232" s="11"/>
      <c r="L2232" s="11"/>
      <c r="M2232" s="15"/>
      <c r="N2232" s="15"/>
      <c r="O2232" s="15"/>
      <c r="P2232" s="15"/>
      <c r="Q2232" s="16"/>
      <c r="R2232" s="16"/>
      <c r="S2232" s="16"/>
      <c r="T2232" s="17"/>
      <c r="U2232" s="11"/>
      <c r="V2232" s="16"/>
      <c r="W2232" s="11"/>
      <c r="X2232" s="11"/>
      <c r="Y2232" s="15"/>
      <c r="Z2232" s="11"/>
    </row>
    <row r="2233" spans="1:26" x14ac:dyDescent="0.25">
      <c r="A2233" s="11"/>
      <c r="B2233" s="11"/>
      <c r="C2233" s="11"/>
      <c r="D2233" s="11"/>
      <c r="E2233" s="12"/>
      <c r="F2233" s="13"/>
      <c r="G2233" s="13"/>
      <c r="H2233" s="13"/>
      <c r="I2233" s="11"/>
      <c r="J2233" s="11"/>
      <c r="K2233" s="11"/>
      <c r="L2233" s="11"/>
      <c r="M2233" s="15"/>
      <c r="N2233" s="15"/>
      <c r="O2233" s="15"/>
      <c r="P2233" s="15"/>
      <c r="Q2233" s="16"/>
      <c r="R2233" s="16"/>
      <c r="S2233" s="16"/>
      <c r="T2233" s="17"/>
      <c r="U2233" s="11"/>
      <c r="V2233" s="16"/>
      <c r="W2233" s="11"/>
      <c r="X2233" s="11"/>
      <c r="Y2233" s="15"/>
      <c r="Z2233" s="11"/>
    </row>
    <row r="2234" spans="1:26" x14ac:dyDescent="0.25">
      <c r="A2234" s="11"/>
      <c r="B2234" s="11"/>
      <c r="C2234" s="11"/>
      <c r="D2234" s="11"/>
      <c r="E2234" s="12"/>
      <c r="F2234" s="13"/>
      <c r="G2234" s="13"/>
      <c r="H2234" s="13"/>
      <c r="I2234" s="11"/>
      <c r="J2234" s="11"/>
      <c r="K2234" s="11"/>
      <c r="L2234" s="11"/>
      <c r="M2234" s="15"/>
      <c r="N2234" s="15"/>
      <c r="O2234" s="15"/>
      <c r="P2234" s="15"/>
      <c r="Q2234" s="16"/>
      <c r="R2234" s="16"/>
      <c r="S2234" s="16"/>
      <c r="T2234" s="17"/>
      <c r="U2234" s="11"/>
      <c r="V2234" s="16"/>
      <c r="W2234" s="11"/>
      <c r="X2234" s="11"/>
      <c r="Y2234" s="15"/>
      <c r="Z2234" s="11"/>
    </row>
    <row r="2235" spans="1:26" x14ac:dyDescent="0.25">
      <c r="A2235" s="11"/>
      <c r="B2235" s="11"/>
      <c r="C2235" s="11"/>
      <c r="D2235" s="11"/>
      <c r="E2235" s="12"/>
      <c r="F2235" s="13"/>
      <c r="G2235" s="13"/>
      <c r="H2235" s="13"/>
      <c r="I2235" s="11"/>
      <c r="J2235" s="11"/>
      <c r="K2235" s="11"/>
      <c r="L2235" s="11"/>
      <c r="M2235" s="15"/>
      <c r="N2235" s="15"/>
      <c r="O2235" s="15"/>
      <c r="P2235" s="15"/>
      <c r="Q2235" s="16"/>
      <c r="R2235" s="16"/>
      <c r="S2235" s="16"/>
      <c r="T2235" s="17"/>
      <c r="U2235" s="11"/>
      <c r="V2235" s="16"/>
      <c r="W2235" s="11"/>
      <c r="X2235" s="11"/>
      <c r="Y2235" s="15"/>
      <c r="Z2235" s="11"/>
    </row>
    <row r="2236" spans="1:26" x14ac:dyDescent="0.25">
      <c r="A2236" s="11"/>
      <c r="B2236" s="11"/>
      <c r="C2236" s="11"/>
      <c r="D2236" s="11"/>
      <c r="E2236" s="12"/>
      <c r="F2236" s="13"/>
      <c r="G2236" s="13"/>
      <c r="H2236" s="13"/>
      <c r="I2236" s="11"/>
      <c r="J2236" s="11"/>
      <c r="K2236" s="11"/>
      <c r="L2236" s="11"/>
      <c r="M2236" s="15"/>
      <c r="N2236" s="15"/>
      <c r="O2236" s="15"/>
      <c r="P2236" s="15"/>
      <c r="Q2236" s="16"/>
      <c r="R2236" s="16"/>
      <c r="S2236" s="16"/>
      <c r="T2236" s="17"/>
      <c r="U2236" s="11"/>
      <c r="V2236" s="16"/>
      <c r="W2236" s="11"/>
      <c r="X2236" s="11"/>
      <c r="Y2236" s="15"/>
      <c r="Z2236" s="11"/>
    </row>
    <row r="2237" spans="1:26" x14ac:dyDescent="0.25">
      <c r="A2237" s="11"/>
      <c r="B2237" s="11"/>
      <c r="C2237" s="11"/>
      <c r="D2237" s="11"/>
      <c r="E2237" s="12"/>
      <c r="F2237" s="13"/>
      <c r="G2237" s="13"/>
      <c r="H2237" s="13"/>
      <c r="I2237" s="11"/>
      <c r="J2237" s="11"/>
      <c r="K2237" s="11"/>
      <c r="L2237" s="11"/>
      <c r="M2237" s="15"/>
      <c r="N2237" s="15"/>
      <c r="O2237" s="15"/>
      <c r="P2237" s="15"/>
      <c r="Q2237" s="16"/>
      <c r="R2237" s="16"/>
      <c r="S2237" s="16"/>
      <c r="T2237" s="17"/>
      <c r="U2237" s="11"/>
      <c r="V2237" s="16"/>
      <c r="W2237" s="11"/>
      <c r="X2237" s="11"/>
      <c r="Y2237" s="15"/>
      <c r="Z2237" s="11"/>
    </row>
    <row r="2238" spans="1:26" x14ac:dyDescent="0.25">
      <c r="A2238" s="11"/>
      <c r="B2238" s="11"/>
      <c r="C2238" s="11"/>
      <c r="D2238" s="11"/>
      <c r="E2238" s="12"/>
      <c r="F2238" s="13"/>
      <c r="G2238" s="13"/>
      <c r="H2238" s="13"/>
      <c r="I2238" s="11"/>
      <c r="J2238" s="11"/>
      <c r="K2238" s="11"/>
      <c r="L2238" s="11"/>
      <c r="M2238" s="15"/>
      <c r="N2238" s="15"/>
      <c r="O2238" s="15"/>
      <c r="P2238" s="15"/>
      <c r="Q2238" s="16"/>
      <c r="R2238" s="16"/>
      <c r="S2238" s="16"/>
      <c r="T2238" s="17"/>
      <c r="U2238" s="11"/>
      <c r="V2238" s="16"/>
      <c r="W2238" s="11"/>
      <c r="X2238" s="11"/>
      <c r="Y2238" s="15"/>
      <c r="Z2238" s="11"/>
    </row>
    <row r="2239" spans="1:26" x14ac:dyDescent="0.25">
      <c r="A2239" s="11"/>
      <c r="B2239" s="11"/>
      <c r="C2239" s="11"/>
      <c r="D2239" s="11"/>
      <c r="E2239" s="12"/>
      <c r="F2239" s="13"/>
      <c r="G2239" s="13"/>
      <c r="H2239" s="13"/>
      <c r="I2239" s="11"/>
      <c r="J2239" s="11"/>
      <c r="K2239" s="11"/>
      <c r="L2239" s="11"/>
      <c r="M2239" s="15"/>
      <c r="N2239" s="15"/>
      <c r="O2239" s="15"/>
      <c r="P2239" s="15"/>
      <c r="Q2239" s="16"/>
      <c r="R2239" s="16"/>
      <c r="S2239" s="16"/>
      <c r="T2239" s="17"/>
      <c r="U2239" s="11"/>
      <c r="V2239" s="16"/>
      <c r="W2239" s="11"/>
      <c r="X2239" s="11"/>
      <c r="Y2239" s="15"/>
      <c r="Z2239" s="11"/>
    </row>
    <row r="2240" spans="1:26" x14ac:dyDescent="0.25">
      <c r="A2240" s="11"/>
      <c r="B2240" s="11"/>
      <c r="C2240" s="11"/>
      <c r="D2240" s="11"/>
      <c r="E2240" s="12"/>
      <c r="F2240" s="13"/>
      <c r="G2240" s="13"/>
      <c r="H2240" s="13"/>
      <c r="I2240" s="11"/>
      <c r="J2240" s="11"/>
      <c r="K2240" s="11"/>
      <c r="L2240" s="11"/>
      <c r="M2240" s="15"/>
      <c r="N2240" s="15"/>
      <c r="O2240" s="15"/>
      <c r="P2240" s="15"/>
      <c r="Q2240" s="16"/>
      <c r="R2240" s="16"/>
      <c r="S2240" s="16"/>
      <c r="T2240" s="17"/>
      <c r="U2240" s="11"/>
      <c r="V2240" s="16"/>
      <c r="W2240" s="11"/>
      <c r="X2240" s="11"/>
      <c r="Y2240" s="15"/>
      <c r="Z2240" s="11"/>
    </row>
    <row r="2241" spans="1:26" x14ac:dyDescent="0.25">
      <c r="A2241" s="11"/>
      <c r="B2241" s="11"/>
      <c r="C2241" s="11"/>
      <c r="D2241" s="11"/>
      <c r="E2241" s="12"/>
      <c r="F2241" s="13"/>
      <c r="G2241" s="13"/>
      <c r="H2241" s="13"/>
      <c r="I2241" s="11"/>
      <c r="J2241" s="11"/>
      <c r="K2241" s="11"/>
      <c r="L2241" s="11"/>
      <c r="M2241" s="15"/>
      <c r="N2241" s="15"/>
      <c r="O2241" s="15"/>
      <c r="P2241" s="15"/>
      <c r="Q2241" s="16"/>
      <c r="R2241" s="16"/>
      <c r="S2241" s="16"/>
      <c r="T2241" s="17"/>
      <c r="U2241" s="11"/>
      <c r="V2241" s="16"/>
      <c r="W2241" s="11"/>
      <c r="X2241" s="11"/>
      <c r="Y2241" s="15"/>
      <c r="Z2241" s="11"/>
    </row>
    <row r="2242" spans="1:26" x14ac:dyDescent="0.25">
      <c r="A2242" s="11"/>
      <c r="B2242" s="11"/>
      <c r="C2242" s="11"/>
      <c r="D2242" s="11"/>
      <c r="E2242" s="12"/>
      <c r="F2242" s="13"/>
      <c r="G2242" s="13"/>
      <c r="H2242" s="13"/>
      <c r="I2242" s="11"/>
      <c r="J2242" s="11"/>
      <c r="K2242" s="11"/>
      <c r="L2242" s="11"/>
      <c r="M2242" s="15"/>
      <c r="N2242" s="15"/>
      <c r="O2242" s="15"/>
      <c r="P2242" s="15"/>
      <c r="Q2242" s="16"/>
      <c r="R2242" s="16"/>
      <c r="S2242" s="16"/>
      <c r="T2242" s="17"/>
      <c r="U2242" s="11"/>
      <c r="V2242" s="16"/>
      <c r="W2242" s="11"/>
      <c r="X2242" s="11"/>
      <c r="Y2242" s="15"/>
      <c r="Z2242" s="11"/>
    </row>
    <row r="2243" spans="1:26" x14ac:dyDescent="0.25">
      <c r="A2243" s="19"/>
      <c r="B2243" s="19"/>
      <c r="C2243" s="19"/>
      <c r="D2243" s="19"/>
      <c r="E2243" s="19"/>
      <c r="F2243" s="20"/>
      <c r="G2243" s="13"/>
      <c r="H2243" s="20"/>
      <c r="I2243" s="19"/>
      <c r="J2243" s="19"/>
      <c r="K2243" s="19"/>
      <c r="L2243" s="19"/>
      <c r="M2243" s="21"/>
      <c r="N2243" s="21"/>
      <c r="O2243" s="21"/>
      <c r="P2243" s="21"/>
      <c r="Q2243" s="22"/>
      <c r="R2243" s="19"/>
      <c r="S2243" s="22"/>
      <c r="T2243" s="23"/>
      <c r="U2243" s="19"/>
      <c r="V2243" s="22"/>
      <c r="W2243" s="19"/>
      <c r="X2243" s="19"/>
      <c r="Y2243" s="21"/>
      <c r="Z2243" s="19"/>
    </row>
    <row r="2244" spans="1:26" x14ac:dyDescent="0.25">
      <c r="A2244" s="19"/>
      <c r="B2244" s="19"/>
      <c r="C2244" s="19"/>
      <c r="D2244" s="19"/>
      <c r="E2244" s="19"/>
      <c r="F2244" s="20"/>
      <c r="G2244" s="13"/>
      <c r="H2244" s="20"/>
      <c r="I2244" s="19"/>
      <c r="J2244" s="19"/>
      <c r="K2244" s="19"/>
      <c r="L2244" s="19"/>
      <c r="M2244" s="21"/>
      <c r="N2244" s="21"/>
      <c r="O2244" s="21"/>
      <c r="P2244" s="21"/>
      <c r="Q2244" s="22"/>
      <c r="R2244" s="19"/>
      <c r="S2244" s="22"/>
      <c r="T2244" s="23"/>
      <c r="U2244" s="19"/>
      <c r="V2244" s="22"/>
      <c r="W2244" s="19"/>
      <c r="X2244" s="19"/>
      <c r="Y2244" s="21"/>
      <c r="Z2244" s="19"/>
    </row>
    <row r="2245" spans="1:26" x14ac:dyDescent="0.25">
      <c r="A2245" s="11"/>
      <c r="B2245" s="11"/>
      <c r="C2245" s="11"/>
      <c r="D2245" s="11"/>
      <c r="E2245" s="12"/>
      <c r="F2245" s="13"/>
      <c r="G2245" s="13"/>
      <c r="H2245" s="13"/>
      <c r="I2245" s="11"/>
      <c r="J2245" s="11"/>
      <c r="K2245" s="11"/>
      <c r="L2245" s="11"/>
      <c r="M2245" s="15"/>
      <c r="N2245" s="15"/>
      <c r="O2245" s="15"/>
      <c r="P2245" s="15"/>
      <c r="Q2245" s="16"/>
      <c r="R2245" s="16"/>
      <c r="S2245" s="16"/>
      <c r="T2245" s="17"/>
      <c r="U2245" s="11"/>
      <c r="V2245" s="16"/>
      <c r="W2245" s="11"/>
      <c r="X2245" s="11"/>
      <c r="Y2245" s="15"/>
      <c r="Z2245" s="11"/>
    </row>
    <row r="2246" spans="1:26" x14ac:dyDescent="0.25">
      <c r="A2246" s="11"/>
      <c r="B2246" s="11"/>
      <c r="C2246" s="11"/>
      <c r="D2246" s="11"/>
      <c r="E2246" s="12"/>
      <c r="F2246" s="13"/>
      <c r="G2246" s="13"/>
      <c r="H2246" s="13"/>
      <c r="I2246" s="11"/>
      <c r="J2246" s="11"/>
      <c r="K2246" s="11"/>
      <c r="L2246" s="11"/>
      <c r="M2246" s="15"/>
      <c r="N2246" s="15"/>
      <c r="O2246" s="15"/>
      <c r="P2246" s="15"/>
      <c r="Q2246" s="16"/>
      <c r="R2246" s="16"/>
      <c r="S2246" s="16"/>
      <c r="T2246" s="17"/>
      <c r="U2246" s="11"/>
      <c r="V2246" s="16"/>
      <c r="W2246" s="11"/>
      <c r="X2246" s="11"/>
      <c r="Y2246" s="15"/>
      <c r="Z2246" s="11"/>
    </row>
    <row r="2247" spans="1:26" x14ac:dyDescent="0.25">
      <c r="A2247" s="11"/>
      <c r="B2247" s="11"/>
      <c r="C2247" s="11"/>
      <c r="D2247" s="11"/>
      <c r="E2247" s="12"/>
      <c r="F2247" s="13"/>
      <c r="G2247" s="13"/>
      <c r="H2247" s="13"/>
      <c r="I2247" s="11"/>
      <c r="J2247" s="11"/>
      <c r="K2247" s="11"/>
      <c r="L2247" s="11"/>
      <c r="M2247" s="15"/>
      <c r="N2247" s="15"/>
      <c r="O2247" s="15"/>
      <c r="P2247" s="15"/>
      <c r="Q2247" s="16"/>
      <c r="R2247" s="16"/>
      <c r="S2247" s="16"/>
      <c r="T2247" s="17"/>
      <c r="U2247" s="11"/>
      <c r="V2247" s="16"/>
      <c r="W2247" s="11"/>
      <c r="X2247" s="11"/>
      <c r="Y2247" s="15"/>
      <c r="Z2247" s="11"/>
    </row>
    <row r="2248" spans="1:26" x14ac:dyDescent="0.25">
      <c r="A2248" s="11"/>
      <c r="B2248" s="11"/>
      <c r="C2248" s="11"/>
      <c r="D2248" s="11"/>
      <c r="E2248" s="12"/>
      <c r="F2248" s="13"/>
      <c r="G2248" s="13"/>
      <c r="H2248" s="13"/>
      <c r="I2248" s="11"/>
      <c r="J2248" s="11"/>
      <c r="K2248" s="11"/>
      <c r="L2248" s="11"/>
      <c r="M2248" s="15"/>
      <c r="N2248" s="15"/>
      <c r="O2248" s="15"/>
      <c r="P2248" s="15"/>
      <c r="Q2248" s="16"/>
      <c r="R2248" s="16"/>
      <c r="S2248" s="16"/>
      <c r="T2248" s="17"/>
      <c r="U2248" s="11"/>
      <c r="V2248" s="16"/>
      <c r="W2248" s="11"/>
      <c r="X2248" s="11"/>
      <c r="Y2248" s="15"/>
      <c r="Z2248" s="11"/>
    </row>
    <row r="2249" spans="1:26" x14ac:dyDescent="0.25">
      <c r="A2249" s="18"/>
      <c r="B2249" s="18"/>
      <c r="C2249" s="18"/>
      <c r="D2249" s="18"/>
      <c r="E2249" s="19"/>
      <c r="F2249" s="20"/>
      <c r="G2249" s="13"/>
      <c r="H2249" s="20"/>
      <c r="I2249" s="18"/>
      <c r="J2249" s="18"/>
      <c r="K2249" s="18"/>
      <c r="L2249" s="18"/>
      <c r="M2249" s="21"/>
      <c r="N2249" s="21"/>
      <c r="O2249" s="21"/>
      <c r="P2249" s="21"/>
      <c r="Q2249" s="22"/>
      <c r="R2249" s="19"/>
      <c r="S2249" s="22"/>
      <c r="T2249" s="23"/>
      <c r="U2249" s="18"/>
      <c r="V2249" s="22"/>
      <c r="W2249" s="18"/>
      <c r="X2249" s="18"/>
      <c r="Y2249" s="21"/>
      <c r="Z2249" s="18"/>
    </row>
    <row r="2250" spans="1:26" x14ac:dyDescent="0.25">
      <c r="A2250" s="11"/>
      <c r="B2250" s="11"/>
      <c r="C2250" s="11"/>
      <c r="D2250" s="11"/>
      <c r="E2250" s="12"/>
      <c r="F2250" s="13"/>
      <c r="G2250" s="13"/>
      <c r="H2250" s="13"/>
      <c r="I2250" s="11"/>
      <c r="J2250" s="11"/>
      <c r="K2250" s="11"/>
      <c r="L2250" s="11"/>
      <c r="M2250" s="15"/>
      <c r="N2250" s="15"/>
      <c r="O2250" s="15"/>
      <c r="P2250" s="15"/>
      <c r="Q2250" s="16"/>
      <c r="R2250" s="16"/>
      <c r="S2250" s="16"/>
      <c r="T2250" s="17"/>
      <c r="U2250" s="11"/>
      <c r="V2250" s="16"/>
      <c r="W2250" s="11"/>
      <c r="X2250" s="11"/>
      <c r="Y2250" s="15"/>
      <c r="Z2250" s="11"/>
    </row>
    <row r="2251" spans="1:26" x14ac:dyDescent="0.25">
      <c r="A2251" s="18"/>
      <c r="B2251" s="18"/>
      <c r="C2251" s="18"/>
      <c r="D2251" s="18"/>
      <c r="E2251" s="19"/>
      <c r="F2251" s="20"/>
      <c r="G2251" s="13"/>
      <c r="H2251" s="20"/>
      <c r="I2251" s="18"/>
      <c r="J2251" s="18"/>
      <c r="K2251" s="18"/>
      <c r="L2251" s="18"/>
      <c r="M2251" s="21"/>
      <c r="N2251" s="21"/>
      <c r="O2251" s="21"/>
      <c r="P2251" s="21"/>
      <c r="Q2251" s="22"/>
      <c r="R2251" s="19"/>
      <c r="S2251" s="22"/>
      <c r="T2251" s="23"/>
      <c r="U2251" s="18"/>
      <c r="V2251" s="22"/>
      <c r="W2251" s="18"/>
      <c r="X2251" s="18"/>
      <c r="Y2251" s="21"/>
      <c r="Z2251" s="18"/>
    </row>
    <row r="2252" spans="1:26" x14ac:dyDescent="0.25">
      <c r="A2252" s="11"/>
      <c r="B2252" s="11"/>
      <c r="C2252" s="11"/>
      <c r="D2252" s="11"/>
      <c r="E2252" s="12"/>
      <c r="F2252" s="13"/>
      <c r="G2252" s="13"/>
      <c r="H2252" s="13"/>
      <c r="I2252" s="11"/>
      <c r="J2252" s="11"/>
      <c r="K2252" s="11"/>
      <c r="L2252" s="11"/>
      <c r="M2252" s="15"/>
      <c r="N2252" s="15"/>
      <c r="O2252" s="15"/>
      <c r="P2252" s="15"/>
      <c r="Q2252" s="16"/>
      <c r="R2252" s="16"/>
      <c r="S2252" s="16"/>
      <c r="T2252" s="17"/>
      <c r="U2252" s="11"/>
      <c r="V2252" s="16"/>
      <c r="W2252" s="11"/>
      <c r="X2252" s="11"/>
      <c r="Y2252" s="15"/>
      <c r="Z2252" s="11"/>
    </row>
    <row r="2253" spans="1:26" x14ac:dyDescent="0.25">
      <c r="A2253" s="11"/>
      <c r="B2253" s="11"/>
      <c r="C2253" s="11"/>
      <c r="D2253" s="11"/>
      <c r="E2253" s="12"/>
      <c r="F2253" s="13"/>
      <c r="G2253" s="13"/>
      <c r="H2253" s="13"/>
      <c r="I2253" s="11"/>
      <c r="J2253" s="11"/>
      <c r="K2253" s="11"/>
      <c r="L2253" s="11"/>
      <c r="M2253" s="15"/>
      <c r="N2253" s="15"/>
      <c r="O2253" s="15"/>
      <c r="P2253" s="15"/>
      <c r="Q2253" s="16"/>
      <c r="R2253" s="16"/>
      <c r="S2253" s="16"/>
      <c r="T2253" s="17"/>
      <c r="U2253" s="11"/>
      <c r="V2253" s="16"/>
      <c r="W2253" s="11"/>
      <c r="X2253" s="11"/>
      <c r="Y2253" s="15"/>
      <c r="Z2253" s="11"/>
    </row>
    <row r="2254" spans="1:26" x14ac:dyDescent="0.25">
      <c r="A2254" s="11"/>
      <c r="B2254" s="11"/>
      <c r="C2254" s="11"/>
      <c r="D2254" s="11"/>
      <c r="E2254" s="12"/>
      <c r="F2254" s="13"/>
      <c r="G2254" s="13"/>
      <c r="H2254" s="13"/>
      <c r="I2254" s="11"/>
      <c r="J2254" s="11"/>
      <c r="K2254" s="11"/>
      <c r="L2254" s="11"/>
      <c r="M2254" s="15"/>
      <c r="N2254" s="15"/>
      <c r="O2254" s="15"/>
      <c r="P2254" s="15"/>
      <c r="Q2254" s="16"/>
      <c r="R2254" s="16"/>
      <c r="S2254" s="16"/>
      <c r="T2254" s="17"/>
      <c r="U2254" s="11"/>
      <c r="V2254" s="16"/>
      <c r="W2254" s="11"/>
      <c r="X2254" s="11"/>
      <c r="Y2254" s="15"/>
      <c r="Z2254" s="11"/>
    </row>
    <row r="2255" spans="1:26" x14ac:dyDescent="0.25">
      <c r="A2255" s="11"/>
      <c r="B2255" s="11"/>
      <c r="C2255" s="11"/>
      <c r="D2255" s="11"/>
      <c r="E2255" s="12"/>
      <c r="F2255" s="13"/>
      <c r="G2255" s="13"/>
      <c r="H2255" s="13"/>
      <c r="I2255" s="11"/>
      <c r="J2255" s="11"/>
      <c r="K2255" s="11"/>
      <c r="L2255" s="11"/>
      <c r="M2255" s="15"/>
      <c r="N2255" s="15"/>
      <c r="O2255" s="15"/>
      <c r="P2255" s="15"/>
      <c r="Q2255" s="16"/>
      <c r="R2255" s="16"/>
      <c r="S2255" s="16"/>
      <c r="T2255" s="17"/>
      <c r="U2255" s="11"/>
      <c r="V2255" s="16"/>
      <c r="W2255" s="11"/>
      <c r="X2255" s="11"/>
      <c r="Y2255" s="15"/>
      <c r="Z2255" s="11"/>
    </row>
    <row r="2256" spans="1:26" x14ac:dyDescent="0.25">
      <c r="A2256" s="19"/>
      <c r="B2256" s="19"/>
      <c r="C2256" s="19"/>
      <c r="D2256" s="19"/>
      <c r="E2256" s="19"/>
      <c r="F2256" s="20"/>
      <c r="G2256" s="13"/>
      <c r="H2256" s="20"/>
      <c r="I2256" s="19"/>
      <c r="J2256" s="19"/>
      <c r="K2256" s="19"/>
      <c r="L2256" s="19"/>
      <c r="M2256" s="21"/>
      <c r="N2256" s="21"/>
      <c r="O2256" s="21"/>
      <c r="P2256" s="21"/>
      <c r="Q2256" s="22"/>
      <c r="R2256" s="19"/>
      <c r="S2256" s="22"/>
      <c r="T2256" s="23"/>
      <c r="U2256" s="19"/>
      <c r="V2256" s="22"/>
      <c r="W2256" s="19"/>
      <c r="X2256" s="19"/>
      <c r="Y2256" s="21"/>
      <c r="Z2256" s="19"/>
    </row>
    <row r="2257" spans="1:26" x14ac:dyDescent="0.25">
      <c r="A2257" s="19"/>
      <c r="B2257" s="19"/>
      <c r="C2257" s="19"/>
      <c r="D2257" s="19"/>
      <c r="E2257" s="19"/>
      <c r="F2257" s="20"/>
      <c r="G2257" s="13"/>
      <c r="H2257" s="20"/>
      <c r="I2257" s="19"/>
      <c r="J2257" s="19"/>
      <c r="K2257" s="19"/>
      <c r="L2257" s="19"/>
      <c r="M2257" s="21"/>
      <c r="N2257" s="21"/>
      <c r="O2257" s="21"/>
      <c r="P2257" s="21"/>
      <c r="Q2257" s="22"/>
      <c r="R2257" s="19"/>
      <c r="S2257" s="22"/>
      <c r="T2257" s="23"/>
      <c r="U2257" s="19"/>
      <c r="V2257" s="22"/>
      <c r="W2257" s="19"/>
      <c r="X2257" s="19"/>
      <c r="Y2257" s="21"/>
      <c r="Z2257" s="19"/>
    </row>
    <row r="2258" spans="1:26" x14ac:dyDescent="0.25">
      <c r="A2258" s="11"/>
      <c r="B2258" s="11"/>
      <c r="C2258" s="11"/>
      <c r="D2258" s="11"/>
      <c r="E2258" s="12"/>
      <c r="F2258" s="13"/>
      <c r="G2258" s="13"/>
      <c r="H2258" s="13"/>
      <c r="I2258" s="11"/>
      <c r="J2258" s="11"/>
      <c r="K2258" s="11"/>
      <c r="L2258" s="11"/>
      <c r="M2258" s="15"/>
      <c r="N2258" s="15"/>
      <c r="O2258" s="15"/>
      <c r="P2258" s="15"/>
      <c r="Q2258" s="16"/>
      <c r="R2258" s="16"/>
      <c r="S2258" s="16"/>
      <c r="T2258" s="17"/>
      <c r="U2258" s="11"/>
      <c r="V2258" s="16"/>
      <c r="W2258" s="11"/>
      <c r="X2258" s="11"/>
      <c r="Y2258" s="15"/>
      <c r="Z2258" s="11"/>
    </row>
    <row r="2259" spans="1:26" x14ac:dyDescent="0.25">
      <c r="A2259" s="11"/>
      <c r="B2259" s="11"/>
      <c r="C2259" s="11"/>
      <c r="D2259" s="11"/>
      <c r="E2259" s="12"/>
      <c r="F2259" s="13"/>
      <c r="G2259" s="13"/>
      <c r="H2259" s="13"/>
      <c r="I2259" s="11"/>
      <c r="J2259" s="11"/>
      <c r="K2259" s="11"/>
      <c r="L2259" s="11"/>
      <c r="M2259" s="15"/>
      <c r="N2259" s="15"/>
      <c r="O2259" s="15"/>
      <c r="P2259" s="15"/>
      <c r="Q2259" s="16"/>
      <c r="R2259" s="16"/>
      <c r="S2259" s="16"/>
      <c r="T2259" s="17"/>
      <c r="U2259" s="11"/>
      <c r="V2259" s="16"/>
      <c r="W2259" s="11"/>
      <c r="X2259" s="11"/>
      <c r="Y2259" s="15"/>
      <c r="Z2259" s="11"/>
    </row>
    <row r="2260" spans="1:26" x14ac:dyDescent="0.25">
      <c r="A2260" s="11"/>
      <c r="B2260" s="11"/>
      <c r="C2260" s="11"/>
      <c r="D2260" s="11"/>
      <c r="E2260" s="12"/>
      <c r="F2260" s="13"/>
      <c r="G2260" s="13"/>
      <c r="H2260" s="13"/>
      <c r="I2260" s="11"/>
      <c r="J2260" s="11"/>
      <c r="K2260" s="11"/>
      <c r="L2260" s="11"/>
      <c r="M2260" s="15"/>
      <c r="N2260" s="15"/>
      <c r="O2260" s="15"/>
      <c r="P2260" s="15"/>
      <c r="Q2260" s="16"/>
      <c r="R2260" s="16"/>
      <c r="S2260" s="16"/>
      <c r="T2260" s="17"/>
      <c r="U2260" s="11"/>
      <c r="V2260" s="16"/>
      <c r="W2260" s="11"/>
      <c r="X2260" s="11"/>
      <c r="Y2260" s="15"/>
      <c r="Z2260" s="11"/>
    </row>
    <row r="2261" spans="1:26" x14ac:dyDescent="0.25">
      <c r="A2261" s="11"/>
      <c r="B2261" s="11"/>
      <c r="C2261" s="11"/>
      <c r="D2261" s="11"/>
      <c r="E2261" s="12"/>
      <c r="F2261" s="13"/>
      <c r="G2261" s="13"/>
      <c r="H2261" s="13"/>
      <c r="I2261" s="11"/>
      <c r="J2261" s="11"/>
      <c r="K2261" s="11"/>
      <c r="L2261" s="11"/>
      <c r="M2261" s="15"/>
      <c r="N2261" s="15"/>
      <c r="O2261" s="15"/>
      <c r="P2261" s="15"/>
      <c r="Q2261" s="16"/>
      <c r="R2261" s="16"/>
      <c r="S2261" s="16"/>
      <c r="T2261" s="17"/>
      <c r="U2261" s="11"/>
      <c r="V2261" s="16"/>
      <c r="W2261" s="11"/>
      <c r="X2261" s="11"/>
      <c r="Y2261" s="15"/>
      <c r="Z2261" s="11"/>
    </row>
    <row r="2262" spans="1:26" x14ac:dyDescent="0.25">
      <c r="A2262" s="11"/>
      <c r="B2262" s="11"/>
      <c r="C2262" s="11"/>
      <c r="D2262" s="11"/>
      <c r="E2262" s="12"/>
      <c r="F2262" s="13"/>
      <c r="G2262" s="13"/>
      <c r="H2262" s="13"/>
      <c r="I2262" s="11"/>
      <c r="J2262" s="11"/>
      <c r="K2262" s="11"/>
      <c r="L2262" s="11"/>
      <c r="M2262" s="15"/>
      <c r="N2262" s="15"/>
      <c r="O2262" s="15"/>
      <c r="P2262" s="15"/>
      <c r="Q2262" s="16"/>
      <c r="R2262" s="16"/>
      <c r="S2262" s="16"/>
      <c r="T2262" s="17"/>
      <c r="U2262" s="11"/>
      <c r="V2262" s="16"/>
      <c r="W2262" s="11"/>
      <c r="X2262" s="11"/>
      <c r="Y2262" s="15"/>
      <c r="Z2262" s="11"/>
    </row>
    <row r="2263" spans="1:26" x14ac:dyDescent="0.25">
      <c r="A2263" s="11"/>
      <c r="B2263" s="11"/>
      <c r="C2263" s="11"/>
      <c r="D2263" s="11"/>
      <c r="E2263" s="12"/>
      <c r="F2263" s="13"/>
      <c r="G2263" s="13"/>
      <c r="H2263" s="13"/>
      <c r="I2263" s="11"/>
      <c r="J2263" s="11"/>
      <c r="K2263" s="11"/>
      <c r="L2263" s="11"/>
      <c r="M2263" s="15"/>
      <c r="N2263" s="15"/>
      <c r="O2263" s="15"/>
      <c r="P2263" s="15"/>
      <c r="Q2263" s="16"/>
      <c r="R2263" s="16"/>
      <c r="S2263" s="16"/>
      <c r="T2263" s="17"/>
      <c r="U2263" s="11"/>
      <c r="V2263" s="16"/>
      <c r="W2263" s="11"/>
      <c r="X2263" s="11"/>
      <c r="Y2263" s="15"/>
      <c r="Z2263" s="11"/>
    </row>
    <row r="2264" spans="1:26" x14ac:dyDescent="0.25">
      <c r="A2264" s="18"/>
      <c r="B2264" s="18"/>
      <c r="C2264" s="18"/>
      <c r="D2264" s="18"/>
      <c r="E2264" s="19"/>
      <c r="F2264" s="20"/>
      <c r="G2264" s="13"/>
      <c r="H2264" s="20"/>
      <c r="I2264" s="18"/>
      <c r="J2264" s="18"/>
      <c r="K2264" s="18"/>
      <c r="L2264" s="18"/>
      <c r="M2264" s="21"/>
      <c r="N2264" s="21"/>
      <c r="O2264" s="21"/>
      <c r="P2264" s="21"/>
      <c r="Q2264" s="22"/>
      <c r="R2264" s="19"/>
      <c r="S2264" s="22"/>
      <c r="T2264" s="23"/>
      <c r="U2264" s="18"/>
      <c r="V2264" s="22"/>
      <c r="W2264" s="18"/>
      <c r="X2264" s="18"/>
      <c r="Y2264" s="21"/>
      <c r="Z2264" s="18"/>
    </row>
    <row r="2265" spans="1:26" x14ac:dyDescent="0.25">
      <c r="A2265" s="11"/>
      <c r="B2265" s="11"/>
      <c r="C2265" s="11"/>
      <c r="D2265" s="11"/>
      <c r="E2265" s="12"/>
      <c r="F2265" s="13"/>
      <c r="G2265" s="13"/>
      <c r="H2265" s="13"/>
      <c r="I2265" s="11"/>
      <c r="J2265" s="11"/>
      <c r="K2265" s="11"/>
      <c r="L2265" s="11"/>
      <c r="M2265" s="15"/>
      <c r="N2265" s="15"/>
      <c r="O2265" s="15"/>
      <c r="P2265" s="15"/>
      <c r="Q2265" s="16"/>
      <c r="R2265" s="16"/>
      <c r="S2265" s="16"/>
      <c r="T2265" s="17"/>
      <c r="U2265" s="11"/>
      <c r="V2265" s="16"/>
      <c r="W2265" s="11"/>
      <c r="X2265" s="11"/>
      <c r="Y2265" s="15"/>
      <c r="Z2265" s="11"/>
    </row>
    <row r="2266" spans="1:26" x14ac:dyDescent="0.25">
      <c r="A2266" s="11"/>
      <c r="B2266" s="11"/>
      <c r="C2266" s="11"/>
      <c r="D2266" s="11"/>
      <c r="E2266" s="12"/>
      <c r="F2266" s="13"/>
      <c r="G2266" s="13"/>
      <c r="H2266" s="13"/>
      <c r="I2266" s="11"/>
      <c r="J2266" s="11"/>
      <c r="K2266" s="11"/>
      <c r="L2266" s="11"/>
      <c r="M2266" s="15"/>
      <c r="N2266" s="15"/>
      <c r="O2266" s="15"/>
      <c r="P2266" s="15"/>
      <c r="Q2266" s="16"/>
      <c r="R2266" s="16"/>
      <c r="S2266" s="16"/>
      <c r="T2266" s="17"/>
      <c r="U2266" s="11"/>
      <c r="V2266" s="16"/>
      <c r="W2266" s="11"/>
      <c r="X2266" s="11"/>
      <c r="Y2266" s="15"/>
      <c r="Z2266" s="11"/>
    </row>
    <row r="2267" spans="1:26" x14ac:dyDescent="0.25">
      <c r="A2267" s="11"/>
      <c r="B2267" s="11"/>
      <c r="C2267" s="11"/>
      <c r="D2267" s="11"/>
      <c r="E2267" s="12"/>
      <c r="F2267" s="13"/>
      <c r="G2267" s="13"/>
      <c r="H2267" s="13"/>
      <c r="I2267" s="11"/>
      <c r="J2267" s="11"/>
      <c r="K2267" s="11"/>
      <c r="L2267" s="11"/>
      <c r="M2267" s="15"/>
      <c r="N2267" s="15"/>
      <c r="O2267" s="15"/>
      <c r="P2267" s="15"/>
      <c r="Q2267" s="16"/>
      <c r="R2267" s="16"/>
      <c r="S2267" s="16"/>
      <c r="T2267" s="17"/>
      <c r="U2267" s="11"/>
      <c r="V2267" s="16"/>
      <c r="W2267" s="11"/>
      <c r="X2267" s="11"/>
      <c r="Y2267" s="15"/>
      <c r="Z2267" s="11"/>
    </row>
    <row r="2268" spans="1:26" x14ac:dyDescent="0.25">
      <c r="A2268" s="11"/>
      <c r="B2268" s="11"/>
      <c r="C2268" s="11"/>
      <c r="D2268" s="11"/>
      <c r="E2268" s="12"/>
      <c r="F2268" s="13"/>
      <c r="G2268" s="13"/>
      <c r="H2268" s="13"/>
      <c r="I2268" s="11"/>
      <c r="J2268" s="11"/>
      <c r="K2268" s="11"/>
      <c r="L2268" s="11"/>
      <c r="M2268" s="15"/>
      <c r="N2268" s="15"/>
      <c r="O2268" s="15"/>
      <c r="P2268" s="15"/>
      <c r="Q2268" s="16"/>
      <c r="R2268" s="16"/>
      <c r="S2268" s="16"/>
      <c r="T2268" s="17"/>
      <c r="U2268" s="11"/>
      <c r="V2268" s="16"/>
      <c r="W2268" s="11"/>
      <c r="X2268" s="11"/>
      <c r="Y2268" s="15"/>
      <c r="Z2268" s="11"/>
    </row>
    <row r="2269" spans="1:26" x14ac:dyDescent="0.25">
      <c r="A2269" s="11"/>
      <c r="B2269" s="11"/>
      <c r="C2269" s="11"/>
      <c r="D2269" s="11"/>
      <c r="E2269" s="12"/>
      <c r="F2269" s="13"/>
      <c r="G2269" s="13"/>
      <c r="H2269" s="13"/>
      <c r="I2269" s="11"/>
      <c r="J2269" s="11"/>
      <c r="K2269" s="11"/>
      <c r="L2269" s="11"/>
      <c r="M2269" s="15"/>
      <c r="N2269" s="15"/>
      <c r="O2269" s="15"/>
      <c r="P2269" s="15"/>
      <c r="Q2269" s="16"/>
      <c r="R2269" s="16"/>
      <c r="S2269" s="16"/>
      <c r="T2269" s="17"/>
      <c r="U2269" s="11"/>
      <c r="V2269" s="16"/>
      <c r="W2269" s="11"/>
      <c r="X2269" s="11"/>
      <c r="Y2269" s="15"/>
      <c r="Z2269" s="11"/>
    </row>
    <row r="2270" spans="1:26" x14ac:dyDescent="0.25">
      <c r="A2270" s="11"/>
      <c r="B2270" s="11"/>
      <c r="C2270" s="11"/>
      <c r="D2270" s="11"/>
      <c r="E2270" s="12"/>
      <c r="F2270" s="13"/>
      <c r="G2270" s="13"/>
      <c r="H2270" s="13"/>
      <c r="I2270" s="11"/>
      <c r="J2270" s="11"/>
      <c r="K2270" s="11"/>
      <c r="L2270" s="11"/>
      <c r="M2270" s="15"/>
      <c r="N2270" s="15"/>
      <c r="O2270" s="15"/>
      <c r="P2270" s="15"/>
      <c r="Q2270" s="16"/>
      <c r="R2270" s="16"/>
      <c r="S2270" s="16"/>
      <c r="T2270" s="17"/>
      <c r="U2270" s="11"/>
      <c r="V2270" s="16"/>
      <c r="W2270" s="11"/>
      <c r="X2270" s="11"/>
      <c r="Y2270" s="15"/>
      <c r="Z2270" s="11"/>
    </row>
    <row r="2271" spans="1:26" x14ac:dyDescent="0.25">
      <c r="A2271" s="11"/>
      <c r="B2271" s="11"/>
      <c r="C2271" s="11"/>
      <c r="D2271" s="11"/>
      <c r="E2271" s="12"/>
      <c r="F2271" s="13"/>
      <c r="G2271" s="13"/>
      <c r="H2271" s="13"/>
      <c r="I2271" s="11"/>
      <c r="J2271" s="11"/>
      <c r="K2271" s="11"/>
      <c r="L2271" s="11"/>
      <c r="M2271" s="15"/>
      <c r="N2271" s="15"/>
      <c r="O2271" s="15"/>
      <c r="P2271" s="15"/>
      <c r="Q2271" s="16"/>
      <c r="R2271" s="16"/>
      <c r="S2271" s="16"/>
      <c r="T2271" s="17"/>
      <c r="U2271" s="11"/>
      <c r="V2271" s="16"/>
      <c r="W2271" s="11"/>
      <c r="X2271" s="11"/>
      <c r="Y2271" s="15"/>
      <c r="Z2271" s="11"/>
    </row>
    <row r="2272" spans="1:26" x14ac:dyDescent="0.25">
      <c r="A2272" s="11"/>
      <c r="B2272" s="11"/>
      <c r="C2272" s="11"/>
      <c r="D2272" s="11"/>
      <c r="E2272" s="12"/>
      <c r="F2272" s="13"/>
      <c r="G2272" s="13"/>
      <c r="H2272" s="13"/>
      <c r="I2272" s="11"/>
      <c r="J2272" s="11"/>
      <c r="K2272" s="11"/>
      <c r="L2272" s="11"/>
      <c r="M2272" s="15"/>
      <c r="N2272" s="15"/>
      <c r="O2272" s="15"/>
      <c r="P2272" s="15"/>
      <c r="Q2272" s="16"/>
      <c r="R2272" s="16"/>
      <c r="S2272" s="16"/>
      <c r="T2272" s="17"/>
      <c r="U2272" s="11"/>
      <c r="V2272" s="16"/>
      <c r="W2272" s="11"/>
      <c r="X2272" s="11"/>
      <c r="Y2272" s="15"/>
      <c r="Z2272" s="11"/>
    </row>
    <row r="2273" spans="1:26" x14ac:dyDescent="0.25">
      <c r="A2273" s="18"/>
      <c r="B2273" s="18"/>
      <c r="C2273" s="18"/>
      <c r="D2273" s="18"/>
      <c r="E2273" s="19"/>
      <c r="F2273" s="20"/>
      <c r="G2273" s="13"/>
      <c r="H2273" s="20"/>
      <c r="I2273" s="18"/>
      <c r="J2273" s="18"/>
      <c r="K2273" s="18"/>
      <c r="L2273" s="18"/>
      <c r="M2273" s="21"/>
      <c r="N2273" s="21"/>
      <c r="O2273" s="21"/>
      <c r="P2273" s="21"/>
      <c r="Q2273" s="22"/>
      <c r="R2273" s="19"/>
      <c r="S2273" s="22"/>
      <c r="T2273" s="23"/>
      <c r="U2273" s="18"/>
      <c r="V2273" s="22"/>
      <c r="W2273" s="18"/>
      <c r="X2273" s="18"/>
      <c r="Y2273" s="21"/>
      <c r="Z2273" s="18"/>
    </row>
    <row r="2274" spans="1:26" x14ac:dyDescent="0.25">
      <c r="A2274" s="19"/>
      <c r="B2274" s="19"/>
      <c r="C2274" s="19"/>
      <c r="D2274" s="19"/>
      <c r="E2274" s="19"/>
      <c r="F2274" s="20"/>
      <c r="G2274" s="13"/>
      <c r="H2274" s="20"/>
      <c r="I2274" s="19"/>
      <c r="J2274" s="19"/>
      <c r="K2274" s="19"/>
      <c r="L2274" s="19"/>
      <c r="M2274" s="21"/>
      <c r="N2274" s="21"/>
      <c r="O2274" s="21"/>
      <c r="P2274" s="21"/>
      <c r="Q2274" s="22"/>
      <c r="R2274" s="19"/>
      <c r="S2274" s="22"/>
      <c r="T2274" s="23"/>
      <c r="U2274" s="19"/>
      <c r="V2274" s="22"/>
      <c r="W2274" s="19"/>
      <c r="X2274" s="19"/>
      <c r="Y2274" s="21"/>
      <c r="Z2274" s="19"/>
    </row>
    <row r="2275" spans="1:26" x14ac:dyDescent="0.25">
      <c r="A2275" s="11"/>
      <c r="B2275" s="11"/>
      <c r="C2275" s="11"/>
      <c r="D2275" s="11"/>
      <c r="E2275" s="12"/>
      <c r="F2275" s="13"/>
      <c r="G2275" s="13"/>
      <c r="H2275" s="13"/>
      <c r="I2275" s="11"/>
      <c r="J2275" s="11"/>
      <c r="K2275" s="11"/>
      <c r="L2275" s="11"/>
      <c r="M2275" s="15"/>
      <c r="N2275" s="15"/>
      <c r="O2275" s="15"/>
      <c r="P2275" s="15"/>
      <c r="Q2275" s="16"/>
      <c r="R2275" s="16"/>
      <c r="S2275" s="16"/>
      <c r="T2275" s="17"/>
      <c r="U2275" s="11"/>
      <c r="V2275" s="16"/>
      <c r="W2275" s="11"/>
      <c r="X2275" s="11"/>
      <c r="Y2275" s="15"/>
      <c r="Z2275" s="11"/>
    </row>
    <row r="2276" spans="1:26" x14ac:dyDescent="0.25">
      <c r="A2276" s="11"/>
      <c r="B2276" s="11"/>
      <c r="C2276" s="11"/>
      <c r="D2276" s="11"/>
      <c r="E2276" s="12"/>
      <c r="F2276" s="13"/>
      <c r="G2276" s="13"/>
      <c r="H2276" s="13"/>
      <c r="I2276" s="11"/>
      <c r="J2276" s="11"/>
      <c r="K2276" s="11"/>
      <c r="L2276" s="11"/>
      <c r="M2276" s="15"/>
      <c r="N2276" s="15"/>
      <c r="O2276" s="15"/>
      <c r="P2276" s="15"/>
      <c r="Q2276" s="16"/>
      <c r="R2276" s="16"/>
      <c r="S2276" s="16"/>
      <c r="T2276" s="17"/>
      <c r="U2276" s="11"/>
      <c r="V2276" s="16"/>
      <c r="W2276" s="11"/>
      <c r="X2276" s="11"/>
      <c r="Y2276" s="15"/>
      <c r="Z2276" s="11"/>
    </row>
    <row r="2277" spans="1:26" x14ac:dyDescent="0.25">
      <c r="A2277" s="11"/>
      <c r="B2277" s="11"/>
      <c r="C2277" s="11"/>
      <c r="D2277" s="11"/>
      <c r="E2277" s="12"/>
      <c r="F2277" s="13"/>
      <c r="G2277" s="13"/>
      <c r="H2277" s="13"/>
      <c r="I2277" s="11"/>
      <c r="J2277" s="11"/>
      <c r="K2277" s="11"/>
      <c r="L2277" s="11"/>
      <c r="M2277" s="15"/>
      <c r="N2277" s="15"/>
      <c r="O2277" s="15"/>
      <c r="P2277" s="15"/>
      <c r="Q2277" s="16"/>
      <c r="R2277" s="16"/>
      <c r="S2277" s="16"/>
      <c r="T2277" s="17"/>
      <c r="U2277" s="11"/>
      <c r="V2277" s="16"/>
      <c r="W2277" s="11"/>
      <c r="X2277" s="11"/>
      <c r="Y2277" s="15"/>
      <c r="Z2277" s="11"/>
    </row>
    <row r="2278" spans="1:26" x14ac:dyDescent="0.25">
      <c r="A2278" s="11"/>
      <c r="B2278" s="11"/>
      <c r="C2278" s="11"/>
      <c r="D2278" s="11"/>
      <c r="E2278" s="12"/>
      <c r="F2278" s="13"/>
      <c r="G2278" s="13"/>
      <c r="H2278" s="13"/>
      <c r="I2278" s="11"/>
      <c r="J2278" s="11"/>
      <c r="K2278" s="11"/>
      <c r="L2278" s="11"/>
      <c r="M2278" s="15"/>
      <c r="N2278" s="15"/>
      <c r="O2278" s="15"/>
      <c r="P2278" s="15"/>
      <c r="Q2278" s="16"/>
      <c r="R2278" s="16"/>
      <c r="S2278" s="16"/>
      <c r="T2278" s="17"/>
      <c r="U2278" s="11"/>
      <c r="V2278" s="16"/>
      <c r="W2278" s="11"/>
      <c r="X2278" s="11"/>
      <c r="Y2278" s="15"/>
      <c r="Z2278" s="11"/>
    </row>
    <row r="2279" spans="1:26" x14ac:dyDescent="0.25">
      <c r="A2279" s="11"/>
      <c r="B2279" s="11"/>
      <c r="C2279" s="11"/>
      <c r="D2279" s="11"/>
      <c r="E2279" s="12"/>
      <c r="F2279" s="13"/>
      <c r="G2279" s="13"/>
      <c r="H2279" s="13"/>
      <c r="I2279" s="11"/>
      <c r="J2279" s="11"/>
      <c r="K2279" s="11"/>
      <c r="L2279" s="11"/>
      <c r="M2279" s="15"/>
      <c r="N2279" s="15"/>
      <c r="O2279" s="15"/>
      <c r="P2279" s="15"/>
      <c r="Q2279" s="16"/>
      <c r="R2279" s="16"/>
      <c r="S2279" s="16"/>
      <c r="T2279" s="17"/>
      <c r="U2279" s="11"/>
      <c r="V2279" s="16"/>
      <c r="W2279" s="11"/>
      <c r="X2279" s="11"/>
      <c r="Y2279" s="15"/>
      <c r="Z2279" s="11"/>
    </row>
    <row r="2280" spans="1:26" x14ac:dyDescent="0.25">
      <c r="A2280" s="19"/>
      <c r="B2280" s="19"/>
      <c r="C2280" s="19"/>
      <c r="D2280" s="19"/>
      <c r="E2280" s="19"/>
      <c r="F2280" s="20"/>
      <c r="G2280" s="13"/>
      <c r="H2280" s="20"/>
      <c r="I2280" s="19"/>
      <c r="J2280" s="19"/>
      <c r="K2280" s="19"/>
      <c r="L2280" s="19"/>
      <c r="M2280" s="21"/>
      <c r="N2280" s="21"/>
      <c r="O2280" s="21"/>
      <c r="P2280" s="21"/>
      <c r="Q2280" s="22"/>
      <c r="R2280" s="19"/>
      <c r="S2280" s="22"/>
      <c r="T2280" s="23"/>
      <c r="U2280" s="19"/>
      <c r="V2280" s="22"/>
      <c r="W2280" s="19"/>
      <c r="X2280" s="19"/>
      <c r="Y2280" s="21"/>
      <c r="Z2280" s="19"/>
    </row>
    <row r="2281" spans="1:26" x14ac:dyDescent="0.25">
      <c r="A2281" s="11"/>
      <c r="B2281" s="11"/>
      <c r="C2281" s="11"/>
      <c r="D2281" s="11"/>
      <c r="E2281" s="12"/>
      <c r="F2281" s="13"/>
      <c r="G2281" s="13"/>
      <c r="H2281" s="13"/>
      <c r="I2281" s="11"/>
      <c r="J2281" s="11"/>
      <c r="K2281" s="11"/>
      <c r="L2281" s="11"/>
      <c r="M2281" s="15"/>
      <c r="N2281" s="15"/>
      <c r="O2281" s="15"/>
      <c r="P2281" s="15"/>
      <c r="Q2281" s="16"/>
      <c r="R2281" s="16"/>
      <c r="S2281" s="16"/>
      <c r="T2281" s="17"/>
      <c r="U2281" s="11"/>
      <c r="V2281" s="16"/>
      <c r="W2281" s="11"/>
      <c r="X2281" s="11"/>
      <c r="Y2281" s="15"/>
      <c r="Z2281" s="11"/>
    </row>
    <row r="2282" spans="1:26" x14ac:dyDescent="0.25">
      <c r="A2282" s="18"/>
      <c r="B2282" s="18"/>
      <c r="C2282" s="18"/>
      <c r="D2282" s="18"/>
      <c r="E2282" s="19"/>
      <c r="F2282" s="20"/>
      <c r="G2282" s="13"/>
      <c r="H2282" s="20"/>
      <c r="I2282" s="18"/>
      <c r="J2282" s="18"/>
      <c r="K2282" s="18"/>
      <c r="L2282" s="18"/>
      <c r="M2282" s="21"/>
      <c r="N2282" s="21"/>
      <c r="O2282" s="21"/>
      <c r="P2282" s="21"/>
      <c r="Q2282" s="22"/>
      <c r="R2282" s="19"/>
      <c r="S2282" s="22"/>
      <c r="T2282" s="23"/>
      <c r="U2282" s="18"/>
      <c r="V2282" s="22"/>
      <c r="W2282" s="18"/>
      <c r="X2282" s="18"/>
      <c r="Y2282" s="21"/>
      <c r="Z2282" s="18"/>
    </row>
    <row r="2283" spans="1:26" x14ac:dyDescent="0.25">
      <c r="A2283" s="11"/>
      <c r="B2283" s="11"/>
      <c r="C2283" s="11"/>
      <c r="D2283" s="11"/>
      <c r="E2283" s="12"/>
      <c r="F2283" s="13"/>
      <c r="G2283" s="13"/>
      <c r="H2283" s="13"/>
      <c r="I2283" s="11"/>
      <c r="J2283" s="11"/>
      <c r="K2283" s="11"/>
      <c r="L2283" s="11"/>
      <c r="M2283" s="15"/>
      <c r="N2283" s="15"/>
      <c r="O2283" s="15"/>
      <c r="P2283" s="15"/>
      <c r="Q2283" s="16"/>
      <c r="R2283" s="16"/>
      <c r="S2283" s="16"/>
      <c r="T2283" s="17"/>
      <c r="U2283" s="11"/>
      <c r="V2283" s="16"/>
      <c r="W2283" s="11"/>
      <c r="X2283" s="11"/>
      <c r="Y2283" s="15"/>
      <c r="Z2283" s="11"/>
    </row>
    <row r="2284" spans="1:26" x14ac:dyDescent="0.25">
      <c r="A2284" s="11"/>
      <c r="B2284" s="11"/>
      <c r="C2284" s="11"/>
      <c r="D2284" s="11"/>
      <c r="E2284" s="12"/>
      <c r="F2284" s="13"/>
      <c r="G2284" s="13"/>
      <c r="H2284" s="13"/>
      <c r="I2284" s="11"/>
      <c r="J2284" s="11"/>
      <c r="K2284" s="11"/>
      <c r="L2284" s="11"/>
      <c r="M2284" s="15"/>
      <c r="N2284" s="15"/>
      <c r="O2284" s="15"/>
      <c r="P2284" s="15"/>
      <c r="Q2284" s="16"/>
      <c r="R2284" s="16"/>
      <c r="S2284" s="16"/>
      <c r="T2284" s="17"/>
      <c r="U2284" s="11"/>
      <c r="V2284" s="16"/>
      <c r="W2284" s="11"/>
      <c r="X2284" s="11"/>
      <c r="Y2284" s="15"/>
      <c r="Z2284" s="11"/>
    </row>
    <row r="2285" spans="1:26" x14ac:dyDescent="0.25">
      <c r="A2285" s="18"/>
      <c r="B2285" s="18"/>
      <c r="C2285" s="18"/>
      <c r="D2285" s="18"/>
      <c r="E2285" s="19"/>
      <c r="F2285" s="20"/>
      <c r="G2285" s="13"/>
      <c r="H2285" s="20"/>
      <c r="I2285" s="18"/>
      <c r="J2285" s="18"/>
      <c r="K2285" s="18"/>
      <c r="L2285" s="18"/>
      <c r="M2285" s="21"/>
      <c r="N2285" s="21"/>
      <c r="O2285" s="21"/>
      <c r="P2285" s="21"/>
      <c r="Q2285" s="22"/>
      <c r="R2285" s="19"/>
      <c r="S2285" s="22"/>
      <c r="T2285" s="23"/>
      <c r="U2285" s="18"/>
      <c r="V2285" s="22"/>
      <c r="W2285" s="18"/>
      <c r="X2285" s="18"/>
      <c r="Y2285" s="21"/>
      <c r="Z2285" s="18"/>
    </row>
    <row r="2286" spans="1:26" x14ac:dyDescent="0.25">
      <c r="A2286" s="11"/>
      <c r="B2286" s="11"/>
      <c r="C2286" s="11"/>
      <c r="D2286" s="11"/>
      <c r="E2286" s="12"/>
      <c r="F2286" s="13"/>
      <c r="G2286" s="13"/>
      <c r="H2286" s="13"/>
      <c r="I2286" s="11"/>
      <c r="J2286" s="11"/>
      <c r="K2286" s="11"/>
      <c r="L2286" s="11"/>
      <c r="M2286" s="15"/>
      <c r="N2286" s="15"/>
      <c r="O2286" s="15"/>
      <c r="P2286" s="15"/>
      <c r="Q2286" s="16"/>
      <c r="R2286" s="16"/>
      <c r="S2286" s="16"/>
      <c r="T2286" s="17"/>
      <c r="U2286" s="11"/>
      <c r="V2286" s="16"/>
      <c r="W2286" s="11"/>
      <c r="X2286" s="11"/>
      <c r="Y2286" s="15"/>
      <c r="Z2286" s="11"/>
    </row>
    <row r="2287" spans="1:26" x14ac:dyDescent="0.25">
      <c r="A2287" s="11"/>
      <c r="B2287" s="11"/>
      <c r="C2287" s="11"/>
      <c r="D2287" s="11"/>
      <c r="E2287" s="12"/>
      <c r="F2287" s="13"/>
      <c r="G2287" s="13"/>
      <c r="H2287" s="13"/>
      <c r="I2287" s="11"/>
      <c r="J2287" s="11"/>
      <c r="K2287" s="11"/>
      <c r="L2287" s="11"/>
      <c r="M2287" s="15"/>
      <c r="N2287" s="15"/>
      <c r="O2287" s="15"/>
      <c r="P2287" s="15"/>
      <c r="Q2287" s="16"/>
      <c r="R2287" s="16"/>
      <c r="S2287" s="16"/>
      <c r="T2287" s="17"/>
      <c r="U2287" s="11"/>
      <c r="V2287" s="16"/>
      <c r="W2287" s="11"/>
      <c r="X2287" s="11"/>
      <c r="Y2287" s="15"/>
      <c r="Z2287" s="11"/>
    </row>
    <row r="2288" spans="1:26" x14ac:dyDescent="0.25">
      <c r="A2288" s="11"/>
      <c r="B2288" s="11"/>
      <c r="C2288" s="11"/>
      <c r="D2288" s="11"/>
      <c r="E2288" s="12"/>
      <c r="F2288" s="13"/>
      <c r="G2288" s="13"/>
      <c r="H2288" s="13"/>
      <c r="I2288" s="11"/>
      <c r="J2288" s="11"/>
      <c r="K2288" s="11"/>
      <c r="L2288" s="11"/>
      <c r="M2288" s="15"/>
      <c r="N2288" s="15"/>
      <c r="O2288" s="15"/>
      <c r="P2288" s="15"/>
      <c r="Q2288" s="16"/>
      <c r="R2288" s="16"/>
      <c r="S2288" s="16"/>
      <c r="T2288" s="17"/>
      <c r="U2288" s="11"/>
      <c r="V2288" s="16"/>
      <c r="W2288" s="11"/>
      <c r="X2288" s="11"/>
      <c r="Y2288" s="15"/>
      <c r="Z2288" s="11"/>
    </row>
    <row r="2289" spans="1:26" x14ac:dyDescent="0.25">
      <c r="A2289" s="11"/>
      <c r="B2289" s="11"/>
      <c r="C2289" s="11"/>
      <c r="D2289" s="11"/>
      <c r="E2289" s="12"/>
      <c r="F2289" s="13"/>
      <c r="G2289" s="13"/>
      <c r="H2289" s="13"/>
      <c r="I2289" s="11"/>
      <c r="J2289" s="11"/>
      <c r="K2289" s="11"/>
      <c r="L2289" s="11"/>
      <c r="M2289" s="15"/>
      <c r="N2289" s="15"/>
      <c r="O2289" s="15"/>
      <c r="P2289" s="15"/>
      <c r="Q2289" s="16"/>
      <c r="R2289" s="16"/>
      <c r="S2289" s="16"/>
      <c r="T2289" s="17"/>
      <c r="U2289" s="11"/>
      <c r="V2289" s="16"/>
      <c r="W2289" s="11"/>
      <c r="X2289" s="11"/>
      <c r="Y2289" s="15"/>
      <c r="Z2289" s="11"/>
    </row>
    <row r="2290" spans="1:26" x14ac:dyDescent="0.25">
      <c r="A2290" s="11"/>
      <c r="B2290" s="11"/>
      <c r="C2290" s="11"/>
      <c r="D2290" s="11"/>
      <c r="E2290" s="12"/>
      <c r="F2290" s="13"/>
      <c r="G2290" s="13"/>
      <c r="H2290" s="13"/>
      <c r="I2290" s="11"/>
      <c r="J2290" s="11"/>
      <c r="K2290" s="11"/>
      <c r="L2290" s="11"/>
      <c r="M2290" s="15"/>
      <c r="N2290" s="15"/>
      <c r="O2290" s="15"/>
      <c r="P2290" s="15"/>
      <c r="Q2290" s="16"/>
      <c r="R2290" s="16"/>
      <c r="S2290" s="16"/>
      <c r="T2290" s="17"/>
      <c r="U2290" s="11"/>
      <c r="V2290" s="16"/>
      <c r="W2290" s="11"/>
      <c r="X2290" s="11"/>
      <c r="Y2290" s="15"/>
      <c r="Z2290" s="11"/>
    </row>
    <row r="2291" spans="1:26" x14ac:dyDescent="0.25">
      <c r="A2291" s="11"/>
      <c r="B2291" s="11"/>
      <c r="C2291" s="11"/>
      <c r="D2291" s="11"/>
      <c r="E2291" s="12"/>
      <c r="F2291" s="13"/>
      <c r="G2291" s="13"/>
      <c r="H2291" s="13"/>
      <c r="I2291" s="11"/>
      <c r="J2291" s="11"/>
      <c r="K2291" s="11"/>
      <c r="L2291" s="11"/>
      <c r="M2291" s="15"/>
      <c r="N2291" s="15"/>
      <c r="O2291" s="15"/>
      <c r="P2291" s="15"/>
      <c r="Q2291" s="16"/>
      <c r="R2291" s="16"/>
      <c r="S2291" s="16"/>
      <c r="T2291" s="17"/>
      <c r="U2291" s="11"/>
      <c r="V2291" s="16"/>
      <c r="W2291" s="11"/>
      <c r="X2291" s="11"/>
      <c r="Y2291" s="15"/>
      <c r="Z2291" s="11"/>
    </row>
    <row r="2292" spans="1:26" x14ac:dyDescent="0.25">
      <c r="A2292" s="11"/>
      <c r="B2292" s="11"/>
      <c r="C2292" s="11"/>
      <c r="D2292" s="11"/>
      <c r="E2292" s="12"/>
      <c r="F2292" s="13"/>
      <c r="G2292" s="13"/>
      <c r="H2292" s="13"/>
      <c r="I2292" s="11"/>
      <c r="J2292" s="11"/>
      <c r="K2292" s="11"/>
      <c r="L2292" s="11"/>
      <c r="M2292" s="15"/>
      <c r="N2292" s="15"/>
      <c r="O2292" s="15"/>
      <c r="P2292" s="15"/>
      <c r="Q2292" s="16"/>
      <c r="R2292" s="16"/>
      <c r="S2292" s="16"/>
      <c r="T2292" s="17"/>
      <c r="U2292" s="11"/>
      <c r="V2292" s="16"/>
      <c r="W2292" s="11"/>
      <c r="X2292" s="11"/>
      <c r="Y2292" s="15"/>
      <c r="Z2292" s="11"/>
    </row>
    <row r="2293" spans="1:26" x14ac:dyDescent="0.25">
      <c r="A2293" s="18"/>
      <c r="B2293" s="18"/>
      <c r="C2293" s="18"/>
      <c r="D2293" s="18"/>
      <c r="E2293" s="19"/>
      <c r="F2293" s="20"/>
      <c r="G2293" s="13"/>
      <c r="H2293" s="20"/>
      <c r="I2293" s="18"/>
      <c r="J2293" s="18"/>
      <c r="K2293" s="18"/>
      <c r="L2293" s="18"/>
      <c r="M2293" s="21"/>
      <c r="N2293" s="21"/>
      <c r="O2293" s="21"/>
      <c r="P2293" s="21"/>
      <c r="Q2293" s="22"/>
      <c r="R2293" s="19"/>
      <c r="S2293" s="22"/>
      <c r="T2293" s="23"/>
      <c r="U2293" s="18"/>
      <c r="V2293" s="22"/>
      <c r="W2293" s="18"/>
      <c r="X2293" s="18"/>
      <c r="Y2293" s="21"/>
      <c r="Z2293" s="18"/>
    </row>
    <row r="2294" spans="1:26" x14ac:dyDescent="0.25">
      <c r="A2294" s="18"/>
      <c r="B2294" s="18"/>
      <c r="C2294" s="18"/>
      <c r="D2294" s="18"/>
      <c r="E2294" s="19"/>
      <c r="F2294" s="20"/>
      <c r="G2294" s="13"/>
      <c r="H2294" s="20"/>
      <c r="I2294" s="18"/>
      <c r="J2294" s="18"/>
      <c r="K2294" s="18"/>
      <c r="L2294" s="18"/>
      <c r="M2294" s="21"/>
      <c r="N2294" s="21"/>
      <c r="O2294" s="21"/>
      <c r="P2294" s="21"/>
      <c r="Q2294" s="22"/>
      <c r="R2294" s="19"/>
      <c r="S2294" s="22"/>
      <c r="T2294" s="23"/>
      <c r="U2294" s="18"/>
      <c r="V2294" s="22"/>
      <c r="W2294" s="18"/>
      <c r="X2294" s="18"/>
      <c r="Y2294" s="21"/>
      <c r="Z2294" s="18"/>
    </row>
    <row r="2295" spans="1:26" x14ac:dyDescent="0.25">
      <c r="A2295" s="18"/>
      <c r="B2295" s="18"/>
      <c r="C2295" s="18"/>
      <c r="D2295" s="18"/>
      <c r="E2295" s="19"/>
      <c r="F2295" s="20"/>
      <c r="G2295" s="13"/>
      <c r="H2295" s="20"/>
      <c r="I2295" s="18"/>
      <c r="J2295" s="18"/>
      <c r="K2295" s="18"/>
      <c r="L2295" s="18"/>
      <c r="M2295" s="21"/>
      <c r="N2295" s="21"/>
      <c r="O2295" s="21"/>
      <c r="P2295" s="21"/>
      <c r="Q2295" s="22"/>
      <c r="R2295" s="19"/>
      <c r="S2295" s="22"/>
      <c r="T2295" s="23"/>
      <c r="U2295" s="18"/>
      <c r="V2295" s="22"/>
      <c r="W2295" s="18"/>
      <c r="X2295" s="18"/>
      <c r="Y2295" s="21"/>
      <c r="Z2295" s="18"/>
    </row>
    <row r="2296" spans="1:26" x14ac:dyDescent="0.25">
      <c r="A2296" s="11"/>
      <c r="B2296" s="11"/>
      <c r="C2296" s="11"/>
      <c r="D2296" s="11"/>
      <c r="E2296" s="12"/>
      <c r="F2296" s="13"/>
      <c r="G2296" s="13"/>
      <c r="H2296" s="13"/>
      <c r="I2296" s="11"/>
      <c r="J2296" s="11"/>
      <c r="K2296" s="11"/>
      <c r="L2296" s="11"/>
      <c r="M2296" s="15"/>
      <c r="N2296" s="15"/>
      <c r="O2296" s="15"/>
      <c r="P2296" s="15"/>
      <c r="Q2296" s="16"/>
      <c r="R2296" s="16"/>
      <c r="S2296" s="16"/>
      <c r="T2296" s="17"/>
      <c r="U2296" s="11"/>
      <c r="V2296" s="16"/>
      <c r="W2296" s="11"/>
      <c r="X2296" s="11"/>
      <c r="Y2296" s="15"/>
      <c r="Z2296" s="11"/>
    </row>
    <row r="2297" spans="1:26" x14ac:dyDescent="0.25">
      <c r="A2297" s="11"/>
      <c r="B2297" s="11"/>
      <c r="C2297" s="11"/>
      <c r="D2297" s="11"/>
      <c r="E2297" s="12"/>
      <c r="F2297" s="13"/>
      <c r="G2297" s="13"/>
      <c r="H2297" s="13"/>
      <c r="I2297" s="11"/>
      <c r="J2297" s="11"/>
      <c r="K2297" s="11"/>
      <c r="L2297" s="11"/>
      <c r="M2297" s="15"/>
      <c r="N2297" s="15"/>
      <c r="O2297" s="15"/>
      <c r="P2297" s="15"/>
      <c r="Q2297" s="16"/>
      <c r="R2297" s="16"/>
      <c r="S2297" s="16"/>
      <c r="T2297" s="17"/>
      <c r="U2297" s="11"/>
      <c r="V2297" s="16"/>
      <c r="W2297" s="11"/>
      <c r="X2297" s="11"/>
      <c r="Y2297" s="15"/>
      <c r="Z2297" s="11"/>
    </row>
    <row r="2298" spans="1:26" x14ac:dyDescent="0.25">
      <c r="A2298" s="11"/>
      <c r="B2298" s="11"/>
      <c r="C2298" s="11"/>
      <c r="D2298" s="11"/>
      <c r="E2298" s="12"/>
      <c r="F2298" s="13"/>
      <c r="G2298" s="13"/>
      <c r="H2298" s="13"/>
      <c r="I2298" s="11"/>
      <c r="J2298" s="11"/>
      <c r="K2298" s="11"/>
      <c r="L2298" s="11"/>
      <c r="M2298" s="15"/>
      <c r="N2298" s="15"/>
      <c r="O2298" s="15"/>
      <c r="P2298" s="15"/>
      <c r="Q2298" s="16"/>
      <c r="R2298" s="16"/>
      <c r="S2298" s="16"/>
      <c r="T2298" s="17"/>
      <c r="U2298" s="11"/>
      <c r="V2298" s="16"/>
      <c r="W2298" s="11"/>
      <c r="X2298" s="11"/>
      <c r="Y2298" s="15"/>
      <c r="Z2298" s="11"/>
    </row>
    <row r="2299" spans="1:26" x14ac:dyDescent="0.25">
      <c r="A2299" s="11"/>
      <c r="B2299" s="11"/>
      <c r="C2299" s="11"/>
      <c r="D2299" s="11"/>
      <c r="E2299" s="12"/>
      <c r="F2299" s="13"/>
      <c r="G2299" s="13"/>
      <c r="H2299" s="13"/>
      <c r="I2299" s="11"/>
      <c r="J2299" s="11"/>
      <c r="K2299" s="11"/>
      <c r="L2299" s="11"/>
      <c r="M2299" s="15"/>
      <c r="N2299" s="15"/>
      <c r="O2299" s="15"/>
      <c r="P2299" s="15"/>
      <c r="Q2299" s="16"/>
      <c r="R2299" s="16"/>
      <c r="S2299" s="16"/>
      <c r="T2299" s="17"/>
      <c r="U2299" s="11"/>
      <c r="V2299" s="16"/>
      <c r="W2299" s="11"/>
      <c r="X2299" s="11"/>
      <c r="Y2299" s="15"/>
      <c r="Z2299" s="11"/>
    </row>
    <row r="2300" spans="1:26" x14ac:dyDescent="0.25">
      <c r="A2300" s="11"/>
      <c r="B2300" s="11"/>
      <c r="C2300" s="11"/>
      <c r="D2300" s="11"/>
      <c r="E2300" s="12"/>
      <c r="F2300" s="13"/>
      <c r="G2300" s="13"/>
      <c r="H2300" s="13"/>
      <c r="I2300" s="11"/>
      <c r="J2300" s="11"/>
      <c r="K2300" s="11"/>
      <c r="L2300" s="11"/>
      <c r="M2300" s="15"/>
      <c r="N2300" s="15"/>
      <c r="O2300" s="15"/>
      <c r="P2300" s="15"/>
      <c r="Q2300" s="16"/>
      <c r="R2300" s="16"/>
      <c r="S2300" s="16"/>
      <c r="T2300" s="17"/>
      <c r="U2300" s="11"/>
      <c r="V2300" s="16"/>
      <c r="W2300" s="11"/>
      <c r="X2300" s="11"/>
      <c r="Y2300" s="15"/>
      <c r="Z2300" s="11"/>
    </row>
    <row r="2301" spans="1:26" x14ac:dyDescent="0.25">
      <c r="A2301" s="11"/>
      <c r="B2301" s="11"/>
      <c r="C2301" s="11"/>
      <c r="D2301" s="11"/>
      <c r="E2301" s="12"/>
      <c r="F2301" s="13"/>
      <c r="G2301" s="13"/>
      <c r="H2301" s="13"/>
      <c r="I2301" s="11"/>
      <c r="J2301" s="11"/>
      <c r="K2301" s="11"/>
      <c r="L2301" s="11"/>
      <c r="M2301" s="15"/>
      <c r="N2301" s="15"/>
      <c r="O2301" s="15"/>
      <c r="P2301" s="15"/>
      <c r="Q2301" s="16"/>
      <c r="R2301" s="16"/>
      <c r="S2301" s="16"/>
      <c r="T2301" s="17"/>
      <c r="U2301" s="11"/>
      <c r="V2301" s="16"/>
      <c r="W2301" s="11"/>
      <c r="X2301" s="11"/>
      <c r="Y2301" s="15"/>
      <c r="Z2301" s="11"/>
    </row>
    <row r="2302" spans="1:26" x14ac:dyDescent="0.25">
      <c r="A2302" s="11"/>
      <c r="B2302" s="11"/>
      <c r="C2302" s="11"/>
      <c r="D2302" s="11"/>
      <c r="E2302" s="12"/>
      <c r="F2302" s="13"/>
      <c r="G2302" s="13"/>
      <c r="H2302" s="13"/>
      <c r="I2302" s="11"/>
      <c r="J2302" s="11"/>
      <c r="K2302" s="11"/>
      <c r="L2302" s="11"/>
      <c r="M2302" s="15"/>
      <c r="N2302" s="15"/>
      <c r="O2302" s="15"/>
      <c r="P2302" s="15"/>
      <c r="Q2302" s="16"/>
      <c r="R2302" s="16"/>
      <c r="S2302" s="16"/>
      <c r="T2302" s="17"/>
      <c r="U2302" s="11"/>
      <c r="V2302" s="16"/>
      <c r="W2302" s="11"/>
      <c r="X2302" s="11"/>
      <c r="Y2302" s="15"/>
      <c r="Z2302" s="11"/>
    </row>
    <row r="2303" spans="1:26" x14ac:dyDescent="0.25">
      <c r="A2303" s="11"/>
      <c r="B2303" s="11"/>
      <c r="C2303" s="11"/>
      <c r="D2303" s="11"/>
      <c r="E2303" s="12"/>
      <c r="F2303" s="13"/>
      <c r="G2303" s="13"/>
      <c r="H2303" s="13"/>
      <c r="I2303" s="11"/>
      <c r="J2303" s="11"/>
      <c r="K2303" s="11"/>
      <c r="L2303" s="11"/>
      <c r="M2303" s="15"/>
      <c r="N2303" s="15"/>
      <c r="O2303" s="15"/>
      <c r="P2303" s="15"/>
      <c r="Q2303" s="16"/>
      <c r="R2303" s="16"/>
      <c r="S2303" s="16"/>
      <c r="T2303" s="17"/>
      <c r="U2303" s="11"/>
      <c r="V2303" s="16"/>
      <c r="W2303" s="11"/>
      <c r="X2303" s="11"/>
      <c r="Y2303" s="15"/>
      <c r="Z2303" s="11"/>
    </row>
    <row r="2304" spans="1:26" x14ac:dyDescent="0.25">
      <c r="A2304" s="11"/>
      <c r="B2304" s="11"/>
      <c r="C2304" s="11"/>
      <c r="D2304" s="11"/>
      <c r="E2304" s="12"/>
      <c r="F2304" s="13"/>
      <c r="G2304" s="13"/>
      <c r="H2304" s="13"/>
      <c r="I2304" s="11"/>
      <c r="J2304" s="11"/>
      <c r="K2304" s="11"/>
      <c r="L2304" s="11"/>
      <c r="M2304" s="15"/>
      <c r="N2304" s="15"/>
      <c r="O2304" s="15"/>
      <c r="P2304" s="15"/>
      <c r="Q2304" s="16"/>
      <c r="R2304" s="16"/>
      <c r="S2304" s="16"/>
      <c r="T2304" s="17"/>
      <c r="U2304" s="11"/>
      <c r="V2304" s="16"/>
      <c r="W2304" s="11"/>
      <c r="X2304" s="11"/>
      <c r="Y2304" s="15"/>
      <c r="Z2304" s="11"/>
    </row>
    <row r="2305" spans="1:26" x14ac:dyDescent="0.25">
      <c r="A2305" s="11"/>
      <c r="B2305" s="11"/>
      <c r="C2305" s="11"/>
      <c r="D2305" s="11"/>
      <c r="E2305" s="12"/>
      <c r="F2305" s="13"/>
      <c r="G2305" s="13"/>
      <c r="H2305" s="13"/>
      <c r="I2305" s="11"/>
      <c r="J2305" s="11"/>
      <c r="K2305" s="11"/>
      <c r="L2305" s="11"/>
      <c r="M2305" s="15"/>
      <c r="N2305" s="15"/>
      <c r="O2305" s="15"/>
      <c r="P2305" s="15"/>
      <c r="Q2305" s="16"/>
      <c r="R2305" s="16"/>
      <c r="S2305" s="16"/>
      <c r="T2305" s="17"/>
      <c r="U2305" s="11"/>
      <c r="V2305" s="16"/>
      <c r="W2305" s="11"/>
      <c r="X2305" s="11"/>
      <c r="Y2305" s="15"/>
      <c r="Z2305" s="11"/>
    </row>
    <row r="2306" spans="1:26" x14ac:dyDescent="0.25">
      <c r="A2306" s="11"/>
      <c r="B2306" s="11"/>
      <c r="C2306" s="11"/>
      <c r="D2306" s="11"/>
      <c r="E2306" s="12"/>
      <c r="F2306" s="13"/>
      <c r="G2306" s="13"/>
      <c r="H2306" s="13"/>
      <c r="I2306" s="11"/>
      <c r="J2306" s="11"/>
      <c r="K2306" s="11"/>
      <c r="L2306" s="11"/>
      <c r="M2306" s="15"/>
      <c r="N2306" s="15"/>
      <c r="O2306" s="15"/>
      <c r="P2306" s="15"/>
      <c r="Q2306" s="16"/>
      <c r="R2306" s="16"/>
      <c r="S2306" s="16"/>
      <c r="T2306" s="17"/>
      <c r="U2306" s="11"/>
      <c r="V2306" s="16"/>
      <c r="W2306" s="11"/>
      <c r="X2306" s="11"/>
      <c r="Y2306" s="15"/>
      <c r="Z2306" s="11"/>
    </row>
    <row r="2307" spans="1:26" x14ac:dyDescent="0.25">
      <c r="A2307" s="11"/>
      <c r="B2307" s="11"/>
      <c r="C2307" s="11"/>
      <c r="D2307" s="11"/>
      <c r="E2307" s="12"/>
      <c r="F2307" s="13"/>
      <c r="G2307" s="13"/>
      <c r="H2307" s="13"/>
      <c r="I2307" s="11"/>
      <c r="J2307" s="11"/>
      <c r="K2307" s="11"/>
      <c r="L2307" s="11"/>
      <c r="M2307" s="15"/>
      <c r="N2307" s="15"/>
      <c r="O2307" s="15"/>
      <c r="P2307" s="15"/>
      <c r="Q2307" s="16"/>
      <c r="R2307" s="16"/>
      <c r="S2307" s="16"/>
      <c r="T2307" s="17"/>
      <c r="U2307" s="11"/>
      <c r="V2307" s="16"/>
      <c r="W2307" s="11"/>
      <c r="X2307" s="11"/>
      <c r="Y2307" s="15"/>
      <c r="Z2307" s="11"/>
    </row>
    <row r="2308" spans="1:26" x14ac:dyDescent="0.25">
      <c r="A2308" s="11"/>
      <c r="B2308" s="11"/>
      <c r="C2308" s="11"/>
      <c r="D2308" s="11"/>
      <c r="E2308" s="12"/>
      <c r="F2308" s="13"/>
      <c r="G2308" s="13"/>
      <c r="H2308" s="13"/>
      <c r="I2308" s="11"/>
      <c r="J2308" s="11"/>
      <c r="K2308" s="11"/>
      <c r="L2308" s="11"/>
      <c r="M2308" s="15"/>
      <c r="N2308" s="15"/>
      <c r="O2308" s="15"/>
      <c r="P2308" s="15"/>
      <c r="Q2308" s="16"/>
      <c r="R2308" s="16"/>
      <c r="S2308" s="16"/>
      <c r="T2308" s="17"/>
      <c r="U2308" s="11"/>
      <c r="V2308" s="16"/>
      <c r="W2308" s="11"/>
      <c r="X2308" s="11"/>
      <c r="Y2308" s="15"/>
      <c r="Z2308" s="11"/>
    </row>
    <row r="2309" spans="1:26" x14ac:dyDescent="0.25">
      <c r="A2309" s="11"/>
      <c r="B2309" s="11"/>
      <c r="C2309" s="11"/>
      <c r="D2309" s="11"/>
      <c r="E2309" s="12"/>
      <c r="F2309" s="13"/>
      <c r="G2309" s="13"/>
      <c r="H2309" s="13"/>
      <c r="I2309" s="11"/>
      <c r="J2309" s="11"/>
      <c r="K2309" s="11"/>
      <c r="L2309" s="11"/>
      <c r="M2309" s="15"/>
      <c r="N2309" s="15"/>
      <c r="O2309" s="15"/>
      <c r="P2309" s="15"/>
      <c r="Q2309" s="16"/>
      <c r="R2309" s="16"/>
      <c r="S2309" s="16"/>
      <c r="T2309" s="17"/>
      <c r="U2309" s="11"/>
      <c r="V2309" s="16"/>
      <c r="W2309" s="11"/>
      <c r="X2309" s="11"/>
      <c r="Y2309" s="15"/>
      <c r="Z2309" s="11"/>
    </row>
    <row r="2310" spans="1:26" x14ac:dyDescent="0.25">
      <c r="A2310" s="18"/>
      <c r="B2310" s="18"/>
      <c r="C2310" s="18"/>
      <c r="D2310" s="18"/>
      <c r="E2310" s="19"/>
      <c r="F2310" s="20"/>
      <c r="G2310" s="13"/>
      <c r="H2310" s="20"/>
      <c r="I2310" s="18"/>
      <c r="J2310" s="18"/>
      <c r="K2310" s="18"/>
      <c r="L2310" s="18"/>
      <c r="M2310" s="21"/>
      <c r="N2310" s="21"/>
      <c r="O2310" s="21"/>
      <c r="P2310" s="21"/>
      <c r="Q2310" s="22"/>
      <c r="R2310" s="19"/>
      <c r="S2310" s="22"/>
      <c r="T2310" s="23"/>
      <c r="U2310" s="18"/>
      <c r="V2310" s="22"/>
      <c r="W2310" s="18"/>
      <c r="X2310" s="18"/>
      <c r="Y2310" s="21"/>
      <c r="Z2310" s="18"/>
    </row>
    <row r="2311" spans="1:26" x14ac:dyDescent="0.25">
      <c r="A2311" s="11"/>
      <c r="B2311" s="11"/>
      <c r="C2311" s="11"/>
      <c r="D2311" s="11"/>
      <c r="E2311" s="12"/>
      <c r="F2311" s="13"/>
      <c r="G2311" s="13"/>
      <c r="H2311" s="13"/>
      <c r="I2311" s="11"/>
      <c r="J2311" s="11"/>
      <c r="K2311" s="11"/>
      <c r="L2311" s="11"/>
      <c r="M2311" s="15"/>
      <c r="N2311" s="15"/>
      <c r="O2311" s="15"/>
      <c r="P2311" s="15"/>
      <c r="Q2311" s="16"/>
      <c r="R2311" s="16"/>
      <c r="S2311" s="16"/>
      <c r="T2311" s="17"/>
      <c r="U2311" s="11"/>
      <c r="V2311" s="16"/>
      <c r="W2311" s="11"/>
      <c r="X2311" s="11"/>
      <c r="Y2311" s="15"/>
      <c r="Z2311" s="11"/>
    </row>
    <row r="2312" spans="1:26" x14ac:dyDescent="0.25">
      <c r="A2312" s="11"/>
      <c r="B2312" s="11"/>
      <c r="C2312" s="11"/>
      <c r="D2312" s="11"/>
      <c r="E2312" s="12"/>
      <c r="F2312" s="13"/>
      <c r="G2312" s="13"/>
      <c r="H2312" s="13"/>
      <c r="I2312" s="11"/>
      <c r="J2312" s="11"/>
      <c r="K2312" s="11"/>
      <c r="L2312" s="11"/>
      <c r="M2312" s="15"/>
      <c r="N2312" s="15"/>
      <c r="O2312" s="15"/>
      <c r="P2312" s="15"/>
      <c r="Q2312" s="16"/>
      <c r="R2312" s="16"/>
      <c r="S2312" s="16"/>
      <c r="T2312" s="17"/>
      <c r="U2312" s="11"/>
      <c r="V2312" s="16"/>
      <c r="W2312" s="11"/>
      <c r="X2312" s="11"/>
      <c r="Y2312" s="15"/>
      <c r="Z2312" s="11"/>
    </row>
    <row r="2313" spans="1:26" x14ac:dyDescent="0.25">
      <c r="A2313" s="11"/>
      <c r="B2313" s="11"/>
      <c r="C2313" s="11"/>
      <c r="D2313" s="11"/>
      <c r="E2313" s="12"/>
      <c r="F2313" s="13"/>
      <c r="G2313" s="13"/>
      <c r="H2313" s="13"/>
      <c r="I2313" s="11"/>
      <c r="J2313" s="11"/>
      <c r="K2313" s="11"/>
      <c r="L2313" s="11"/>
      <c r="M2313" s="15"/>
      <c r="N2313" s="15"/>
      <c r="O2313" s="15"/>
      <c r="P2313" s="15"/>
      <c r="Q2313" s="16"/>
      <c r="R2313" s="16"/>
      <c r="S2313" s="16"/>
      <c r="T2313" s="17"/>
      <c r="U2313" s="11"/>
      <c r="V2313" s="16"/>
      <c r="W2313" s="11"/>
      <c r="X2313" s="11"/>
      <c r="Y2313" s="15"/>
      <c r="Z2313" s="11"/>
    </row>
    <row r="2314" spans="1:26" x14ac:dyDescent="0.25">
      <c r="A2314" s="11"/>
      <c r="B2314" s="11"/>
      <c r="C2314" s="11"/>
      <c r="D2314" s="11"/>
      <c r="E2314" s="12"/>
      <c r="F2314" s="13"/>
      <c r="G2314" s="13"/>
      <c r="H2314" s="13"/>
      <c r="I2314" s="11"/>
      <c r="J2314" s="11"/>
      <c r="K2314" s="11"/>
      <c r="L2314" s="11"/>
      <c r="M2314" s="15"/>
      <c r="N2314" s="15"/>
      <c r="O2314" s="15"/>
      <c r="P2314" s="15"/>
      <c r="Q2314" s="16"/>
      <c r="R2314" s="16"/>
      <c r="S2314" s="16"/>
      <c r="T2314" s="17"/>
      <c r="U2314" s="11"/>
      <c r="V2314" s="16"/>
      <c r="W2314" s="11"/>
      <c r="X2314" s="11"/>
      <c r="Y2314" s="15"/>
      <c r="Z2314" s="11"/>
    </row>
    <row r="2315" spans="1:26" x14ac:dyDescent="0.25">
      <c r="A2315" s="11"/>
      <c r="B2315" s="11"/>
      <c r="C2315" s="11"/>
      <c r="D2315" s="11"/>
      <c r="E2315" s="12"/>
      <c r="F2315" s="13"/>
      <c r="G2315" s="13"/>
      <c r="H2315" s="13"/>
      <c r="I2315" s="11"/>
      <c r="J2315" s="11"/>
      <c r="K2315" s="11"/>
      <c r="L2315" s="11"/>
      <c r="M2315" s="15"/>
      <c r="N2315" s="15"/>
      <c r="O2315" s="15"/>
      <c r="P2315" s="15"/>
      <c r="Q2315" s="16"/>
      <c r="R2315" s="16"/>
      <c r="S2315" s="16"/>
      <c r="T2315" s="17"/>
      <c r="U2315" s="11"/>
      <c r="V2315" s="16"/>
      <c r="W2315" s="11"/>
      <c r="X2315" s="11"/>
      <c r="Y2315" s="15"/>
      <c r="Z2315" s="11"/>
    </row>
    <row r="2316" spans="1:26" x14ac:dyDescent="0.25">
      <c r="A2316" s="11"/>
      <c r="B2316" s="11"/>
      <c r="C2316" s="11"/>
      <c r="D2316" s="11"/>
      <c r="E2316" s="12"/>
      <c r="F2316" s="13"/>
      <c r="G2316" s="13"/>
      <c r="H2316" s="13"/>
      <c r="I2316" s="11"/>
      <c r="J2316" s="11"/>
      <c r="K2316" s="11"/>
      <c r="L2316" s="11"/>
      <c r="M2316" s="15"/>
      <c r="N2316" s="15"/>
      <c r="O2316" s="15"/>
      <c r="P2316" s="15"/>
      <c r="Q2316" s="16"/>
      <c r="R2316" s="16"/>
      <c r="S2316" s="16"/>
      <c r="T2316" s="17"/>
      <c r="U2316" s="11"/>
      <c r="V2316" s="16"/>
      <c r="W2316" s="11"/>
      <c r="X2316" s="11"/>
      <c r="Y2316" s="15"/>
      <c r="Z2316" s="11"/>
    </row>
    <row r="2317" spans="1:26" x14ac:dyDescent="0.25">
      <c r="A2317" s="11"/>
      <c r="B2317" s="11"/>
      <c r="C2317" s="11"/>
      <c r="D2317" s="11"/>
      <c r="E2317" s="12"/>
      <c r="F2317" s="13"/>
      <c r="G2317" s="13"/>
      <c r="H2317" s="13"/>
      <c r="I2317" s="11"/>
      <c r="J2317" s="11"/>
      <c r="K2317" s="11"/>
      <c r="L2317" s="11"/>
      <c r="M2317" s="15"/>
      <c r="N2317" s="15"/>
      <c r="O2317" s="15"/>
      <c r="P2317" s="15"/>
      <c r="Q2317" s="16"/>
      <c r="R2317" s="16"/>
      <c r="S2317" s="16"/>
      <c r="T2317" s="17"/>
      <c r="U2317" s="11"/>
      <c r="V2317" s="16"/>
      <c r="W2317" s="11"/>
      <c r="X2317" s="11"/>
      <c r="Y2317" s="15"/>
      <c r="Z2317" s="11"/>
    </row>
    <row r="2318" spans="1:26" x14ac:dyDescent="0.25">
      <c r="A2318" s="11"/>
      <c r="B2318" s="11"/>
      <c r="C2318" s="11"/>
      <c r="D2318" s="11"/>
      <c r="E2318" s="12"/>
      <c r="F2318" s="13"/>
      <c r="G2318" s="13"/>
      <c r="H2318" s="13"/>
      <c r="I2318" s="11"/>
      <c r="J2318" s="11"/>
      <c r="K2318" s="11"/>
      <c r="L2318" s="11"/>
      <c r="M2318" s="15"/>
      <c r="N2318" s="15"/>
      <c r="O2318" s="15"/>
      <c r="P2318" s="15"/>
      <c r="Q2318" s="16"/>
      <c r="R2318" s="16"/>
      <c r="S2318" s="16"/>
      <c r="T2318" s="17"/>
      <c r="U2318" s="11"/>
      <c r="V2318" s="16"/>
      <c r="W2318" s="11"/>
      <c r="X2318" s="11"/>
      <c r="Y2318" s="15"/>
      <c r="Z2318" s="11"/>
    </row>
    <row r="2319" spans="1:26" x14ac:dyDescent="0.25">
      <c r="A2319" s="11"/>
      <c r="B2319" s="11"/>
      <c r="C2319" s="11"/>
      <c r="D2319" s="11"/>
      <c r="E2319" s="12"/>
      <c r="F2319" s="13"/>
      <c r="G2319" s="13"/>
      <c r="H2319" s="13"/>
      <c r="I2319" s="11"/>
      <c r="J2319" s="11"/>
      <c r="K2319" s="11"/>
      <c r="L2319" s="11"/>
      <c r="M2319" s="15"/>
      <c r="N2319" s="15"/>
      <c r="O2319" s="15"/>
      <c r="P2319" s="15"/>
      <c r="Q2319" s="16"/>
      <c r="R2319" s="16"/>
      <c r="S2319" s="16"/>
      <c r="T2319" s="17"/>
      <c r="U2319" s="11"/>
      <c r="V2319" s="16"/>
      <c r="W2319" s="11"/>
      <c r="X2319" s="11"/>
      <c r="Y2319" s="15"/>
      <c r="Z2319" s="11"/>
    </row>
    <row r="2320" spans="1:26" x14ac:dyDescent="0.25">
      <c r="A2320" s="11"/>
      <c r="B2320" s="11"/>
      <c r="C2320" s="11"/>
      <c r="D2320" s="11"/>
      <c r="E2320" s="12"/>
      <c r="F2320" s="13"/>
      <c r="G2320" s="13"/>
      <c r="H2320" s="13"/>
      <c r="I2320" s="11"/>
      <c r="J2320" s="11"/>
      <c r="K2320" s="11"/>
      <c r="L2320" s="11"/>
      <c r="M2320" s="15"/>
      <c r="N2320" s="15"/>
      <c r="O2320" s="15"/>
      <c r="P2320" s="15"/>
      <c r="Q2320" s="16"/>
      <c r="R2320" s="16"/>
      <c r="S2320" s="16"/>
      <c r="T2320" s="17"/>
      <c r="U2320" s="11"/>
      <c r="V2320" s="16"/>
      <c r="W2320" s="11"/>
      <c r="X2320" s="11"/>
      <c r="Y2320" s="15"/>
      <c r="Z2320" s="11"/>
    </row>
    <row r="2321" spans="1:26" x14ac:dyDescent="0.25">
      <c r="A2321" s="11"/>
      <c r="B2321" s="11"/>
      <c r="C2321" s="11"/>
      <c r="D2321" s="11"/>
      <c r="E2321" s="12"/>
      <c r="F2321" s="13"/>
      <c r="G2321" s="13"/>
      <c r="H2321" s="13"/>
      <c r="I2321" s="11"/>
      <c r="J2321" s="11"/>
      <c r="K2321" s="11"/>
      <c r="L2321" s="11"/>
      <c r="M2321" s="15"/>
      <c r="N2321" s="15"/>
      <c r="O2321" s="15"/>
      <c r="P2321" s="15"/>
      <c r="Q2321" s="16"/>
      <c r="R2321" s="16"/>
      <c r="S2321" s="16"/>
      <c r="T2321" s="17"/>
      <c r="U2321" s="11"/>
      <c r="V2321" s="16"/>
      <c r="W2321" s="11"/>
      <c r="X2321" s="11"/>
      <c r="Y2321" s="15"/>
      <c r="Z2321" s="11"/>
    </row>
    <row r="2322" spans="1:26" x14ac:dyDescent="0.25">
      <c r="A2322" s="18"/>
      <c r="B2322" s="18"/>
      <c r="C2322" s="18"/>
      <c r="D2322" s="18"/>
      <c r="E2322" s="19"/>
      <c r="F2322" s="20"/>
      <c r="G2322" s="13"/>
      <c r="H2322" s="20"/>
      <c r="I2322" s="18"/>
      <c r="J2322" s="18"/>
      <c r="K2322" s="18"/>
      <c r="L2322" s="18"/>
      <c r="M2322" s="21"/>
      <c r="N2322" s="21"/>
      <c r="O2322" s="21"/>
      <c r="P2322" s="21"/>
      <c r="Q2322" s="22"/>
      <c r="R2322" s="19"/>
      <c r="S2322" s="22"/>
      <c r="T2322" s="23"/>
      <c r="U2322" s="18"/>
      <c r="V2322" s="22"/>
      <c r="W2322" s="18"/>
      <c r="X2322" s="18"/>
      <c r="Y2322" s="21"/>
      <c r="Z2322" s="18"/>
    </row>
    <row r="2323" spans="1:26" x14ac:dyDescent="0.25">
      <c r="A2323" s="19"/>
      <c r="B2323" s="19"/>
      <c r="C2323" s="19"/>
      <c r="D2323" s="19"/>
      <c r="E2323" s="19"/>
      <c r="F2323" s="20"/>
      <c r="G2323" s="13"/>
      <c r="H2323" s="20"/>
      <c r="I2323" s="19"/>
      <c r="J2323" s="19"/>
      <c r="K2323" s="19"/>
      <c r="L2323" s="19"/>
      <c r="M2323" s="21"/>
      <c r="N2323" s="21"/>
      <c r="O2323" s="21"/>
      <c r="P2323" s="21"/>
      <c r="Q2323" s="22"/>
      <c r="R2323" s="19"/>
      <c r="S2323" s="22"/>
      <c r="T2323" s="23"/>
      <c r="U2323" s="19"/>
      <c r="V2323" s="22"/>
      <c r="W2323" s="19"/>
      <c r="X2323" s="19"/>
      <c r="Y2323" s="21"/>
      <c r="Z2323" s="19"/>
    </row>
    <row r="2324" spans="1:26" x14ac:dyDescent="0.25">
      <c r="A2324" s="19"/>
      <c r="B2324" s="19"/>
      <c r="C2324" s="19"/>
      <c r="D2324" s="19"/>
      <c r="E2324" s="19"/>
      <c r="F2324" s="20"/>
      <c r="G2324" s="13"/>
      <c r="H2324" s="20"/>
      <c r="I2324" s="19"/>
      <c r="J2324" s="19"/>
      <c r="K2324" s="19"/>
      <c r="L2324" s="19"/>
      <c r="M2324" s="21"/>
      <c r="N2324" s="21"/>
      <c r="O2324" s="21"/>
      <c r="P2324" s="21"/>
      <c r="Q2324" s="22"/>
      <c r="R2324" s="19"/>
      <c r="S2324" s="22"/>
      <c r="T2324" s="23"/>
      <c r="U2324" s="19"/>
      <c r="V2324" s="22"/>
      <c r="W2324" s="19"/>
      <c r="X2324" s="19"/>
      <c r="Y2324" s="21"/>
      <c r="Z2324" s="19"/>
    </row>
    <row r="2325" spans="1:26" x14ac:dyDescent="0.25">
      <c r="A2325" s="11"/>
      <c r="B2325" s="11"/>
      <c r="C2325" s="11"/>
      <c r="D2325" s="11"/>
      <c r="E2325" s="12"/>
      <c r="F2325" s="13"/>
      <c r="G2325" s="13"/>
      <c r="H2325" s="13"/>
      <c r="I2325" s="11"/>
      <c r="J2325" s="11"/>
      <c r="K2325" s="11"/>
      <c r="L2325" s="11"/>
      <c r="M2325" s="15"/>
      <c r="N2325" s="15"/>
      <c r="O2325" s="15"/>
      <c r="P2325" s="15"/>
      <c r="Q2325" s="16"/>
      <c r="R2325" s="16"/>
      <c r="S2325" s="16"/>
      <c r="T2325" s="17"/>
      <c r="U2325" s="11"/>
      <c r="V2325" s="16"/>
      <c r="W2325" s="11"/>
      <c r="X2325" s="11"/>
      <c r="Y2325" s="15"/>
      <c r="Z2325" s="11"/>
    </row>
    <row r="2326" spans="1:26" x14ac:dyDescent="0.25">
      <c r="A2326" s="11"/>
      <c r="B2326" s="11"/>
      <c r="C2326" s="11"/>
      <c r="D2326" s="11"/>
      <c r="E2326" s="12"/>
      <c r="F2326" s="13"/>
      <c r="G2326" s="13"/>
      <c r="H2326" s="13"/>
      <c r="I2326" s="11"/>
      <c r="J2326" s="11"/>
      <c r="K2326" s="11"/>
      <c r="L2326" s="11"/>
      <c r="M2326" s="15"/>
      <c r="N2326" s="15"/>
      <c r="O2326" s="15"/>
      <c r="P2326" s="15"/>
      <c r="Q2326" s="16"/>
      <c r="R2326" s="16"/>
      <c r="S2326" s="16"/>
      <c r="T2326" s="17"/>
      <c r="U2326" s="11"/>
      <c r="V2326" s="16"/>
      <c r="W2326" s="11"/>
      <c r="X2326" s="11"/>
      <c r="Y2326" s="15"/>
      <c r="Z2326" s="11"/>
    </row>
    <row r="2327" spans="1:26" x14ac:dyDescent="0.25">
      <c r="A2327" s="11"/>
      <c r="B2327" s="11"/>
      <c r="C2327" s="11"/>
      <c r="D2327" s="11"/>
      <c r="E2327" s="12"/>
      <c r="F2327" s="13"/>
      <c r="G2327" s="13"/>
      <c r="H2327" s="13"/>
      <c r="I2327" s="11"/>
      <c r="J2327" s="11"/>
      <c r="K2327" s="11"/>
      <c r="L2327" s="11"/>
      <c r="M2327" s="15"/>
      <c r="N2327" s="15"/>
      <c r="O2327" s="15"/>
      <c r="P2327" s="15"/>
      <c r="Q2327" s="16"/>
      <c r="R2327" s="16"/>
      <c r="S2327" s="16"/>
      <c r="T2327" s="17"/>
      <c r="U2327" s="11"/>
      <c r="V2327" s="16"/>
      <c r="W2327" s="11"/>
      <c r="X2327" s="11"/>
      <c r="Y2327" s="15"/>
      <c r="Z2327" s="11"/>
    </row>
    <row r="2328" spans="1:26" x14ac:dyDescent="0.25">
      <c r="A2328" s="11"/>
      <c r="B2328" s="11"/>
      <c r="C2328" s="11"/>
      <c r="D2328" s="11"/>
      <c r="E2328" s="12"/>
      <c r="F2328" s="13"/>
      <c r="G2328" s="13"/>
      <c r="H2328" s="13"/>
      <c r="I2328" s="11"/>
      <c r="J2328" s="11"/>
      <c r="K2328" s="11"/>
      <c r="L2328" s="11"/>
      <c r="M2328" s="15"/>
      <c r="N2328" s="15"/>
      <c r="O2328" s="15"/>
      <c r="P2328" s="15"/>
      <c r="Q2328" s="16"/>
      <c r="R2328" s="16"/>
      <c r="S2328" s="16"/>
      <c r="T2328" s="17"/>
      <c r="U2328" s="11"/>
      <c r="V2328" s="16"/>
      <c r="W2328" s="11"/>
      <c r="X2328" s="11"/>
      <c r="Y2328" s="15"/>
      <c r="Z2328" s="11"/>
    </row>
    <row r="2329" spans="1:26" x14ac:dyDescent="0.25">
      <c r="A2329" s="11"/>
      <c r="B2329" s="11"/>
      <c r="C2329" s="11"/>
      <c r="D2329" s="11"/>
      <c r="E2329" s="12"/>
      <c r="F2329" s="13"/>
      <c r="G2329" s="13"/>
      <c r="H2329" s="13"/>
      <c r="I2329" s="11"/>
      <c r="J2329" s="11"/>
      <c r="K2329" s="11"/>
      <c r="L2329" s="11"/>
      <c r="M2329" s="15"/>
      <c r="N2329" s="15"/>
      <c r="O2329" s="15"/>
      <c r="P2329" s="15"/>
      <c r="Q2329" s="16"/>
      <c r="R2329" s="16"/>
      <c r="S2329" s="16"/>
      <c r="T2329" s="17"/>
      <c r="U2329" s="11"/>
      <c r="V2329" s="16"/>
      <c r="W2329" s="11"/>
      <c r="X2329" s="11"/>
      <c r="Y2329" s="15"/>
      <c r="Z2329" s="11"/>
    </row>
    <row r="2330" spans="1:26" x14ac:dyDescent="0.25">
      <c r="A2330" s="11"/>
      <c r="B2330" s="11"/>
      <c r="C2330" s="11"/>
      <c r="D2330" s="11"/>
      <c r="E2330" s="12"/>
      <c r="F2330" s="13"/>
      <c r="G2330" s="13"/>
      <c r="H2330" s="13"/>
      <c r="I2330" s="11"/>
      <c r="J2330" s="11"/>
      <c r="K2330" s="11"/>
      <c r="L2330" s="11"/>
      <c r="M2330" s="15"/>
      <c r="N2330" s="15"/>
      <c r="O2330" s="15"/>
      <c r="P2330" s="15"/>
      <c r="Q2330" s="16"/>
      <c r="R2330" s="16"/>
      <c r="S2330" s="16"/>
      <c r="T2330" s="17"/>
      <c r="U2330" s="11"/>
      <c r="V2330" s="16"/>
      <c r="W2330" s="11"/>
      <c r="X2330" s="11"/>
      <c r="Y2330" s="15"/>
      <c r="Z2330" s="11"/>
    </row>
    <row r="2331" spans="1:26" x14ac:dyDescent="0.25">
      <c r="A2331" s="11"/>
      <c r="B2331" s="11"/>
      <c r="C2331" s="11"/>
      <c r="D2331" s="11"/>
      <c r="E2331" s="12"/>
      <c r="F2331" s="13"/>
      <c r="G2331" s="13"/>
      <c r="H2331" s="13"/>
      <c r="I2331" s="11"/>
      <c r="J2331" s="11"/>
      <c r="K2331" s="11"/>
      <c r="L2331" s="11"/>
      <c r="M2331" s="15"/>
      <c r="N2331" s="15"/>
      <c r="O2331" s="15"/>
      <c r="P2331" s="15"/>
      <c r="Q2331" s="16"/>
      <c r="R2331" s="16"/>
      <c r="S2331" s="16"/>
      <c r="T2331" s="17"/>
      <c r="U2331" s="11"/>
      <c r="V2331" s="16"/>
      <c r="W2331" s="11"/>
      <c r="X2331" s="11"/>
      <c r="Y2331" s="15"/>
      <c r="Z2331" s="11"/>
    </row>
    <row r="2332" spans="1:26" x14ac:dyDescent="0.25">
      <c r="A2332" s="19"/>
      <c r="B2332" s="19"/>
      <c r="C2332" s="19"/>
      <c r="D2332" s="19"/>
      <c r="E2332" s="19"/>
      <c r="F2332" s="20"/>
      <c r="G2332" s="13"/>
      <c r="H2332" s="20"/>
      <c r="I2332" s="19"/>
      <c r="J2332" s="19"/>
      <c r="K2332" s="19"/>
      <c r="L2332" s="19"/>
      <c r="M2332" s="21"/>
      <c r="N2332" s="21"/>
      <c r="O2332" s="21"/>
      <c r="P2332" s="21"/>
      <c r="Q2332" s="22"/>
      <c r="R2332" s="19"/>
      <c r="S2332" s="22"/>
      <c r="T2332" s="23"/>
      <c r="U2332" s="19"/>
      <c r="V2332" s="22"/>
      <c r="W2332" s="19"/>
      <c r="X2332" s="19"/>
      <c r="Y2332" s="21"/>
      <c r="Z2332" s="19"/>
    </row>
    <row r="2333" spans="1:26" x14ac:dyDescent="0.25">
      <c r="A2333" s="11"/>
      <c r="B2333" s="11"/>
      <c r="C2333" s="11"/>
      <c r="D2333" s="11"/>
      <c r="E2333" s="12"/>
      <c r="F2333" s="13"/>
      <c r="G2333" s="13"/>
      <c r="H2333" s="13"/>
      <c r="I2333" s="11"/>
      <c r="J2333" s="11"/>
      <c r="K2333" s="11"/>
      <c r="L2333" s="11"/>
      <c r="M2333" s="15"/>
      <c r="N2333" s="15"/>
      <c r="O2333" s="15"/>
      <c r="P2333" s="15"/>
      <c r="Q2333" s="16"/>
      <c r="R2333" s="16"/>
      <c r="S2333" s="16"/>
      <c r="T2333" s="17"/>
      <c r="U2333" s="11"/>
      <c r="V2333" s="16"/>
      <c r="W2333" s="11"/>
      <c r="X2333" s="11"/>
      <c r="Y2333" s="15"/>
      <c r="Z2333" s="11"/>
    </row>
    <row r="2334" spans="1:26" x14ac:dyDescent="0.25">
      <c r="A2334" s="11"/>
      <c r="B2334" s="11"/>
      <c r="C2334" s="11"/>
      <c r="D2334" s="11"/>
      <c r="E2334" s="12"/>
      <c r="F2334" s="13"/>
      <c r="G2334" s="13"/>
      <c r="H2334" s="13"/>
      <c r="I2334" s="11"/>
      <c r="J2334" s="11"/>
      <c r="K2334" s="11"/>
      <c r="L2334" s="11"/>
      <c r="M2334" s="15"/>
      <c r="N2334" s="15"/>
      <c r="O2334" s="15"/>
      <c r="P2334" s="15"/>
      <c r="Q2334" s="16"/>
      <c r="R2334" s="16"/>
      <c r="S2334" s="16"/>
      <c r="T2334" s="17"/>
      <c r="U2334" s="11"/>
      <c r="V2334" s="16"/>
      <c r="W2334" s="11"/>
      <c r="X2334" s="11"/>
      <c r="Y2334" s="15"/>
      <c r="Z2334" s="11"/>
    </row>
    <row r="2335" spans="1:26" x14ac:dyDescent="0.25">
      <c r="A2335" s="11"/>
      <c r="B2335" s="11"/>
      <c r="C2335" s="11"/>
      <c r="D2335" s="11"/>
      <c r="E2335" s="12"/>
      <c r="F2335" s="13"/>
      <c r="G2335" s="13"/>
      <c r="H2335" s="13"/>
      <c r="I2335" s="11"/>
      <c r="J2335" s="11"/>
      <c r="K2335" s="11"/>
      <c r="L2335" s="11"/>
      <c r="M2335" s="15"/>
      <c r="N2335" s="15"/>
      <c r="O2335" s="15"/>
      <c r="P2335" s="15"/>
      <c r="Q2335" s="16"/>
      <c r="R2335" s="16"/>
      <c r="S2335" s="16"/>
      <c r="T2335" s="17"/>
      <c r="U2335" s="11"/>
      <c r="V2335" s="16"/>
      <c r="W2335" s="11"/>
      <c r="X2335" s="11"/>
      <c r="Y2335" s="15"/>
      <c r="Z2335" s="11"/>
    </row>
    <row r="2336" spans="1:26" x14ac:dyDescent="0.25">
      <c r="A2336" s="11"/>
      <c r="B2336" s="11"/>
      <c r="C2336" s="11"/>
      <c r="D2336" s="11"/>
      <c r="E2336" s="12"/>
      <c r="F2336" s="13"/>
      <c r="G2336" s="13"/>
      <c r="H2336" s="13"/>
      <c r="I2336" s="11"/>
      <c r="J2336" s="11"/>
      <c r="K2336" s="11"/>
      <c r="L2336" s="11"/>
      <c r="M2336" s="15"/>
      <c r="N2336" s="15"/>
      <c r="O2336" s="15"/>
      <c r="P2336" s="15"/>
      <c r="Q2336" s="16"/>
      <c r="R2336" s="16"/>
      <c r="S2336" s="16"/>
      <c r="T2336" s="17"/>
      <c r="U2336" s="11"/>
      <c r="V2336" s="16"/>
      <c r="W2336" s="11"/>
      <c r="X2336" s="11"/>
      <c r="Y2336" s="15"/>
      <c r="Z2336" s="11"/>
    </row>
    <row r="2337" spans="1:26" x14ac:dyDescent="0.25">
      <c r="A2337" s="11"/>
      <c r="B2337" s="11"/>
      <c r="C2337" s="11"/>
      <c r="D2337" s="11"/>
      <c r="E2337" s="12"/>
      <c r="F2337" s="13"/>
      <c r="G2337" s="13"/>
      <c r="H2337" s="13"/>
      <c r="I2337" s="11"/>
      <c r="J2337" s="11"/>
      <c r="K2337" s="11"/>
      <c r="L2337" s="11"/>
      <c r="M2337" s="15"/>
      <c r="N2337" s="15"/>
      <c r="O2337" s="15"/>
      <c r="P2337" s="15"/>
      <c r="Q2337" s="16"/>
      <c r="R2337" s="16"/>
      <c r="S2337" s="16"/>
      <c r="T2337" s="17"/>
      <c r="U2337" s="11"/>
      <c r="V2337" s="16"/>
      <c r="W2337" s="11"/>
      <c r="X2337" s="11"/>
      <c r="Y2337" s="15"/>
      <c r="Z2337" s="11"/>
    </row>
    <row r="2338" spans="1:26" x14ac:dyDescent="0.25">
      <c r="A2338" s="11"/>
      <c r="B2338" s="11"/>
      <c r="C2338" s="11"/>
      <c r="D2338" s="11"/>
      <c r="E2338" s="12"/>
      <c r="F2338" s="13"/>
      <c r="G2338" s="13"/>
      <c r="H2338" s="13"/>
      <c r="I2338" s="11"/>
      <c r="J2338" s="11"/>
      <c r="K2338" s="11"/>
      <c r="L2338" s="11"/>
      <c r="M2338" s="15"/>
      <c r="N2338" s="15"/>
      <c r="O2338" s="15"/>
      <c r="P2338" s="15"/>
      <c r="Q2338" s="16"/>
      <c r="R2338" s="16"/>
      <c r="S2338" s="16"/>
      <c r="T2338" s="17"/>
      <c r="U2338" s="11"/>
      <c r="V2338" s="16"/>
      <c r="W2338" s="11"/>
      <c r="X2338" s="11"/>
      <c r="Y2338" s="15"/>
      <c r="Z2338" s="11"/>
    </row>
    <row r="2339" spans="1:26" x14ac:dyDescent="0.25">
      <c r="A2339" s="11"/>
      <c r="B2339" s="11"/>
      <c r="C2339" s="11"/>
      <c r="D2339" s="11"/>
      <c r="E2339" s="12"/>
      <c r="F2339" s="13"/>
      <c r="G2339" s="13"/>
      <c r="H2339" s="13"/>
      <c r="I2339" s="11"/>
      <c r="J2339" s="11"/>
      <c r="K2339" s="11"/>
      <c r="L2339" s="11"/>
      <c r="M2339" s="15"/>
      <c r="N2339" s="15"/>
      <c r="O2339" s="15"/>
      <c r="P2339" s="15"/>
      <c r="Q2339" s="16"/>
      <c r="R2339" s="16"/>
      <c r="S2339" s="16"/>
      <c r="T2339" s="17"/>
      <c r="U2339" s="11"/>
      <c r="V2339" s="16"/>
      <c r="W2339" s="11"/>
      <c r="X2339" s="11"/>
      <c r="Y2339" s="15"/>
      <c r="Z2339" s="11"/>
    </row>
    <row r="2340" spans="1:26" x14ac:dyDescent="0.25">
      <c r="A2340" s="11"/>
      <c r="B2340" s="11"/>
      <c r="C2340" s="11"/>
      <c r="D2340" s="11"/>
      <c r="E2340" s="12"/>
      <c r="F2340" s="13"/>
      <c r="G2340" s="13"/>
      <c r="H2340" s="13"/>
      <c r="I2340" s="11"/>
      <c r="J2340" s="11"/>
      <c r="K2340" s="11"/>
      <c r="L2340" s="11"/>
      <c r="M2340" s="15"/>
      <c r="N2340" s="15"/>
      <c r="O2340" s="15"/>
      <c r="P2340" s="15"/>
      <c r="Q2340" s="16"/>
      <c r="R2340" s="16"/>
      <c r="S2340" s="16"/>
      <c r="T2340" s="17"/>
      <c r="U2340" s="11"/>
      <c r="V2340" s="16"/>
      <c r="W2340" s="11"/>
      <c r="X2340" s="11"/>
      <c r="Y2340" s="15"/>
      <c r="Z2340" s="11"/>
    </row>
    <row r="2341" spans="1:26" x14ac:dyDescent="0.25">
      <c r="A2341" s="11"/>
      <c r="B2341" s="11"/>
      <c r="C2341" s="11"/>
      <c r="D2341" s="11"/>
      <c r="E2341" s="12"/>
      <c r="F2341" s="13"/>
      <c r="G2341" s="13"/>
      <c r="H2341" s="13"/>
      <c r="I2341" s="11"/>
      <c r="J2341" s="11"/>
      <c r="K2341" s="11"/>
      <c r="L2341" s="11"/>
      <c r="M2341" s="15"/>
      <c r="N2341" s="15"/>
      <c r="O2341" s="15"/>
      <c r="P2341" s="15"/>
      <c r="Q2341" s="16"/>
      <c r="R2341" s="16"/>
      <c r="S2341" s="16"/>
      <c r="T2341" s="17"/>
      <c r="U2341" s="11"/>
      <c r="V2341" s="16"/>
      <c r="W2341" s="11"/>
      <c r="X2341" s="11"/>
      <c r="Y2341" s="15"/>
      <c r="Z2341" s="11"/>
    </row>
    <row r="2342" spans="1:26" x14ac:dyDescent="0.25">
      <c r="A2342" s="19"/>
      <c r="B2342" s="19"/>
      <c r="C2342" s="19"/>
      <c r="D2342" s="19"/>
      <c r="E2342" s="19"/>
      <c r="F2342" s="20"/>
      <c r="G2342" s="13"/>
      <c r="H2342" s="20"/>
      <c r="I2342" s="19"/>
      <c r="J2342" s="19"/>
      <c r="K2342" s="19"/>
      <c r="L2342" s="19"/>
      <c r="M2342" s="21"/>
      <c r="N2342" s="21"/>
      <c r="O2342" s="21"/>
      <c r="P2342" s="21"/>
      <c r="Q2342" s="22"/>
      <c r="R2342" s="19"/>
      <c r="S2342" s="22"/>
      <c r="T2342" s="23"/>
      <c r="U2342" s="19"/>
      <c r="V2342" s="22"/>
      <c r="W2342" s="19"/>
      <c r="X2342" s="19"/>
      <c r="Y2342" s="21"/>
      <c r="Z2342" s="19"/>
    </row>
    <row r="2343" spans="1:26" x14ac:dyDescent="0.25">
      <c r="A2343" s="19"/>
      <c r="B2343" s="19"/>
      <c r="C2343" s="19"/>
      <c r="D2343" s="19"/>
      <c r="E2343" s="19"/>
      <c r="F2343" s="20"/>
      <c r="G2343" s="13"/>
      <c r="H2343" s="20"/>
      <c r="I2343" s="19"/>
      <c r="J2343" s="19"/>
      <c r="K2343" s="19"/>
      <c r="L2343" s="19"/>
      <c r="M2343" s="21"/>
      <c r="N2343" s="21"/>
      <c r="O2343" s="21"/>
      <c r="P2343" s="21"/>
      <c r="Q2343" s="22"/>
      <c r="R2343" s="19"/>
      <c r="S2343" s="22"/>
      <c r="T2343" s="23"/>
      <c r="U2343" s="19"/>
      <c r="V2343" s="22"/>
      <c r="W2343" s="19"/>
      <c r="X2343" s="19"/>
      <c r="Y2343" s="21"/>
      <c r="Z2343" s="19"/>
    </row>
    <row r="2344" spans="1:26" x14ac:dyDescent="0.25">
      <c r="A2344" s="11"/>
      <c r="B2344" s="11"/>
      <c r="C2344" s="11"/>
      <c r="D2344" s="11"/>
      <c r="E2344" s="12"/>
      <c r="F2344" s="13"/>
      <c r="G2344" s="13"/>
      <c r="H2344" s="13"/>
      <c r="I2344" s="11"/>
      <c r="J2344" s="11"/>
      <c r="K2344" s="11"/>
      <c r="L2344" s="11"/>
      <c r="M2344" s="15"/>
      <c r="N2344" s="15"/>
      <c r="O2344" s="15"/>
      <c r="P2344" s="15"/>
      <c r="Q2344" s="16"/>
      <c r="R2344" s="16"/>
      <c r="S2344" s="16"/>
      <c r="T2344" s="17"/>
      <c r="U2344" s="11"/>
      <c r="V2344" s="16"/>
      <c r="W2344" s="11"/>
      <c r="X2344" s="11"/>
      <c r="Y2344" s="15"/>
      <c r="Z2344" s="11"/>
    </row>
    <row r="2345" spans="1:26" x14ac:dyDescent="0.25">
      <c r="A2345" s="11"/>
      <c r="B2345" s="11"/>
      <c r="C2345" s="11"/>
      <c r="D2345" s="11"/>
      <c r="E2345" s="12"/>
      <c r="F2345" s="13"/>
      <c r="G2345" s="13"/>
      <c r="H2345" s="13"/>
      <c r="I2345" s="11"/>
      <c r="J2345" s="11"/>
      <c r="K2345" s="11"/>
      <c r="L2345" s="11"/>
      <c r="M2345" s="15"/>
      <c r="N2345" s="15"/>
      <c r="O2345" s="15"/>
      <c r="P2345" s="15"/>
      <c r="Q2345" s="16"/>
      <c r="R2345" s="16"/>
      <c r="S2345" s="16"/>
      <c r="T2345" s="17"/>
      <c r="U2345" s="11"/>
      <c r="V2345" s="16"/>
      <c r="W2345" s="11"/>
      <c r="X2345" s="11"/>
      <c r="Y2345" s="15"/>
      <c r="Z2345" s="11"/>
    </row>
    <row r="2346" spans="1:26" x14ac:dyDescent="0.25">
      <c r="A2346" s="11"/>
      <c r="B2346" s="11"/>
      <c r="C2346" s="11"/>
      <c r="D2346" s="11"/>
      <c r="E2346" s="12"/>
      <c r="F2346" s="13"/>
      <c r="G2346" s="13"/>
      <c r="H2346" s="13"/>
      <c r="I2346" s="11"/>
      <c r="J2346" s="11"/>
      <c r="K2346" s="11"/>
      <c r="L2346" s="11"/>
      <c r="M2346" s="15"/>
      <c r="N2346" s="15"/>
      <c r="O2346" s="15"/>
      <c r="P2346" s="15"/>
      <c r="Q2346" s="16"/>
      <c r="R2346" s="16"/>
      <c r="S2346" s="16"/>
      <c r="T2346" s="17"/>
      <c r="U2346" s="11"/>
      <c r="V2346" s="16"/>
      <c r="W2346" s="11"/>
      <c r="X2346" s="11"/>
      <c r="Y2346" s="15"/>
      <c r="Z2346" s="11"/>
    </row>
    <row r="2347" spans="1:26" x14ac:dyDescent="0.25">
      <c r="A2347" s="11"/>
      <c r="B2347" s="11"/>
      <c r="C2347" s="11"/>
      <c r="D2347" s="11"/>
      <c r="E2347" s="12"/>
      <c r="F2347" s="13"/>
      <c r="G2347" s="13"/>
      <c r="H2347" s="13"/>
      <c r="I2347" s="11"/>
      <c r="J2347" s="11"/>
      <c r="K2347" s="11"/>
      <c r="L2347" s="11"/>
      <c r="M2347" s="15"/>
      <c r="N2347" s="15"/>
      <c r="O2347" s="15"/>
      <c r="P2347" s="15"/>
      <c r="Q2347" s="16"/>
      <c r="R2347" s="16"/>
      <c r="S2347" s="16"/>
      <c r="T2347" s="17"/>
      <c r="U2347" s="11"/>
      <c r="V2347" s="16"/>
      <c r="W2347" s="11"/>
      <c r="X2347" s="11"/>
      <c r="Y2347" s="15"/>
      <c r="Z2347" s="11"/>
    </row>
    <row r="2348" spans="1:26" x14ac:dyDescent="0.25">
      <c r="A2348" s="11"/>
      <c r="B2348" s="11"/>
      <c r="C2348" s="11"/>
      <c r="D2348" s="11"/>
      <c r="E2348" s="12"/>
      <c r="F2348" s="13"/>
      <c r="G2348" s="13"/>
      <c r="H2348" s="13"/>
      <c r="I2348" s="11"/>
      <c r="J2348" s="11"/>
      <c r="K2348" s="11"/>
      <c r="L2348" s="11"/>
      <c r="M2348" s="15"/>
      <c r="N2348" s="15"/>
      <c r="O2348" s="15"/>
      <c r="P2348" s="15"/>
      <c r="Q2348" s="16"/>
      <c r="R2348" s="16"/>
      <c r="S2348" s="16"/>
      <c r="T2348" s="17"/>
      <c r="U2348" s="11"/>
      <c r="V2348" s="16"/>
      <c r="W2348" s="11"/>
      <c r="X2348" s="11"/>
      <c r="Y2348" s="15"/>
      <c r="Z2348" s="11"/>
    </row>
    <row r="2349" spans="1:26" x14ac:dyDescent="0.25">
      <c r="A2349" s="11"/>
      <c r="B2349" s="11"/>
      <c r="C2349" s="11"/>
      <c r="D2349" s="11"/>
      <c r="E2349" s="12"/>
      <c r="F2349" s="13"/>
      <c r="G2349" s="13"/>
      <c r="H2349" s="13"/>
      <c r="I2349" s="11"/>
      <c r="J2349" s="11"/>
      <c r="K2349" s="11"/>
      <c r="L2349" s="11"/>
      <c r="M2349" s="15"/>
      <c r="N2349" s="15"/>
      <c r="O2349" s="15"/>
      <c r="P2349" s="15"/>
      <c r="Q2349" s="16"/>
      <c r="R2349" s="16"/>
      <c r="S2349" s="16"/>
      <c r="T2349" s="17"/>
      <c r="U2349" s="11"/>
      <c r="V2349" s="16"/>
      <c r="W2349" s="11"/>
      <c r="X2349" s="11"/>
      <c r="Y2349" s="15"/>
      <c r="Z2349" s="11"/>
    </row>
    <row r="2350" spans="1:26" x14ac:dyDescent="0.25">
      <c r="A2350" s="11"/>
      <c r="B2350" s="11"/>
      <c r="C2350" s="11"/>
      <c r="D2350" s="11"/>
      <c r="E2350" s="12"/>
      <c r="F2350" s="13"/>
      <c r="G2350" s="13"/>
      <c r="H2350" s="13"/>
      <c r="I2350" s="11"/>
      <c r="J2350" s="11"/>
      <c r="K2350" s="11"/>
      <c r="L2350" s="11"/>
      <c r="M2350" s="15"/>
      <c r="N2350" s="15"/>
      <c r="O2350" s="15"/>
      <c r="P2350" s="15"/>
      <c r="Q2350" s="16"/>
      <c r="R2350" s="16"/>
      <c r="S2350" s="16"/>
      <c r="T2350" s="17"/>
      <c r="U2350" s="11"/>
      <c r="V2350" s="16"/>
      <c r="W2350" s="11"/>
      <c r="X2350" s="11"/>
      <c r="Y2350" s="15"/>
      <c r="Z2350" s="11"/>
    </row>
    <row r="2351" spans="1:26" x14ac:dyDescent="0.25">
      <c r="A2351" s="11"/>
      <c r="B2351" s="11"/>
      <c r="C2351" s="11"/>
      <c r="D2351" s="11"/>
      <c r="E2351" s="12"/>
      <c r="F2351" s="13"/>
      <c r="G2351" s="13"/>
      <c r="H2351" s="13"/>
      <c r="I2351" s="11"/>
      <c r="J2351" s="11"/>
      <c r="K2351" s="11"/>
      <c r="L2351" s="11"/>
      <c r="M2351" s="15"/>
      <c r="N2351" s="15"/>
      <c r="O2351" s="15"/>
      <c r="P2351" s="15"/>
      <c r="Q2351" s="16"/>
      <c r="R2351" s="16"/>
      <c r="S2351" s="16"/>
      <c r="T2351" s="17"/>
      <c r="U2351" s="11"/>
      <c r="V2351" s="16"/>
      <c r="W2351" s="11"/>
      <c r="X2351" s="11"/>
      <c r="Y2351" s="15"/>
      <c r="Z2351" s="11"/>
    </row>
    <row r="2352" spans="1:26" x14ac:dyDescent="0.25">
      <c r="A2352" s="11"/>
      <c r="B2352" s="11"/>
      <c r="C2352" s="11"/>
      <c r="D2352" s="11"/>
      <c r="E2352" s="12"/>
      <c r="F2352" s="13"/>
      <c r="G2352" s="13"/>
      <c r="H2352" s="13"/>
      <c r="I2352" s="11"/>
      <c r="J2352" s="11"/>
      <c r="K2352" s="11"/>
      <c r="L2352" s="11"/>
      <c r="M2352" s="15"/>
      <c r="N2352" s="15"/>
      <c r="O2352" s="15"/>
      <c r="P2352" s="15"/>
      <c r="Q2352" s="16"/>
      <c r="R2352" s="16"/>
      <c r="S2352" s="16"/>
      <c r="T2352" s="17"/>
      <c r="U2352" s="11"/>
      <c r="V2352" s="16"/>
      <c r="W2352" s="11"/>
      <c r="X2352" s="11"/>
      <c r="Y2352" s="15"/>
      <c r="Z2352" s="11"/>
    </row>
    <row r="2353" spans="1:26" x14ac:dyDescent="0.25">
      <c r="A2353" s="18"/>
      <c r="B2353" s="18"/>
      <c r="C2353" s="18"/>
      <c r="D2353" s="18"/>
      <c r="E2353" s="19"/>
      <c r="F2353" s="20"/>
      <c r="G2353" s="13"/>
      <c r="H2353" s="20"/>
      <c r="I2353" s="18"/>
      <c r="J2353" s="18"/>
      <c r="K2353" s="18"/>
      <c r="L2353" s="18"/>
      <c r="M2353" s="21"/>
      <c r="N2353" s="21"/>
      <c r="O2353" s="21"/>
      <c r="P2353" s="21"/>
      <c r="Q2353" s="22"/>
      <c r="R2353" s="19"/>
      <c r="S2353" s="22"/>
      <c r="T2353" s="23"/>
      <c r="U2353" s="18"/>
      <c r="V2353" s="22"/>
      <c r="W2353" s="18"/>
      <c r="X2353" s="18"/>
      <c r="Y2353" s="21"/>
      <c r="Z2353" s="18"/>
    </row>
    <row r="2354" spans="1:26" x14ac:dyDescent="0.25">
      <c r="A2354" s="18"/>
      <c r="B2354" s="18"/>
      <c r="C2354" s="18"/>
      <c r="D2354" s="18"/>
      <c r="E2354" s="19"/>
      <c r="F2354" s="20"/>
      <c r="G2354" s="13"/>
      <c r="H2354" s="20"/>
      <c r="I2354" s="18"/>
      <c r="J2354" s="18"/>
      <c r="K2354" s="18"/>
      <c r="L2354" s="18"/>
      <c r="M2354" s="21"/>
      <c r="N2354" s="21"/>
      <c r="O2354" s="21"/>
      <c r="P2354" s="21"/>
      <c r="Q2354" s="22"/>
      <c r="R2354" s="19"/>
      <c r="S2354" s="22"/>
      <c r="T2354" s="23"/>
      <c r="U2354" s="18"/>
      <c r="V2354" s="22"/>
      <c r="W2354" s="18"/>
      <c r="X2354" s="18"/>
      <c r="Y2354" s="21"/>
      <c r="Z2354" s="18"/>
    </row>
    <row r="2355" spans="1:26" x14ac:dyDescent="0.25">
      <c r="A2355" s="11"/>
      <c r="B2355" s="11"/>
      <c r="C2355" s="11"/>
      <c r="D2355" s="11"/>
      <c r="E2355" s="12"/>
      <c r="F2355" s="13"/>
      <c r="G2355" s="13"/>
      <c r="H2355" s="13"/>
      <c r="I2355" s="11"/>
      <c r="J2355" s="11"/>
      <c r="K2355" s="11"/>
      <c r="L2355" s="11"/>
      <c r="M2355" s="15"/>
      <c r="N2355" s="15"/>
      <c r="O2355" s="15"/>
      <c r="P2355" s="15"/>
      <c r="Q2355" s="16"/>
      <c r="R2355" s="16"/>
      <c r="S2355" s="16"/>
      <c r="T2355" s="17"/>
      <c r="U2355" s="11"/>
      <c r="V2355" s="16"/>
      <c r="W2355" s="11"/>
      <c r="X2355" s="11"/>
      <c r="Y2355" s="15"/>
      <c r="Z2355" s="11"/>
    </row>
    <row r="2356" spans="1:26" x14ac:dyDescent="0.25">
      <c r="A2356" s="11"/>
      <c r="B2356" s="11"/>
      <c r="C2356" s="11"/>
      <c r="D2356" s="11"/>
      <c r="E2356" s="12"/>
      <c r="F2356" s="13"/>
      <c r="G2356" s="13"/>
      <c r="H2356" s="13"/>
      <c r="I2356" s="11"/>
      <c r="J2356" s="11"/>
      <c r="K2356" s="11"/>
      <c r="L2356" s="11"/>
      <c r="M2356" s="15"/>
      <c r="N2356" s="15"/>
      <c r="O2356" s="15"/>
      <c r="P2356" s="15"/>
      <c r="Q2356" s="16"/>
      <c r="R2356" s="16"/>
      <c r="S2356" s="16"/>
      <c r="T2356" s="17"/>
      <c r="U2356" s="11"/>
      <c r="V2356" s="16"/>
      <c r="W2356" s="11"/>
      <c r="X2356" s="11"/>
      <c r="Y2356" s="15"/>
      <c r="Z2356" s="11"/>
    </row>
    <row r="2357" spans="1:26" x14ac:dyDescent="0.25">
      <c r="A2357" s="11"/>
      <c r="B2357" s="11"/>
      <c r="C2357" s="11"/>
      <c r="D2357" s="11"/>
      <c r="E2357" s="12"/>
      <c r="F2357" s="13"/>
      <c r="G2357" s="13"/>
      <c r="H2357" s="13"/>
      <c r="I2357" s="11"/>
      <c r="J2357" s="11"/>
      <c r="K2357" s="11"/>
      <c r="L2357" s="11"/>
      <c r="M2357" s="15"/>
      <c r="N2357" s="15"/>
      <c r="O2357" s="15"/>
      <c r="P2357" s="15"/>
      <c r="Q2357" s="16"/>
      <c r="R2357" s="16"/>
      <c r="S2357" s="16"/>
      <c r="T2357" s="17"/>
      <c r="U2357" s="11"/>
      <c r="V2357" s="16"/>
      <c r="W2357" s="11"/>
      <c r="X2357" s="11"/>
      <c r="Y2357" s="15"/>
      <c r="Z2357" s="11"/>
    </row>
    <row r="2358" spans="1:26" x14ac:dyDescent="0.25">
      <c r="A2358" s="11"/>
      <c r="B2358" s="11"/>
      <c r="C2358" s="11"/>
      <c r="D2358" s="11"/>
      <c r="E2358" s="12"/>
      <c r="F2358" s="13"/>
      <c r="G2358" s="13"/>
      <c r="H2358" s="13"/>
      <c r="I2358" s="11"/>
      <c r="J2358" s="11"/>
      <c r="K2358" s="11"/>
      <c r="L2358" s="11"/>
      <c r="M2358" s="15"/>
      <c r="N2358" s="15"/>
      <c r="O2358" s="15"/>
      <c r="P2358" s="15"/>
      <c r="Q2358" s="16"/>
      <c r="R2358" s="16"/>
      <c r="S2358" s="16"/>
      <c r="T2358" s="17"/>
      <c r="U2358" s="11"/>
      <c r="V2358" s="16"/>
      <c r="W2358" s="11"/>
      <c r="X2358" s="11"/>
      <c r="Y2358" s="15"/>
      <c r="Z2358" s="11"/>
    </row>
    <row r="2359" spans="1:26" x14ac:dyDescent="0.25">
      <c r="A2359" s="11"/>
      <c r="B2359" s="11"/>
      <c r="C2359" s="11"/>
      <c r="D2359" s="11"/>
      <c r="E2359" s="12"/>
      <c r="F2359" s="13"/>
      <c r="G2359" s="13"/>
      <c r="H2359" s="13"/>
      <c r="I2359" s="11"/>
      <c r="J2359" s="11"/>
      <c r="K2359" s="11"/>
      <c r="L2359" s="11"/>
      <c r="M2359" s="15"/>
      <c r="N2359" s="15"/>
      <c r="O2359" s="15"/>
      <c r="P2359" s="15"/>
      <c r="Q2359" s="16"/>
      <c r="R2359" s="16"/>
      <c r="S2359" s="16"/>
      <c r="T2359" s="17"/>
      <c r="U2359" s="11"/>
      <c r="V2359" s="16"/>
      <c r="W2359" s="11"/>
      <c r="X2359" s="11"/>
      <c r="Y2359" s="15"/>
      <c r="Z2359" s="11"/>
    </row>
    <row r="2360" spans="1:26" x14ac:dyDescent="0.25">
      <c r="A2360" s="11"/>
      <c r="B2360" s="11"/>
      <c r="C2360" s="11"/>
      <c r="D2360" s="11"/>
      <c r="E2360" s="12"/>
      <c r="F2360" s="13"/>
      <c r="G2360" s="13"/>
      <c r="H2360" s="13"/>
      <c r="I2360" s="11"/>
      <c r="J2360" s="11"/>
      <c r="K2360" s="11"/>
      <c r="L2360" s="11"/>
      <c r="M2360" s="15"/>
      <c r="N2360" s="15"/>
      <c r="O2360" s="15"/>
      <c r="P2360" s="15"/>
      <c r="Q2360" s="16"/>
      <c r="R2360" s="16"/>
      <c r="S2360" s="16"/>
      <c r="T2360" s="17"/>
      <c r="U2360" s="11"/>
      <c r="V2360" s="16"/>
      <c r="W2360" s="11"/>
      <c r="X2360" s="11"/>
      <c r="Y2360" s="15"/>
      <c r="Z2360" s="11"/>
    </row>
    <row r="2361" spans="1:26" x14ac:dyDescent="0.25">
      <c r="A2361" s="11"/>
      <c r="B2361" s="11"/>
      <c r="C2361" s="11"/>
      <c r="D2361" s="11"/>
      <c r="E2361" s="12"/>
      <c r="F2361" s="13"/>
      <c r="G2361" s="13"/>
      <c r="H2361" s="13"/>
      <c r="I2361" s="11"/>
      <c r="J2361" s="11"/>
      <c r="K2361" s="11"/>
      <c r="L2361" s="11"/>
      <c r="M2361" s="15"/>
      <c r="N2361" s="15"/>
      <c r="O2361" s="15"/>
      <c r="P2361" s="15"/>
      <c r="Q2361" s="16"/>
      <c r="R2361" s="16"/>
      <c r="S2361" s="16"/>
      <c r="T2361" s="17"/>
      <c r="U2361" s="11"/>
      <c r="V2361" s="16"/>
      <c r="W2361" s="11"/>
      <c r="X2361" s="11"/>
      <c r="Y2361" s="15"/>
      <c r="Z2361" s="11"/>
    </row>
    <row r="2362" spans="1:26" x14ac:dyDescent="0.25">
      <c r="A2362" s="11"/>
      <c r="B2362" s="11"/>
      <c r="C2362" s="11"/>
      <c r="D2362" s="11"/>
      <c r="E2362" s="12"/>
      <c r="F2362" s="13"/>
      <c r="G2362" s="13"/>
      <c r="H2362" s="13"/>
      <c r="I2362" s="11"/>
      <c r="J2362" s="11"/>
      <c r="K2362" s="11"/>
      <c r="L2362" s="11"/>
      <c r="M2362" s="15"/>
      <c r="N2362" s="15"/>
      <c r="O2362" s="15"/>
      <c r="P2362" s="15"/>
      <c r="Q2362" s="16"/>
      <c r="R2362" s="16"/>
      <c r="S2362" s="16"/>
      <c r="T2362" s="17"/>
      <c r="U2362" s="11"/>
      <c r="V2362" s="16"/>
      <c r="W2362" s="11"/>
      <c r="X2362" s="11"/>
      <c r="Y2362" s="15"/>
      <c r="Z2362" s="11"/>
    </row>
    <row r="2363" spans="1:26" x14ac:dyDescent="0.25">
      <c r="A2363" s="11"/>
      <c r="B2363" s="11"/>
      <c r="C2363" s="11"/>
      <c r="D2363" s="11"/>
      <c r="E2363" s="12"/>
      <c r="F2363" s="13"/>
      <c r="G2363" s="13"/>
      <c r="H2363" s="13"/>
      <c r="I2363" s="11"/>
      <c r="J2363" s="11"/>
      <c r="K2363" s="11"/>
      <c r="L2363" s="11"/>
      <c r="M2363" s="15"/>
      <c r="N2363" s="15"/>
      <c r="O2363" s="15"/>
      <c r="P2363" s="15"/>
      <c r="Q2363" s="16"/>
      <c r="R2363" s="16"/>
      <c r="S2363" s="16"/>
      <c r="T2363" s="17"/>
      <c r="U2363" s="11"/>
      <c r="V2363" s="16"/>
      <c r="W2363" s="11"/>
      <c r="X2363" s="11"/>
      <c r="Y2363" s="15"/>
      <c r="Z2363" s="11"/>
    </row>
    <row r="2364" spans="1:26" x14ac:dyDescent="0.25">
      <c r="A2364" s="19"/>
      <c r="B2364" s="19"/>
      <c r="C2364" s="19"/>
      <c r="D2364" s="19"/>
      <c r="E2364" s="19"/>
      <c r="F2364" s="20"/>
      <c r="G2364" s="13"/>
      <c r="H2364" s="20"/>
      <c r="I2364" s="19"/>
      <c r="J2364" s="19"/>
      <c r="K2364" s="19"/>
      <c r="L2364" s="19"/>
      <c r="M2364" s="21"/>
      <c r="N2364" s="21"/>
      <c r="O2364" s="21"/>
      <c r="P2364" s="21"/>
      <c r="Q2364" s="22"/>
      <c r="R2364" s="19"/>
      <c r="S2364" s="22"/>
      <c r="T2364" s="23"/>
      <c r="U2364" s="19"/>
      <c r="V2364" s="22"/>
      <c r="W2364" s="19"/>
      <c r="X2364" s="19"/>
      <c r="Y2364" s="21"/>
      <c r="Z2364" s="19"/>
    </row>
    <row r="2365" spans="1:26" x14ac:dyDescent="0.25">
      <c r="A2365" s="11"/>
      <c r="B2365" s="11"/>
      <c r="C2365" s="11"/>
      <c r="D2365" s="11"/>
      <c r="E2365" s="12"/>
      <c r="F2365" s="13"/>
      <c r="G2365" s="13"/>
      <c r="H2365" s="13"/>
      <c r="I2365" s="11"/>
      <c r="J2365" s="11"/>
      <c r="K2365" s="11"/>
      <c r="L2365" s="11"/>
      <c r="M2365" s="15"/>
      <c r="N2365" s="15"/>
      <c r="O2365" s="15"/>
      <c r="P2365" s="15"/>
      <c r="Q2365" s="16"/>
      <c r="R2365" s="16"/>
      <c r="S2365" s="16"/>
      <c r="T2365" s="17"/>
      <c r="U2365" s="11"/>
      <c r="V2365" s="16"/>
      <c r="W2365" s="11"/>
      <c r="X2365" s="11"/>
      <c r="Y2365" s="15"/>
      <c r="Z2365" s="11"/>
    </row>
    <row r="2366" spans="1:26" x14ac:dyDescent="0.25">
      <c r="A2366" s="11"/>
      <c r="B2366" s="11"/>
      <c r="C2366" s="11"/>
      <c r="D2366" s="11"/>
      <c r="E2366" s="12"/>
      <c r="F2366" s="13"/>
      <c r="G2366" s="13"/>
      <c r="H2366" s="13"/>
      <c r="I2366" s="11"/>
      <c r="J2366" s="11"/>
      <c r="K2366" s="11"/>
      <c r="L2366" s="11"/>
      <c r="M2366" s="15"/>
      <c r="N2366" s="15"/>
      <c r="O2366" s="15"/>
      <c r="P2366" s="15"/>
      <c r="Q2366" s="16"/>
      <c r="R2366" s="16"/>
      <c r="S2366" s="16"/>
      <c r="T2366" s="17"/>
      <c r="U2366" s="11"/>
      <c r="V2366" s="16"/>
      <c r="W2366" s="11"/>
      <c r="X2366" s="11"/>
      <c r="Y2366" s="15"/>
      <c r="Z2366" s="11"/>
    </row>
    <row r="2367" spans="1:26" x14ac:dyDescent="0.25">
      <c r="A2367" s="11"/>
      <c r="B2367" s="11"/>
      <c r="C2367" s="11"/>
      <c r="D2367" s="11"/>
      <c r="E2367" s="12"/>
      <c r="F2367" s="13"/>
      <c r="G2367" s="13"/>
      <c r="H2367" s="13"/>
      <c r="I2367" s="11"/>
      <c r="J2367" s="11"/>
      <c r="K2367" s="11"/>
      <c r="L2367" s="11"/>
      <c r="M2367" s="15"/>
      <c r="N2367" s="15"/>
      <c r="O2367" s="15"/>
      <c r="P2367" s="15"/>
      <c r="Q2367" s="16"/>
      <c r="R2367" s="16"/>
      <c r="S2367" s="16"/>
      <c r="T2367" s="17"/>
      <c r="U2367" s="11"/>
      <c r="V2367" s="16"/>
      <c r="W2367" s="11"/>
      <c r="X2367" s="11"/>
      <c r="Y2367" s="15"/>
      <c r="Z2367" s="11"/>
    </row>
    <row r="2368" spans="1:26" x14ac:dyDescent="0.25">
      <c r="A2368" s="11"/>
      <c r="B2368" s="11"/>
      <c r="C2368" s="11"/>
      <c r="D2368" s="11"/>
      <c r="E2368" s="12"/>
      <c r="F2368" s="13"/>
      <c r="G2368" s="13"/>
      <c r="H2368" s="13"/>
      <c r="I2368" s="11"/>
      <c r="J2368" s="11"/>
      <c r="K2368" s="11"/>
      <c r="L2368" s="11"/>
      <c r="M2368" s="15"/>
      <c r="N2368" s="15"/>
      <c r="O2368" s="15"/>
      <c r="P2368" s="15"/>
      <c r="Q2368" s="16"/>
      <c r="R2368" s="16"/>
      <c r="S2368" s="16"/>
      <c r="T2368" s="17"/>
      <c r="U2368" s="11"/>
      <c r="V2368" s="16"/>
      <c r="W2368" s="11"/>
      <c r="X2368" s="11"/>
      <c r="Y2368" s="15"/>
      <c r="Z2368" s="11"/>
    </row>
    <row r="2369" spans="1:26" x14ac:dyDescent="0.25">
      <c r="A2369" s="11"/>
      <c r="B2369" s="11"/>
      <c r="C2369" s="11"/>
      <c r="D2369" s="11"/>
      <c r="E2369" s="12"/>
      <c r="F2369" s="13"/>
      <c r="G2369" s="13"/>
      <c r="H2369" s="13"/>
      <c r="I2369" s="11"/>
      <c r="J2369" s="11"/>
      <c r="K2369" s="11"/>
      <c r="L2369" s="11"/>
      <c r="M2369" s="15"/>
      <c r="N2369" s="15"/>
      <c r="O2369" s="15"/>
      <c r="P2369" s="15"/>
      <c r="Q2369" s="16"/>
      <c r="R2369" s="16"/>
      <c r="S2369" s="16"/>
      <c r="T2369" s="17"/>
      <c r="U2369" s="11"/>
      <c r="V2369" s="16"/>
      <c r="W2369" s="11"/>
      <c r="X2369" s="11"/>
      <c r="Y2369" s="15"/>
      <c r="Z2369" s="11"/>
    </row>
    <row r="2370" spans="1:26" x14ac:dyDescent="0.25">
      <c r="A2370" s="19"/>
      <c r="B2370" s="19"/>
      <c r="C2370" s="19"/>
      <c r="D2370" s="19"/>
      <c r="E2370" s="19"/>
      <c r="F2370" s="20"/>
      <c r="G2370" s="13"/>
      <c r="H2370" s="20"/>
      <c r="I2370" s="19"/>
      <c r="J2370" s="19"/>
      <c r="K2370" s="19"/>
      <c r="L2370" s="19"/>
      <c r="M2370" s="21"/>
      <c r="N2370" s="21"/>
      <c r="O2370" s="21"/>
      <c r="P2370" s="21"/>
      <c r="Q2370" s="22"/>
      <c r="R2370" s="19"/>
      <c r="S2370" s="22"/>
      <c r="T2370" s="23"/>
      <c r="U2370" s="19"/>
      <c r="V2370" s="22"/>
      <c r="W2370" s="19"/>
      <c r="X2370" s="19"/>
      <c r="Y2370" s="21"/>
      <c r="Z2370" s="19"/>
    </row>
    <row r="2371" spans="1:26" x14ac:dyDescent="0.25">
      <c r="A2371" s="19"/>
      <c r="B2371" s="19"/>
      <c r="C2371" s="19"/>
      <c r="D2371" s="19"/>
      <c r="E2371" s="19"/>
      <c r="F2371" s="20"/>
      <c r="G2371" s="13"/>
      <c r="H2371" s="20"/>
      <c r="I2371" s="19"/>
      <c r="J2371" s="19"/>
      <c r="K2371" s="19"/>
      <c r="L2371" s="19"/>
      <c r="M2371" s="21"/>
      <c r="N2371" s="21"/>
      <c r="O2371" s="21"/>
      <c r="P2371" s="21"/>
      <c r="Q2371" s="22"/>
      <c r="R2371" s="19"/>
      <c r="S2371" s="22"/>
      <c r="T2371" s="23"/>
      <c r="U2371" s="19"/>
      <c r="V2371" s="22"/>
      <c r="W2371" s="19"/>
      <c r="X2371" s="19"/>
      <c r="Y2371" s="21"/>
      <c r="Z2371" s="19"/>
    </row>
    <row r="2372" spans="1:26" x14ac:dyDescent="0.25">
      <c r="A2372" s="19"/>
      <c r="B2372" s="19"/>
      <c r="C2372" s="19"/>
      <c r="D2372" s="19"/>
      <c r="E2372" s="19"/>
      <c r="F2372" s="20"/>
      <c r="G2372" s="13"/>
      <c r="H2372" s="20"/>
      <c r="I2372" s="19"/>
      <c r="J2372" s="19"/>
      <c r="K2372" s="19"/>
      <c r="L2372" s="19"/>
      <c r="M2372" s="21"/>
      <c r="N2372" s="21"/>
      <c r="O2372" s="21"/>
      <c r="P2372" s="21"/>
      <c r="Q2372" s="22"/>
      <c r="R2372" s="19"/>
      <c r="S2372" s="22"/>
      <c r="T2372" s="23"/>
      <c r="U2372" s="19"/>
      <c r="V2372" s="22"/>
      <c r="W2372" s="19"/>
      <c r="X2372" s="19"/>
      <c r="Y2372" s="21"/>
      <c r="Z2372" s="19"/>
    </row>
    <row r="2373" spans="1:26" x14ac:dyDescent="0.25">
      <c r="A2373" s="11"/>
      <c r="B2373" s="11"/>
      <c r="C2373" s="11"/>
      <c r="D2373" s="11"/>
      <c r="E2373" s="12"/>
      <c r="F2373" s="13"/>
      <c r="G2373" s="13"/>
      <c r="H2373" s="13"/>
      <c r="I2373" s="11"/>
      <c r="J2373" s="11"/>
      <c r="K2373" s="11"/>
      <c r="L2373" s="11"/>
      <c r="M2373" s="15"/>
      <c r="N2373" s="15"/>
      <c r="O2373" s="15"/>
      <c r="P2373" s="15"/>
      <c r="Q2373" s="16"/>
      <c r="R2373" s="16"/>
      <c r="S2373" s="16"/>
      <c r="T2373" s="17"/>
      <c r="U2373" s="11"/>
      <c r="V2373" s="16"/>
      <c r="W2373" s="11"/>
      <c r="X2373" s="11"/>
      <c r="Y2373" s="15"/>
      <c r="Z2373" s="11"/>
    </row>
    <row r="2374" spans="1:26" x14ac:dyDescent="0.25">
      <c r="A2374" s="11"/>
      <c r="B2374" s="11"/>
      <c r="C2374" s="11"/>
      <c r="D2374" s="11"/>
      <c r="E2374" s="12"/>
      <c r="F2374" s="13"/>
      <c r="G2374" s="13"/>
      <c r="H2374" s="13"/>
      <c r="I2374" s="11"/>
      <c r="J2374" s="11"/>
      <c r="K2374" s="11"/>
      <c r="L2374" s="11"/>
      <c r="M2374" s="15"/>
      <c r="N2374" s="15"/>
      <c r="O2374" s="15"/>
      <c r="P2374" s="15"/>
      <c r="Q2374" s="16"/>
      <c r="R2374" s="16"/>
      <c r="S2374" s="16"/>
      <c r="T2374" s="17"/>
      <c r="U2374" s="11"/>
      <c r="V2374" s="16"/>
      <c r="W2374" s="11"/>
      <c r="X2374" s="11"/>
      <c r="Y2374" s="15"/>
      <c r="Z2374" s="11"/>
    </row>
    <row r="2375" spans="1:26" x14ac:dyDescent="0.25">
      <c r="A2375" s="11"/>
      <c r="B2375" s="11"/>
      <c r="C2375" s="11"/>
      <c r="D2375" s="11"/>
      <c r="E2375" s="12"/>
      <c r="F2375" s="13"/>
      <c r="G2375" s="13"/>
      <c r="H2375" s="13"/>
      <c r="I2375" s="11"/>
      <c r="J2375" s="11"/>
      <c r="K2375" s="11"/>
      <c r="L2375" s="11"/>
      <c r="M2375" s="15"/>
      <c r="N2375" s="15"/>
      <c r="O2375" s="15"/>
      <c r="P2375" s="15"/>
      <c r="Q2375" s="16"/>
      <c r="R2375" s="16"/>
      <c r="S2375" s="16"/>
      <c r="T2375" s="17"/>
      <c r="U2375" s="11"/>
      <c r="V2375" s="16"/>
      <c r="W2375" s="11"/>
      <c r="X2375" s="11"/>
      <c r="Y2375" s="15"/>
      <c r="Z2375" s="11"/>
    </row>
    <row r="2376" spans="1:26" x14ac:dyDescent="0.25">
      <c r="A2376" s="11"/>
      <c r="B2376" s="11"/>
      <c r="C2376" s="11"/>
      <c r="D2376" s="11"/>
      <c r="E2376" s="12"/>
      <c r="F2376" s="13"/>
      <c r="G2376" s="13"/>
      <c r="H2376" s="13"/>
      <c r="I2376" s="11"/>
      <c r="J2376" s="11"/>
      <c r="K2376" s="11"/>
      <c r="L2376" s="11"/>
      <c r="M2376" s="15"/>
      <c r="N2376" s="15"/>
      <c r="O2376" s="15"/>
      <c r="P2376" s="15"/>
      <c r="Q2376" s="16"/>
      <c r="R2376" s="16"/>
      <c r="S2376" s="16"/>
      <c r="T2376" s="17"/>
      <c r="U2376" s="11"/>
      <c r="V2376" s="16"/>
      <c r="W2376" s="11"/>
      <c r="X2376" s="11"/>
      <c r="Y2376" s="15"/>
      <c r="Z2376" s="11"/>
    </row>
    <row r="2377" spans="1:26" x14ac:dyDescent="0.25">
      <c r="A2377" s="11"/>
      <c r="B2377" s="11"/>
      <c r="C2377" s="11"/>
      <c r="D2377" s="11"/>
      <c r="E2377" s="12"/>
      <c r="F2377" s="13"/>
      <c r="G2377" s="13"/>
      <c r="H2377" s="13"/>
      <c r="I2377" s="11"/>
      <c r="J2377" s="11"/>
      <c r="K2377" s="11"/>
      <c r="L2377" s="11"/>
      <c r="M2377" s="15"/>
      <c r="N2377" s="15"/>
      <c r="O2377" s="15"/>
      <c r="P2377" s="15"/>
      <c r="Q2377" s="16"/>
      <c r="R2377" s="16"/>
      <c r="S2377" s="16"/>
      <c r="T2377" s="17"/>
      <c r="U2377" s="11"/>
      <c r="V2377" s="16"/>
      <c r="W2377" s="11"/>
      <c r="X2377" s="11"/>
      <c r="Y2377" s="15"/>
      <c r="Z2377" s="11"/>
    </row>
    <row r="2378" spans="1:26" x14ac:dyDescent="0.25">
      <c r="A2378" s="11"/>
      <c r="B2378" s="11"/>
      <c r="C2378" s="11"/>
      <c r="D2378" s="11"/>
      <c r="E2378" s="12"/>
      <c r="F2378" s="13"/>
      <c r="G2378" s="13"/>
      <c r="H2378" s="13"/>
      <c r="I2378" s="11"/>
      <c r="J2378" s="11"/>
      <c r="K2378" s="11"/>
      <c r="L2378" s="11"/>
      <c r="M2378" s="15"/>
      <c r="N2378" s="15"/>
      <c r="O2378" s="15"/>
      <c r="P2378" s="15"/>
      <c r="Q2378" s="16"/>
      <c r="R2378" s="16"/>
      <c r="S2378" s="16"/>
      <c r="T2378" s="17"/>
      <c r="U2378" s="11"/>
      <c r="V2378" s="16"/>
      <c r="W2378" s="11"/>
      <c r="X2378" s="11"/>
      <c r="Y2378" s="15"/>
      <c r="Z2378" s="11"/>
    </row>
    <row r="2379" spans="1:26" x14ac:dyDescent="0.25">
      <c r="A2379" s="11"/>
      <c r="B2379" s="11"/>
      <c r="C2379" s="11"/>
      <c r="D2379" s="11"/>
      <c r="E2379" s="12"/>
      <c r="F2379" s="13"/>
      <c r="G2379" s="13"/>
      <c r="H2379" s="13"/>
      <c r="I2379" s="11"/>
      <c r="J2379" s="11"/>
      <c r="K2379" s="11"/>
      <c r="L2379" s="11"/>
      <c r="M2379" s="15"/>
      <c r="N2379" s="15"/>
      <c r="O2379" s="15"/>
      <c r="P2379" s="15"/>
      <c r="Q2379" s="16"/>
      <c r="R2379" s="16"/>
      <c r="S2379" s="16"/>
      <c r="T2379" s="17"/>
      <c r="U2379" s="11"/>
      <c r="V2379" s="16"/>
      <c r="W2379" s="11"/>
      <c r="X2379" s="11"/>
      <c r="Y2379" s="15"/>
      <c r="Z2379" s="11"/>
    </row>
    <row r="2380" spans="1:26" x14ac:dyDescent="0.25">
      <c r="A2380" s="11"/>
      <c r="B2380" s="11"/>
      <c r="C2380" s="11"/>
      <c r="D2380" s="11"/>
      <c r="E2380" s="12"/>
      <c r="F2380" s="13"/>
      <c r="G2380" s="13"/>
      <c r="H2380" s="13"/>
      <c r="I2380" s="11"/>
      <c r="J2380" s="11"/>
      <c r="K2380" s="11"/>
      <c r="L2380" s="11"/>
      <c r="M2380" s="15"/>
      <c r="N2380" s="15"/>
      <c r="O2380" s="15"/>
      <c r="P2380" s="15"/>
      <c r="Q2380" s="16"/>
      <c r="R2380" s="16"/>
      <c r="S2380" s="16"/>
      <c r="T2380" s="17"/>
      <c r="U2380" s="11"/>
      <c r="V2380" s="16"/>
      <c r="W2380" s="11"/>
      <c r="X2380" s="11"/>
      <c r="Y2380" s="15"/>
      <c r="Z2380" s="11"/>
    </row>
    <row r="2381" spans="1:26" x14ac:dyDescent="0.25">
      <c r="A2381" s="11"/>
      <c r="B2381" s="11"/>
      <c r="C2381" s="11"/>
      <c r="D2381" s="11"/>
      <c r="E2381" s="12"/>
      <c r="F2381" s="13"/>
      <c r="G2381" s="13"/>
      <c r="H2381" s="13"/>
      <c r="I2381" s="11"/>
      <c r="J2381" s="11"/>
      <c r="K2381" s="11"/>
      <c r="L2381" s="11"/>
      <c r="M2381" s="15"/>
      <c r="N2381" s="15"/>
      <c r="O2381" s="15"/>
      <c r="P2381" s="15"/>
      <c r="Q2381" s="16"/>
      <c r="R2381" s="16"/>
      <c r="S2381" s="16"/>
      <c r="T2381" s="17"/>
      <c r="U2381" s="11"/>
      <c r="V2381" s="16"/>
      <c r="W2381" s="11"/>
      <c r="X2381" s="11"/>
      <c r="Y2381" s="15"/>
      <c r="Z2381" s="11"/>
    </row>
    <row r="2382" spans="1:26" x14ac:dyDescent="0.25">
      <c r="A2382" s="11"/>
      <c r="B2382" s="11"/>
      <c r="C2382" s="11"/>
      <c r="D2382" s="11"/>
      <c r="E2382" s="12"/>
      <c r="F2382" s="13"/>
      <c r="G2382" s="13"/>
      <c r="H2382" s="13"/>
      <c r="I2382" s="11"/>
      <c r="J2382" s="11"/>
      <c r="K2382" s="11"/>
      <c r="L2382" s="11"/>
      <c r="M2382" s="15"/>
      <c r="N2382" s="15"/>
      <c r="O2382" s="15"/>
      <c r="P2382" s="15"/>
      <c r="Q2382" s="16"/>
      <c r="R2382" s="16"/>
      <c r="S2382" s="16"/>
      <c r="T2382" s="17"/>
      <c r="U2382" s="11"/>
      <c r="V2382" s="16"/>
      <c r="W2382" s="11"/>
      <c r="X2382" s="11"/>
      <c r="Y2382" s="15"/>
      <c r="Z2382" s="11"/>
    </row>
    <row r="2383" spans="1:26" x14ac:dyDescent="0.25">
      <c r="A2383" s="11"/>
      <c r="B2383" s="11"/>
      <c r="C2383" s="11"/>
      <c r="D2383" s="11"/>
      <c r="E2383" s="12"/>
      <c r="F2383" s="13"/>
      <c r="G2383" s="13"/>
      <c r="H2383" s="13"/>
      <c r="I2383" s="11"/>
      <c r="J2383" s="11"/>
      <c r="K2383" s="11"/>
      <c r="L2383" s="11"/>
      <c r="M2383" s="15"/>
      <c r="N2383" s="15"/>
      <c r="O2383" s="15"/>
      <c r="P2383" s="15"/>
      <c r="Q2383" s="16"/>
      <c r="R2383" s="16"/>
      <c r="S2383" s="16"/>
      <c r="T2383" s="17"/>
      <c r="U2383" s="11"/>
      <c r="V2383" s="16"/>
      <c r="W2383" s="11"/>
      <c r="X2383" s="11"/>
      <c r="Y2383" s="15"/>
      <c r="Z2383" s="11"/>
    </row>
    <row r="2384" spans="1:26" x14ac:dyDescent="0.25">
      <c r="A2384" s="11"/>
      <c r="B2384" s="11"/>
      <c r="C2384" s="11"/>
      <c r="D2384" s="11"/>
      <c r="E2384" s="12"/>
      <c r="F2384" s="13"/>
      <c r="G2384" s="13"/>
      <c r="H2384" s="13"/>
      <c r="I2384" s="11"/>
      <c r="J2384" s="11"/>
      <c r="K2384" s="11"/>
      <c r="L2384" s="11"/>
      <c r="M2384" s="15"/>
      <c r="N2384" s="15"/>
      <c r="O2384" s="15"/>
      <c r="P2384" s="15"/>
      <c r="Q2384" s="16"/>
      <c r="R2384" s="16"/>
      <c r="S2384" s="16"/>
      <c r="T2384" s="17"/>
      <c r="U2384" s="11"/>
      <c r="V2384" s="16"/>
      <c r="W2384" s="11"/>
      <c r="X2384" s="11"/>
      <c r="Y2384" s="15"/>
      <c r="Z2384" s="11"/>
    </row>
    <row r="2385" spans="1:26" x14ac:dyDescent="0.25">
      <c r="A2385" s="11"/>
      <c r="B2385" s="11"/>
      <c r="C2385" s="11"/>
      <c r="D2385" s="11"/>
      <c r="E2385" s="12"/>
      <c r="F2385" s="13"/>
      <c r="G2385" s="13"/>
      <c r="H2385" s="13"/>
      <c r="I2385" s="11"/>
      <c r="J2385" s="11"/>
      <c r="K2385" s="11"/>
      <c r="L2385" s="11"/>
      <c r="M2385" s="15"/>
      <c r="N2385" s="15"/>
      <c r="O2385" s="15"/>
      <c r="P2385" s="15"/>
      <c r="Q2385" s="16"/>
      <c r="R2385" s="16"/>
      <c r="S2385" s="16"/>
      <c r="T2385" s="17"/>
      <c r="U2385" s="11"/>
      <c r="V2385" s="16"/>
      <c r="W2385" s="11"/>
      <c r="X2385" s="11"/>
      <c r="Y2385" s="15"/>
      <c r="Z2385" s="11"/>
    </row>
    <row r="2386" spans="1:26" x14ac:dyDescent="0.25">
      <c r="A2386" s="11"/>
      <c r="B2386" s="11"/>
      <c r="C2386" s="11"/>
      <c r="D2386" s="11"/>
      <c r="E2386" s="12"/>
      <c r="F2386" s="13"/>
      <c r="G2386" s="13"/>
      <c r="H2386" s="13"/>
      <c r="I2386" s="11"/>
      <c r="J2386" s="11"/>
      <c r="K2386" s="11"/>
      <c r="L2386" s="11"/>
      <c r="M2386" s="15"/>
      <c r="N2386" s="15"/>
      <c r="O2386" s="15"/>
      <c r="P2386" s="15"/>
      <c r="Q2386" s="16"/>
      <c r="R2386" s="16"/>
      <c r="S2386" s="16"/>
      <c r="T2386" s="17"/>
      <c r="U2386" s="11"/>
      <c r="V2386" s="16"/>
      <c r="W2386" s="11"/>
      <c r="X2386" s="11"/>
      <c r="Y2386" s="15"/>
      <c r="Z2386" s="11"/>
    </row>
    <row r="2387" spans="1:26" x14ac:dyDescent="0.25">
      <c r="A2387" s="11"/>
      <c r="B2387" s="11"/>
      <c r="C2387" s="11"/>
      <c r="D2387" s="11"/>
      <c r="E2387" s="12"/>
      <c r="F2387" s="13"/>
      <c r="G2387" s="13"/>
      <c r="H2387" s="13"/>
      <c r="I2387" s="11"/>
      <c r="J2387" s="11"/>
      <c r="K2387" s="11"/>
      <c r="L2387" s="11"/>
      <c r="M2387" s="15"/>
      <c r="N2387" s="15"/>
      <c r="O2387" s="15"/>
      <c r="P2387" s="15"/>
      <c r="Q2387" s="16"/>
      <c r="R2387" s="16"/>
      <c r="S2387" s="16"/>
      <c r="T2387" s="17"/>
      <c r="U2387" s="11"/>
      <c r="V2387" s="16"/>
      <c r="W2387" s="11"/>
      <c r="X2387" s="11"/>
      <c r="Y2387" s="15"/>
      <c r="Z2387" s="11"/>
    </row>
    <row r="2388" spans="1:26" x14ac:dyDescent="0.25">
      <c r="A2388" s="19"/>
      <c r="B2388" s="19"/>
      <c r="C2388" s="19"/>
      <c r="D2388" s="19"/>
      <c r="E2388" s="19"/>
      <c r="F2388" s="20"/>
      <c r="G2388" s="13"/>
      <c r="H2388" s="20"/>
      <c r="I2388" s="19"/>
      <c r="J2388" s="19"/>
      <c r="K2388" s="19"/>
      <c r="L2388" s="19"/>
      <c r="M2388" s="21"/>
      <c r="N2388" s="21"/>
      <c r="O2388" s="21"/>
      <c r="P2388" s="21"/>
      <c r="Q2388" s="22"/>
      <c r="R2388" s="19"/>
      <c r="S2388" s="22"/>
      <c r="T2388" s="23"/>
      <c r="U2388" s="19"/>
      <c r="V2388" s="22"/>
      <c r="W2388" s="19"/>
      <c r="X2388" s="19"/>
      <c r="Y2388" s="21"/>
      <c r="Z2388" s="19"/>
    </row>
    <row r="2389" spans="1:26" x14ac:dyDescent="0.25">
      <c r="A2389" s="11"/>
      <c r="B2389" s="11"/>
      <c r="C2389" s="11"/>
      <c r="D2389" s="11"/>
      <c r="E2389" s="12"/>
      <c r="F2389" s="13"/>
      <c r="G2389" s="13"/>
      <c r="H2389" s="13"/>
      <c r="I2389" s="11"/>
      <c r="J2389" s="11"/>
      <c r="K2389" s="11"/>
      <c r="L2389" s="11"/>
      <c r="M2389" s="15"/>
      <c r="N2389" s="15"/>
      <c r="O2389" s="15"/>
      <c r="P2389" s="15"/>
      <c r="Q2389" s="16"/>
      <c r="R2389" s="16"/>
      <c r="S2389" s="16"/>
      <c r="T2389" s="17"/>
      <c r="U2389" s="11"/>
      <c r="V2389" s="16"/>
      <c r="W2389" s="11"/>
      <c r="X2389" s="11"/>
      <c r="Y2389" s="15"/>
      <c r="Z2389" s="11"/>
    </row>
    <row r="2390" spans="1:26" x14ac:dyDescent="0.25">
      <c r="A2390" s="11"/>
      <c r="B2390" s="11"/>
      <c r="C2390" s="11"/>
      <c r="D2390" s="11"/>
      <c r="E2390" s="12"/>
      <c r="F2390" s="13"/>
      <c r="G2390" s="13"/>
      <c r="H2390" s="13"/>
      <c r="I2390" s="11"/>
      <c r="J2390" s="11"/>
      <c r="K2390" s="11"/>
      <c r="L2390" s="11"/>
      <c r="M2390" s="15"/>
      <c r="N2390" s="15"/>
      <c r="O2390" s="15"/>
      <c r="P2390" s="15"/>
      <c r="Q2390" s="16"/>
      <c r="R2390" s="16"/>
      <c r="S2390" s="16"/>
      <c r="T2390" s="17"/>
      <c r="U2390" s="11"/>
      <c r="V2390" s="16"/>
      <c r="W2390" s="11"/>
      <c r="X2390" s="11"/>
      <c r="Y2390" s="15"/>
      <c r="Z2390" s="11"/>
    </row>
    <row r="2391" spans="1:26" x14ac:dyDescent="0.25">
      <c r="A2391" s="11"/>
      <c r="B2391" s="11"/>
      <c r="C2391" s="11"/>
      <c r="D2391" s="11"/>
      <c r="E2391" s="12"/>
      <c r="F2391" s="13"/>
      <c r="G2391" s="13"/>
      <c r="H2391" s="13"/>
      <c r="I2391" s="11"/>
      <c r="J2391" s="11"/>
      <c r="K2391" s="11"/>
      <c r="L2391" s="11"/>
      <c r="M2391" s="15"/>
      <c r="N2391" s="15"/>
      <c r="O2391" s="15"/>
      <c r="P2391" s="15"/>
      <c r="Q2391" s="16"/>
      <c r="R2391" s="16"/>
      <c r="S2391" s="16"/>
      <c r="T2391" s="17"/>
      <c r="U2391" s="11"/>
      <c r="V2391" s="16"/>
      <c r="W2391" s="11"/>
      <c r="X2391" s="11"/>
      <c r="Y2391" s="15"/>
      <c r="Z2391" s="11"/>
    </row>
    <row r="2392" spans="1:26" x14ac:dyDescent="0.25">
      <c r="A2392" s="19"/>
      <c r="B2392" s="19"/>
      <c r="C2392" s="19"/>
      <c r="D2392" s="19"/>
      <c r="E2392" s="19"/>
      <c r="F2392" s="20"/>
      <c r="G2392" s="13"/>
      <c r="H2392" s="20"/>
      <c r="I2392" s="19"/>
      <c r="J2392" s="19"/>
      <c r="K2392" s="19"/>
      <c r="L2392" s="19"/>
      <c r="M2392" s="21"/>
      <c r="N2392" s="21"/>
      <c r="O2392" s="21"/>
      <c r="P2392" s="21"/>
      <c r="Q2392" s="22"/>
      <c r="R2392" s="19"/>
      <c r="S2392" s="22"/>
      <c r="T2392" s="23"/>
      <c r="U2392" s="19"/>
      <c r="V2392" s="22"/>
      <c r="W2392" s="19"/>
      <c r="X2392" s="19"/>
      <c r="Y2392" s="21"/>
      <c r="Z2392" s="19"/>
    </row>
    <row r="2393" spans="1:26" x14ac:dyDescent="0.25">
      <c r="A2393" s="11"/>
      <c r="B2393" s="11"/>
      <c r="C2393" s="11"/>
      <c r="D2393" s="11"/>
      <c r="E2393" s="12"/>
      <c r="F2393" s="13"/>
      <c r="G2393" s="13"/>
      <c r="H2393" s="13"/>
      <c r="I2393" s="11"/>
      <c r="J2393" s="11"/>
      <c r="K2393" s="11"/>
      <c r="L2393" s="11"/>
      <c r="M2393" s="15"/>
      <c r="N2393" s="15"/>
      <c r="O2393" s="15"/>
      <c r="P2393" s="15"/>
      <c r="Q2393" s="16"/>
      <c r="R2393" s="16"/>
      <c r="S2393" s="16"/>
      <c r="T2393" s="17"/>
      <c r="U2393" s="11"/>
      <c r="V2393" s="16"/>
      <c r="W2393" s="11"/>
      <c r="X2393" s="11"/>
      <c r="Y2393" s="15"/>
      <c r="Z2393" s="11"/>
    </row>
    <row r="2394" spans="1:26" x14ac:dyDescent="0.25">
      <c r="A2394" s="11"/>
      <c r="B2394" s="11"/>
      <c r="C2394" s="11"/>
      <c r="D2394" s="11"/>
      <c r="E2394" s="12"/>
      <c r="F2394" s="13"/>
      <c r="G2394" s="13"/>
      <c r="H2394" s="13"/>
      <c r="I2394" s="11"/>
      <c r="J2394" s="11"/>
      <c r="K2394" s="11"/>
      <c r="L2394" s="11"/>
      <c r="M2394" s="15"/>
      <c r="N2394" s="15"/>
      <c r="O2394" s="15"/>
      <c r="P2394" s="15"/>
      <c r="Q2394" s="16"/>
      <c r="R2394" s="16"/>
      <c r="S2394" s="16"/>
      <c r="T2394" s="17"/>
      <c r="U2394" s="11"/>
      <c r="V2394" s="16"/>
      <c r="W2394" s="11"/>
      <c r="X2394" s="11"/>
      <c r="Y2394" s="15"/>
      <c r="Z2394" s="11"/>
    </row>
    <row r="2395" spans="1:26" x14ac:dyDescent="0.25">
      <c r="A2395" s="19"/>
      <c r="B2395" s="19"/>
      <c r="C2395" s="19"/>
      <c r="D2395" s="19"/>
      <c r="E2395" s="19"/>
      <c r="F2395" s="20"/>
      <c r="G2395" s="13"/>
      <c r="H2395" s="20"/>
      <c r="I2395" s="19"/>
      <c r="J2395" s="19"/>
      <c r="K2395" s="19"/>
      <c r="L2395" s="19"/>
      <c r="M2395" s="21"/>
      <c r="N2395" s="21"/>
      <c r="O2395" s="21"/>
      <c r="P2395" s="21"/>
      <c r="Q2395" s="22"/>
      <c r="R2395" s="19"/>
      <c r="S2395" s="22"/>
      <c r="T2395" s="23"/>
      <c r="U2395" s="19"/>
      <c r="V2395" s="22"/>
      <c r="W2395" s="19"/>
      <c r="X2395" s="19"/>
      <c r="Y2395" s="21"/>
      <c r="Z2395" s="19"/>
    </row>
    <row r="2396" spans="1:26" x14ac:dyDescent="0.25">
      <c r="A2396" s="11"/>
      <c r="B2396" s="11"/>
      <c r="C2396" s="11"/>
      <c r="D2396" s="11"/>
      <c r="E2396" s="12"/>
      <c r="F2396" s="13"/>
      <c r="G2396" s="13"/>
      <c r="H2396" s="13"/>
      <c r="I2396" s="11"/>
      <c r="J2396" s="11"/>
      <c r="K2396" s="11"/>
      <c r="L2396" s="11"/>
      <c r="M2396" s="15"/>
      <c r="N2396" s="15"/>
      <c r="O2396" s="15"/>
      <c r="P2396" s="15"/>
      <c r="Q2396" s="16"/>
      <c r="R2396" s="16"/>
      <c r="S2396" s="16"/>
      <c r="T2396" s="17"/>
      <c r="U2396" s="11"/>
      <c r="V2396" s="16"/>
      <c r="W2396" s="11"/>
      <c r="X2396" s="11"/>
      <c r="Y2396" s="15"/>
      <c r="Z2396" s="11"/>
    </row>
    <row r="2397" spans="1:26" x14ac:dyDescent="0.25">
      <c r="A2397" s="19"/>
      <c r="B2397" s="19"/>
      <c r="C2397" s="19"/>
      <c r="D2397" s="19"/>
      <c r="E2397" s="19"/>
      <c r="F2397" s="20"/>
      <c r="G2397" s="13"/>
      <c r="H2397" s="20"/>
      <c r="I2397" s="19"/>
      <c r="J2397" s="19"/>
      <c r="K2397" s="19"/>
      <c r="L2397" s="19"/>
      <c r="M2397" s="21"/>
      <c r="N2397" s="21"/>
      <c r="O2397" s="21"/>
      <c r="P2397" s="21"/>
      <c r="Q2397" s="22"/>
      <c r="R2397" s="19"/>
      <c r="S2397" s="22"/>
      <c r="T2397" s="23"/>
      <c r="U2397" s="19"/>
      <c r="V2397" s="22"/>
      <c r="W2397" s="19"/>
      <c r="X2397" s="19"/>
      <c r="Y2397" s="21"/>
      <c r="Z2397" s="19"/>
    </row>
    <row r="2398" spans="1:26" x14ac:dyDescent="0.25">
      <c r="A2398" s="11"/>
      <c r="B2398" s="11"/>
      <c r="C2398" s="11"/>
      <c r="D2398" s="11"/>
      <c r="E2398" s="12"/>
      <c r="F2398" s="13"/>
      <c r="G2398" s="13"/>
      <c r="H2398" s="13"/>
      <c r="I2398" s="11"/>
      <c r="J2398" s="11"/>
      <c r="K2398" s="11"/>
      <c r="L2398" s="11"/>
      <c r="M2398" s="15"/>
      <c r="N2398" s="15"/>
      <c r="O2398" s="15"/>
      <c r="P2398" s="15"/>
      <c r="Q2398" s="16"/>
      <c r="R2398" s="16"/>
      <c r="S2398" s="16"/>
      <c r="T2398" s="17"/>
      <c r="U2398" s="11"/>
      <c r="V2398" s="16"/>
      <c r="W2398" s="11"/>
      <c r="X2398" s="11"/>
      <c r="Y2398" s="15"/>
      <c r="Z2398" s="11"/>
    </row>
    <row r="2399" spans="1:26" x14ac:dyDescent="0.25">
      <c r="A2399" s="11"/>
      <c r="B2399" s="11"/>
      <c r="C2399" s="11"/>
      <c r="D2399" s="11"/>
      <c r="E2399" s="12"/>
      <c r="F2399" s="13"/>
      <c r="G2399" s="13"/>
      <c r="H2399" s="13"/>
      <c r="I2399" s="11"/>
      <c r="J2399" s="11"/>
      <c r="K2399" s="11"/>
      <c r="L2399" s="11"/>
      <c r="M2399" s="15"/>
      <c r="N2399" s="15"/>
      <c r="O2399" s="15"/>
      <c r="P2399" s="15"/>
      <c r="Q2399" s="16"/>
      <c r="R2399" s="16"/>
      <c r="S2399" s="16"/>
      <c r="T2399" s="17"/>
      <c r="U2399" s="11"/>
      <c r="V2399" s="16"/>
      <c r="W2399" s="11"/>
      <c r="X2399" s="11"/>
      <c r="Y2399" s="15"/>
      <c r="Z2399" s="11"/>
    </row>
    <row r="2400" spans="1:26" x14ac:dyDescent="0.25">
      <c r="A2400" s="11"/>
      <c r="B2400" s="11"/>
      <c r="C2400" s="11"/>
      <c r="D2400" s="11"/>
      <c r="E2400" s="12"/>
      <c r="F2400" s="13"/>
      <c r="G2400" s="13"/>
      <c r="H2400" s="13"/>
      <c r="I2400" s="11"/>
      <c r="J2400" s="11"/>
      <c r="K2400" s="11"/>
      <c r="L2400" s="11"/>
      <c r="M2400" s="15"/>
      <c r="N2400" s="15"/>
      <c r="O2400" s="15"/>
      <c r="P2400" s="15"/>
      <c r="Q2400" s="16"/>
      <c r="R2400" s="16"/>
      <c r="S2400" s="16"/>
      <c r="T2400" s="17"/>
      <c r="U2400" s="11"/>
      <c r="V2400" s="16"/>
      <c r="W2400" s="11"/>
      <c r="X2400" s="11"/>
      <c r="Y2400" s="15"/>
      <c r="Z2400" s="11"/>
    </row>
    <row r="2401" spans="1:26" x14ac:dyDescent="0.25">
      <c r="A2401" s="11"/>
      <c r="B2401" s="11"/>
      <c r="C2401" s="11"/>
      <c r="D2401" s="11"/>
      <c r="E2401" s="12"/>
      <c r="F2401" s="13"/>
      <c r="G2401" s="13"/>
      <c r="H2401" s="13"/>
      <c r="I2401" s="11"/>
      <c r="J2401" s="11"/>
      <c r="K2401" s="11"/>
      <c r="L2401" s="11"/>
      <c r="M2401" s="15"/>
      <c r="N2401" s="15"/>
      <c r="O2401" s="15"/>
      <c r="P2401" s="15"/>
      <c r="Q2401" s="16"/>
      <c r="R2401" s="16"/>
      <c r="S2401" s="16"/>
      <c r="T2401" s="17"/>
      <c r="U2401" s="11"/>
      <c r="V2401" s="16"/>
      <c r="W2401" s="11"/>
      <c r="X2401" s="11"/>
      <c r="Y2401" s="15"/>
      <c r="Z2401" s="11"/>
    </row>
    <row r="2402" spans="1:26" x14ac:dyDescent="0.25">
      <c r="A2402" s="11"/>
      <c r="B2402" s="11"/>
      <c r="C2402" s="11"/>
      <c r="D2402" s="11"/>
      <c r="E2402" s="12"/>
      <c r="F2402" s="13"/>
      <c r="G2402" s="13"/>
      <c r="H2402" s="13"/>
      <c r="I2402" s="11"/>
      <c r="J2402" s="11"/>
      <c r="K2402" s="11"/>
      <c r="L2402" s="11"/>
      <c r="M2402" s="15"/>
      <c r="N2402" s="15"/>
      <c r="O2402" s="15"/>
      <c r="P2402" s="15"/>
      <c r="Q2402" s="16"/>
      <c r="R2402" s="16"/>
      <c r="S2402" s="16"/>
      <c r="T2402" s="17"/>
      <c r="U2402" s="11"/>
      <c r="V2402" s="16"/>
      <c r="W2402" s="11"/>
      <c r="X2402" s="11"/>
      <c r="Y2402" s="15"/>
      <c r="Z2402" s="11"/>
    </row>
    <row r="2403" spans="1:26" x14ac:dyDescent="0.25">
      <c r="A2403" s="11"/>
      <c r="B2403" s="11"/>
      <c r="C2403" s="11"/>
      <c r="D2403" s="11"/>
      <c r="E2403" s="12"/>
      <c r="F2403" s="13"/>
      <c r="G2403" s="13"/>
      <c r="H2403" s="13"/>
      <c r="I2403" s="11"/>
      <c r="J2403" s="11"/>
      <c r="K2403" s="11"/>
      <c r="L2403" s="11"/>
      <c r="M2403" s="15"/>
      <c r="N2403" s="15"/>
      <c r="O2403" s="15"/>
      <c r="P2403" s="15"/>
      <c r="Q2403" s="16"/>
      <c r="R2403" s="16"/>
      <c r="S2403" s="16"/>
      <c r="T2403" s="17"/>
      <c r="U2403" s="11"/>
      <c r="V2403" s="16"/>
      <c r="W2403" s="11"/>
      <c r="X2403" s="11"/>
      <c r="Y2403" s="15"/>
      <c r="Z2403" s="11"/>
    </row>
    <row r="2404" spans="1:26" x14ac:dyDescent="0.25">
      <c r="A2404" s="11"/>
      <c r="B2404" s="11"/>
      <c r="C2404" s="11"/>
      <c r="D2404" s="11"/>
      <c r="E2404" s="12"/>
      <c r="F2404" s="13"/>
      <c r="G2404" s="13"/>
      <c r="H2404" s="13"/>
      <c r="I2404" s="11"/>
      <c r="J2404" s="11"/>
      <c r="K2404" s="11"/>
      <c r="L2404" s="11"/>
      <c r="M2404" s="15"/>
      <c r="N2404" s="15"/>
      <c r="O2404" s="15"/>
      <c r="P2404" s="15"/>
      <c r="Q2404" s="16"/>
      <c r="R2404" s="16"/>
      <c r="S2404" s="16"/>
      <c r="T2404" s="17"/>
      <c r="U2404" s="11"/>
      <c r="V2404" s="16"/>
      <c r="W2404" s="11"/>
      <c r="X2404" s="11"/>
      <c r="Y2404" s="15"/>
      <c r="Z2404" s="11"/>
    </row>
    <row r="2405" spans="1:26" x14ac:dyDescent="0.25">
      <c r="A2405" s="11"/>
      <c r="B2405" s="11"/>
      <c r="C2405" s="11"/>
      <c r="D2405" s="11"/>
      <c r="E2405" s="12"/>
      <c r="F2405" s="13"/>
      <c r="G2405" s="13"/>
      <c r="H2405" s="13"/>
      <c r="I2405" s="11"/>
      <c r="J2405" s="11"/>
      <c r="K2405" s="11"/>
      <c r="L2405" s="11"/>
      <c r="M2405" s="15"/>
      <c r="N2405" s="15"/>
      <c r="O2405" s="15"/>
      <c r="P2405" s="15"/>
      <c r="Q2405" s="16"/>
      <c r="R2405" s="16"/>
      <c r="S2405" s="16"/>
      <c r="T2405" s="17"/>
      <c r="U2405" s="11"/>
      <c r="V2405" s="16"/>
      <c r="W2405" s="11"/>
      <c r="X2405" s="11"/>
      <c r="Y2405" s="15"/>
      <c r="Z2405" s="11"/>
    </row>
    <row r="2406" spans="1:26" x14ac:dyDescent="0.25">
      <c r="A2406" s="11"/>
      <c r="B2406" s="11"/>
      <c r="C2406" s="11"/>
      <c r="D2406" s="11"/>
      <c r="E2406" s="12"/>
      <c r="F2406" s="13"/>
      <c r="G2406" s="13"/>
      <c r="H2406" s="13"/>
      <c r="I2406" s="11"/>
      <c r="J2406" s="11"/>
      <c r="K2406" s="11"/>
      <c r="L2406" s="11"/>
      <c r="M2406" s="15"/>
      <c r="N2406" s="15"/>
      <c r="O2406" s="15"/>
      <c r="P2406" s="15"/>
      <c r="Q2406" s="16"/>
      <c r="R2406" s="16"/>
      <c r="S2406" s="16"/>
      <c r="T2406" s="17"/>
      <c r="U2406" s="11"/>
      <c r="V2406" s="16"/>
      <c r="W2406" s="11"/>
      <c r="X2406" s="11"/>
      <c r="Y2406" s="15"/>
      <c r="Z2406" s="11"/>
    </row>
    <row r="2407" spans="1:26" x14ac:dyDescent="0.25">
      <c r="A2407" s="18"/>
      <c r="B2407" s="18"/>
      <c r="C2407" s="18"/>
      <c r="D2407" s="18"/>
      <c r="E2407" s="19"/>
      <c r="F2407" s="20"/>
      <c r="G2407" s="13"/>
      <c r="H2407" s="20"/>
      <c r="I2407" s="18"/>
      <c r="J2407" s="18"/>
      <c r="K2407" s="18"/>
      <c r="L2407" s="18"/>
      <c r="M2407" s="21"/>
      <c r="N2407" s="21"/>
      <c r="O2407" s="21"/>
      <c r="P2407" s="21"/>
      <c r="Q2407" s="22"/>
      <c r="R2407" s="19"/>
      <c r="S2407" s="22"/>
      <c r="T2407" s="23"/>
      <c r="U2407" s="18"/>
      <c r="V2407" s="22"/>
      <c r="W2407" s="18"/>
      <c r="X2407" s="18"/>
      <c r="Y2407" s="21"/>
      <c r="Z2407" s="18"/>
    </row>
    <row r="2408" spans="1:26" x14ac:dyDescent="0.25">
      <c r="A2408" s="11"/>
      <c r="B2408" s="11"/>
      <c r="C2408" s="11"/>
      <c r="D2408" s="11"/>
      <c r="E2408" s="12"/>
      <c r="F2408" s="13"/>
      <c r="G2408" s="13"/>
      <c r="H2408" s="13"/>
      <c r="I2408" s="11"/>
      <c r="J2408" s="11"/>
      <c r="K2408" s="11"/>
      <c r="L2408" s="11"/>
      <c r="M2408" s="15"/>
      <c r="N2408" s="15"/>
      <c r="O2408" s="15"/>
      <c r="P2408" s="15"/>
      <c r="Q2408" s="16"/>
      <c r="R2408" s="16"/>
      <c r="S2408" s="16"/>
      <c r="T2408" s="17"/>
      <c r="U2408" s="11"/>
      <c r="V2408" s="16"/>
      <c r="W2408" s="11"/>
      <c r="X2408" s="11"/>
      <c r="Y2408" s="15"/>
      <c r="Z2408" s="11"/>
    </row>
    <row r="2409" spans="1:26" x14ac:dyDescent="0.25">
      <c r="A2409" s="11"/>
      <c r="B2409" s="11"/>
      <c r="C2409" s="11"/>
      <c r="D2409" s="11"/>
      <c r="E2409" s="12"/>
      <c r="F2409" s="13"/>
      <c r="G2409" s="13"/>
      <c r="H2409" s="13"/>
      <c r="I2409" s="11"/>
      <c r="J2409" s="11"/>
      <c r="K2409" s="11"/>
      <c r="L2409" s="11"/>
      <c r="M2409" s="15"/>
      <c r="N2409" s="15"/>
      <c r="O2409" s="15"/>
      <c r="P2409" s="15"/>
      <c r="Q2409" s="16"/>
      <c r="R2409" s="16"/>
      <c r="S2409" s="16"/>
      <c r="T2409" s="17"/>
      <c r="U2409" s="11"/>
      <c r="V2409" s="16"/>
      <c r="W2409" s="11"/>
      <c r="X2409" s="11"/>
      <c r="Y2409" s="15"/>
      <c r="Z2409" s="11"/>
    </row>
    <row r="2410" spans="1:26" x14ac:dyDescent="0.25">
      <c r="A2410" s="11"/>
      <c r="B2410" s="11"/>
      <c r="C2410" s="11"/>
      <c r="D2410" s="11"/>
      <c r="E2410" s="12"/>
      <c r="F2410" s="13"/>
      <c r="G2410" s="13"/>
      <c r="H2410" s="13"/>
      <c r="I2410" s="11"/>
      <c r="J2410" s="11"/>
      <c r="K2410" s="11"/>
      <c r="L2410" s="11"/>
      <c r="M2410" s="15"/>
      <c r="N2410" s="15"/>
      <c r="O2410" s="15"/>
      <c r="P2410" s="15"/>
      <c r="Q2410" s="16"/>
      <c r="R2410" s="16"/>
      <c r="S2410" s="16"/>
      <c r="T2410" s="17"/>
      <c r="U2410" s="11"/>
      <c r="V2410" s="16"/>
      <c r="W2410" s="11"/>
      <c r="X2410" s="11"/>
      <c r="Y2410" s="15"/>
      <c r="Z2410" s="11"/>
    </row>
    <row r="2411" spans="1:26" x14ac:dyDescent="0.25">
      <c r="A2411" s="11"/>
      <c r="B2411" s="11"/>
      <c r="C2411" s="11"/>
      <c r="D2411" s="11"/>
      <c r="E2411" s="12"/>
      <c r="F2411" s="13"/>
      <c r="G2411" s="13"/>
      <c r="H2411" s="13"/>
      <c r="I2411" s="11"/>
      <c r="J2411" s="11"/>
      <c r="K2411" s="11"/>
      <c r="L2411" s="11"/>
      <c r="M2411" s="15"/>
      <c r="N2411" s="15"/>
      <c r="O2411" s="15"/>
      <c r="P2411" s="15"/>
      <c r="Q2411" s="16"/>
      <c r="R2411" s="16"/>
      <c r="S2411" s="16"/>
      <c r="T2411" s="17"/>
      <c r="U2411" s="11"/>
      <c r="V2411" s="16"/>
      <c r="W2411" s="11"/>
      <c r="X2411" s="11"/>
      <c r="Y2411" s="15"/>
      <c r="Z2411" s="11"/>
    </row>
    <row r="2412" spans="1:26" x14ac:dyDescent="0.25">
      <c r="A2412" s="11"/>
      <c r="B2412" s="11"/>
      <c r="C2412" s="11"/>
      <c r="D2412" s="11"/>
      <c r="E2412" s="12"/>
      <c r="F2412" s="13"/>
      <c r="G2412" s="13"/>
      <c r="H2412" s="13"/>
      <c r="I2412" s="11"/>
      <c r="J2412" s="11"/>
      <c r="K2412" s="11"/>
      <c r="L2412" s="11"/>
      <c r="M2412" s="15"/>
      <c r="N2412" s="15"/>
      <c r="O2412" s="15"/>
      <c r="P2412" s="15"/>
      <c r="Q2412" s="16"/>
      <c r="R2412" s="16"/>
      <c r="S2412" s="16"/>
      <c r="T2412" s="17"/>
      <c r="U2412" s="11"/>
      <c r="V2412" s="16"/>
      <c r="W2412" s="11"/>
      <c r="X2412" s="11"/>
      <c r="Y2412" s="15"/>
      <c r="Z2412" s="11"/>
    </row>
    <row r="2413" spans="1:26" x14ac:dyDescent="0.25">
      <c r="A2413" s="19"/>
      <c r="B2413" s="19"/>
      <c r="C2413" s="19"/>
      <c r="D2413" s="19"/>
      <c r="E2413" s="19"/>
      <c r="F2413" s="20"/>
      <c r="G2413" s="13"/>
      <c r="H2413" s="20"/>
      <c r="I2413" s="19"/>
      <c r="J2413" s="19"/>
      <c r="K2413" s="19"/>
      <c r="L2413" s="19"/>
      <c r="M2413" s="21"/>
      <c r="N2413" s="21"/>
      <c r="O2413" s="21"/>
      <c r="P2413" s="21"/>
      <c r="Q2413" s="22"/>
      <c r="R2413" s="19"/>
      <c r="S2413" s="22"/>
      <c r="T2413" s="23"/>
      <c r="U2413" s="19"/>
      <c r="V2413" s="22"/>
      <c r="W2413" s="19"/>
      <c r="X2413" s="19"/>
      <c r="Y2413" s="21"/>
      <c r="Z2413" s="19"/>
    </row>
    <row r="2414" spans="1:26" x14ac:dyDescent="0.25">
      <c r="A2414" s="11"/>
      <c r="B2414" s="11"/>
      <c r="C2414" s="11"/>
      <c r="D2414" s="11"/>
      <c r="E2414" s="12"/>
      <c r="F2414" s="13"/>
      <c r="G2414" s="13"/>
      <c r="H2414" s="13"/>
      <c r="I2414" s="11"/>
      <c r="J2414" s="11"/>
      <c r="K2414" s="11"/>
      <c r="L2414" s="11"/>
      <c r="M2414" s="15"/>
      <c r="N2414" s="15"/>
      <c r="O2414" s="15"/>
      <c r="P2414" s="15"/>
      <c r="Q2414" s="16"/>
      <c r="R2414" s="16"/>
      <c r="S2414" s="16"/>
      <c r="T2414" s="17"/>
      <c r="U2414" s="11"/>
      <c r="V2414" s="16"/>
      <c r="W2414" s="11"/>
      <c r="X2414" s="11"/>
      <c r="Y2414" s="15"/>
      <c r="Z2414" s="11"/>
    </row>
    <row r="2415" spans="1:26" x14ac:dyDescent="0.25">
      <c r="A2415" s="11"/>
      <c r="B2415" s="11"/>
      <c r="C2415" s="11"/>
      <c r="D2415" s="11"/>
      <c r="E2415" s="12"/>
      <c r="F2415" s="13"/>
      <c r="G2415" s="13"/>
      <c r="H2415" s="13"/>
      <c r="I2415" s="11"/>
      <c r="J2415" s="11"/>
      <c r="K2415" s="11"/>
      <c r="L2415" s="11"/>
      <c r="M2415" s="15"/>
      <c r="N2415" s="15"/>
      <c r="O2415" s="15"/>
      <c r="P2415" s="15"/>
      <c r="Q2415" s="16"/>
      <c r="R2415" s="16"/>
      <c r="S2415" s="16"/>
      <c r="T2415" s="17"/>
      <c r="U2415" s="11"/>
      <c r="V2415" s="16"/>
      <c r="W2415" s="11"/>
      <c r="X2415" s="11"/>
      <c r="Y2415" s="15"/>
      <c r="Z2415" s="11"/>
    </row>
    <row r="2416" spans="1:26" x14ac:dyDescent="0.25">
      <c r="A2416" s="11"/>
      <c r="B2416" s="11"/>
      <c r="C2416" s="11"/>
      <c r="D2416" s="11"/>
      <c r="E2416" s="12"/>
      <c r="F2416" s="13"/>
      <c r="G2416" s="13"/>
      <c r="H2416" s="13"/>
      <c r="I2416" s="11"/>
      <c r="J2416" s="11"/>
      <c r="K2416" s="11"/>
      <c r="L2416" s="11"/>
      <c r="M2416" s="15"/>
      <c r="N2416" s="15"/>
      <c r="O2416" s="15"/>
      <c r="P2416" s="15"/>
      <c r="Q2416" s="16"/>
      <c r="R2416" s="16"/>
      <c r="S2416" s="16"/>
      <c r="T2416" s="17"/>
      <c r="U2416" s="11"/>
      <c r="V2416" s="16"/>
      <c r="W2416" s="11"/>
      <c r="X2416" s="11"/>
      <c r="Y2416" s="15"/>
      <c r="Z2416" s="11"/>
    </row>
    <row r="2417" spans="1:26" x14ac:dyDescent="0.25">
      <c r="A2417" s="11"/>
      <c r="B2417" s="11"/>
      <c r="C2417" s="11"/>
      <c r="D2417" s="11"/>
      <c r="E2417" s="12"/>
      <c r="F2417" s="13"/>
      <c r="G2417" s="13"/>
      <c r="H2417" s="13"/>
      <c r="I2417" s="11"/>
      <c r="J2417" s="11"/>
      <c r="K2417" s="11"/>
      <c r="L2417" s="11"/>
      <c r="M2417" s="15"/>
      <c r="N2417" s="15"/>
      <c r="O2417" s="15"/>
      <c r="P2417" s="15"/>
      <c r="Q2417" s="16"/>
      <c r="R2417" s="16"/>
      <c r="S2417" s="16"/>
      <c r="T2417" s="17"/>
      <c r="U2417" s="11"/>
      <c r="V2417" s="16"/>
      <c r="W2417" s="11"/>
      <c r="X2417" s="11"/>
      <c r="Y2417" s="15"/>
      <c r="Z2417" s="11"/>
    </row>
    <row r="2418" spans="1:26" x14ac:dyDescent="0.25">
      <c r="A2418" s="18"/>
      <c r="B2418" s="18"/>
      <c r="C2418" s="18"/>
      <c r="D2418" s="18"/>
      <c r="E2418" s="19"/>
      <c r="F2418" s="20"/>
      <c r="G2418" s="13"/>
      <c r="H2418" s="20"/>
      <c r="I2418" s="18"/>
      <c r="J2418" s="18"/>
      <c r="K2418" s="18"/>
      <c r="L2418" s="18"/>
      <c r="M2418" s="21"/>
      <c r="N2418" s="21"/>
      <c r="O2418" s="21"/>
      <c r="P2418" s="21"/>
      <c r="Q2418" s="22"/>
      <c r="R2418" s="19"/>
      <c r="S2418" s="22"/>
      <c r="T2418" s="23"/>
      <c r="U2418" s="18"/>
      <c r="V2418" s="22"/>
      <c r="W2418" s="18"/>
      <c r="X2418" s="18"/>
      <c r="Y2418" s="21"/>
      <c r="Z2418" s="18"/>
    </row>
    <row r="2419" spans="1:26" x14ac:dyDescent="0.25">
      <c r="A2419" s="11"/>
      <c r="B2419" s="11"/>
      <c r="C2419" s="11"/>
      <c r="D2419" s="11"/>
      <c r="E2419" s="12"/>
      <c r="F2419" s="13"/>
      <c r="G2419" s="13"/>
      <c r="H2419" s="13"/>
      <c r="I2419" s="11"/>
      <c r="J2419" s="11"/>
      <c r="K2419" s="11"/>
      <c r="L2419" s="11"/>
      <c r="M2419" s="15"/>
      <c r="N2419" s="15"/>
      <c r="O2419" s="15"/>
      <c r="P2419" s="15"/>
      <c r="Q2419" s="16"/>
      <c r="R2419" s="16"/>
      <c r="S2419" s="16"/>
      <c r="T2419" s="17"/>
      <c r="U2419" s="11"/>
      <c r="V2419" s="16"/>
      <c r="W2419" s="11"/>
      <c r="X2419" s="11"/>
      <c r="Y2419" s="15"/>
      <c r="Z2419" s="11"/>
    </row>
    <row r="2420" spans="1:26" x14ac:dyDescent="0.25">
      <c r="A2420" s="11"/>
      <c r="B2420" s="11"/>
      <c r="C2420" s="11"/>
      <c r="D2420" s="11"/>
      <c r="E2420" s="12"/>
      <c r="F2420" s="13"/>
      <c r="G2420" s="13"/>
      <c r="H2420" s="13"/>
      <c r="I2420" s="11"/>
      <c r="J2420" s="11"/>
      <c r="K2420" s="11"/>
      <c r="L2420" s="11"/>
      <c r="M2420" s="15"/>
      <c r="N2420" s="15"/>
      <c r="O2420" s="15"/>
      <c r="P2420" s="15"/>
      <c r="Q2420" s="16"/>
      <c r="R2420" s="16"/>
      <c r="S2420" s="16"/>
      <c r="T2420" s="17"/>
      <c r="U2420" s="11"/>
      <c r="V2420" s="16"/>
      <c r="W2420" s="11"/>
      <c r="X2420" s="11"/>
      <c r="Y2420" s="15"/>
      <c r="Z2420" s="11"/>
    </row>
    <row r="2421" spans="1:26" x14ac:dyDescent="0.25">
      <c r="A2421" s="18"/>
      <c r="B2421" s="18"/>
      <c r="C2421" s="18"/>
      <c r="D2421" s="18"/>
      <c r="E2421" s="19"/>
      <c r="F2421" s="20"/>
      <c r="G2421" s="13"/>
      <c r="H2421" s="20"/>
      <c r="I2421" s="18"/>
      <c r="J2421" s="18"/>
      <c r="K2421" s="18"/>
      <c r="L2421" s="18"/>
      <c r="M2421" s="21"/>
      <c r="N2421" s="21"/>
      <c r="O2421" s="21"/>
      <c r="P2421" s="21"/>
      <c r="Q2421" s="22"/>
      <c r="R2421" s="19"/>
      <c r="S2421" s="22"/>
      <c r="T2421" s="23"/>
      <c r="U2421" s="18"/>
      <c r="V2421" s="22"/>
      <c r="W2421" s="18"/>
      <c r="X2421" s="18"/>
      <c r="Y2421" s="21"/>
      <c r="Z2421" s="18"/>
    </row>
    <row r="2422" spans="1:26" x14ac:dyDescent="0.25">
      <c r="A2422" s="11"/>
      <c r="B2422" s="11"/>
      <c r="C2422" s="11"/>
      <c r="D2422" s="11"/>
      <c r="E2422" s="12"/>
      <c r="F2422" s="13"/>
      <c r="G2422" s="13"/>
      <c r="H2422" s="13"/>
      <c r="I2422" s="11"/>
      <c r="J2422" s="11"/>
      <c r="K2422" s="11"/>
      <c r="L2422" s="11"/>
      <c r="M2422" s="15"/>
      <c r="N2422" s="15"/>
      <c r="O2422" s="15"/>
      <c r="P2422" s="15"/>
      <c r="Q2422" s="16"/>
      <c r="R2422" s="16"/>
      <c r="S2422" s="16"/>
      <c r="T2422" s="17"/>
      <c r="U2422" s="11"/>
      <c r="V2422" s="16"/>
      <c r="W2422" s="11"/>
      <c r="X2422" s="11"/>
      <c r="Y2422" s="15"/>
      <c r="Z2422" s="11"/>
    </row>
    <row r="2423" spans="1:26" x14ac:dyDescent="0.25">
      <c r="A2423" s="19"/>
      <c r="B2423" s="19"/>
      <c r="C2423" s="19"/>
      <c r="D2423" s="19"/>
      <c r="E2423" s="19"/>
      <c r="F2423" s="20"/>
      <c r="G2423" s="13"/>
      <c r="H2423" s="20"/>
      <c r="I2423" s="19"/>
      <c r="J2423" s="19"/>
      <c r="K2423" s="19"/>
      <c r="L2423" s="19"/>
      <c r="M2423" s="21"/>
      <c r="N2423" s="21"/>
      <c r="O2423" s="21"/>
      <c r="P2423" s="21"/>
      <c r="Q2423" s="22"/>
      <c r="R2423" s="19"/>
      <c r="S2423" s="22"/>
      <c r="T2423" s="23"/>
      <c r="U2423" s="19"/>
      <c r="V2423" s="22"/>
      <c r="W2423" s="19"/>
      <c r="X2423" s="19"/>
      <c r="Y2423" s="21"/>
      <c r="Z2423" s="19"/>
    </row>
    <row r="2424" spans="1:26" x14ac:dyDescent="0.25">
      <c r="A2424" s="11"/>
      <c r="B2424" s="11"/>
      <c r="C2424" s="11"/>
      <c r="D2424" s="11"/>
      <c r="E2424" s="12"/>
      <c r="F2424" s="13"/>
      <c r="G2424" s="13"/>
      <c r="H2424" s="13"/>
      <c r="I2424" s="11"/>
      <c r="J2424" s="11"/>
      <c r="K2424" s="11"/>
      <c r="L2424" s="11"/>
      <c r="M2424" s="15"/>
      <c r="N2424" s="15"/>
      <c r="O2424" s="15"/>
      <c r="P2424" s="15"/>
      <c r="Q2424" s="16"/>
      <c r="R2424" s="16"/>
      <c r="S2424" s="16"/>
      <c r="T2424" s="17"/>
      <c r="U2424" s="11"/>
      <c r="V2424" s="16"/>
      <c r="W2424" s="11"/>
      <c r="X2424" s="11"/>
      <c r="Y2424" s="15"/>
      <c r="Z2424" s="11"/>
    </row>
    <row r="2425" spans="1:26" x14ac:dyDescent="0.25">
      <c r="A2425" s="11"/>
      <c r="B2425" s="11"/>
      <c r="C2425" s="11"/>
      <c r="D2425" s="11"/>
      <c r="E2425" s="12"/>
      <c r="F2425" s="13"/>
      <c r="G2425" s="13"/>
      <c r="H2425" s="13"/>
      <c r="I2425" s="11"/>
      <c r="J2425" s="11"/>
      <c r="K2425" s="11"/>
      <c r="L2425" s="11"/>
      <c r="M2425" s="15"/>
      <c r="N2425" s="15"/>
      <c r="O2425" s="15"/>
      <c r="P2425" s="15"/>
      <c r="Q2425" s="16"/>
      <c r="R2425" s="16"/>
      <c r="S2425" s="16"/>
      <c r="T2425" s="17"/>
      <c r="U2425" s="11"/>
      <c r="V2425" s="16"/>
      <c r="W2425" s="11"/>
      <c r="X2425" s="11"/>
      <c r="Y2425" s="15"/>
      <c r="Z2425" s="11"/>
    </row>
    <row r="2426" spans="1:26" x14ac:dyDescent="0.25">
      <c r="A2426" s="11"/>
      <c r="B2426" s="11"/>
      <c r="C2426" s="11"/>
      <c r="D2426" s="11"/>
      <c r="E2426" s="12"/>
      <c r="F2426" s="13"/>
      <c r="G2426" s="13"/>
      <c r="H2426" s="13"/>
      <c r="I2426" s="11"/>
      <c r="J2426" s="11"/>
      <c r="K2426" s="11"/>
      <c r="L2426" s="11"/>
      <c r="M2426" s="15"/>
      <c r="N2426" s="15"/>
      <c r="O2426" s="15"/>
      <c r="P2426" s="15"/>
      <c r="Q2426" s="16"/>
      <c r="R2426" s="16"/>
      <c r="S2426" s="16"/>
      <c r="T2426" s="17"/>
      <c r="U2426" s="11"/>
      <c r="V2426" s="16"/>
      <c r="W2426" s="11"/>
      <c r="X2426" s="11"/>
      <c r="Y2426" s="15"/>
      <c r="Z2426" s="11"/>
    </row>
    <row r="2427" spans="1:26" x14ac:dyDescent="0.25">
      <c r="A2427" s="11"/>
      <c r="B2427" s="11"/>
      <c r="C2427" s="11"/>
      <c r="D2427" s="11"/>
      <c r="E2427" s="12"/>
      <c r="F2427" s="13"/>
      <c r="G2427" s="13"/>
      <c r="H2427" s="13"/>
      <c r="I2427" s="11"/>
      <c r="J2427" s="11"/>
      <c r="K2427" s="11"/>
      <c r="L2427" s="11"/>
      <c r="M2427" s="15"/>
      <c r="N2427" s="15"/>
      <c r="O2427" s="15"/>
      <c r="P2427" s="15"/>
      <c r="Q2427" s="16"/>
      <c r="R2427" s="16"/>
      <c r="S2427" s="16"/>
      <c r="T2427" s="17"/>
      <c r="U2427" s="11"/>
      <c r="V2427" s="16"/>
      <c r="W2427" s="11"/>
      <c r="X2427" s="11"/>
      <c r="Y2427" s="15"/>
      <c r="Z2427" s="11"/>
    </row>
    <row r="2428" spans="1:26" x14ac:dyDescent="0.25">
      <c r="A2428" s="11"/>
      <c r="B2428" s="11"/>
      <c r="C2428" s="11"/>
      <c r="D2428" s="11"/>
      <c r="E2428" s="12"/>
      <c r="F2428" s="13"/>
      <c r="G2428" s="13"/>
      <c r="H2428" s="13"/>
      <c r="I2428" s="11"/>
      <c r="J2428" s="11"/>
      <c r="K2428" s="11"/>
      <c r="L2428" s="11"/>
      <c r="M2428" s="15"/>
      <c r="N2428" s="15"/>
      <c r="O2428" s="15"/>
      <c r="P2428" s="15"/>
      <c r="Q2428" s="16"/>
      <c r="R2428" s="16"/>
      <c r="S2428" s="16"/>
      <c r="T2428" s="17"/>
      <c r="U2428" s="11"/>
      <c r="V2428" s="16"/>
      <c r="W2428" s="11"/>
      <c r="X2428" s="11"/>
      <c r="Y2428" s="15"/>
      <c r="Z2428" s="11"/>
    </row>
    <row r="2429" spans="1:26" x14ac:dyDescent="0.25">
      <c r="A2429" s="19"/>
      <c r="B2429" s="19"/>
      <c r="C2429" s="19"/>
      <c r="D2429" s="19"/>
      <c r="E2429" s="19"/>
      <c r="F2429" s="20"/>
      <c r="G2429" s="13"/>
      <c r="H2429" s="20"/>
      <c r="I2429" s="19"/>
      <c r="J2429" s="19"/>
      <c r="K2429" s="19"/>
      <c r="L2429" s="19"/>
      <c r="M2429" s="21"/>
      <c r="N2429" s="21"/>
      <c r="O2429" s="21"/>
      <c r="P2429" s="21"/>
      <c r="Q2429" s="22"/>
      <c r="R2429" s="19"/>
      <c r="S2429" s="22"/>
      <c r="T2429" s="23"/>
      <c r="U2429" s="19"/>
      <c r="V2429" s="22"/>
      <c r="W2429" s="19"/>
      <c r="X2429" s="19"/>
      <c r="Y2429" s="21"/>
      <c r="Z2429" s="19"/>
    </row>
    <row r="2430" spans="1:26" x14ac:dyDescent="0.25">
      <c r="A2430" s="11"/>
      <c r="B2430" s="11"/>
      <c r="C2430" s="11"/>
      <c r="D2430" s="11"/>
      <c r="E2430" s="12"/>
      <c r="F2430" s="13"/>
      <c r="G2430" s="13"/>
      <c r="H2430" s="13"/>
      <c r="I2430" s="11"/>
      <c r="J2430" s="11"/>
      <c r="K2430" s="11"/>
      <c r="L2430" s="11"/>
      <c r="M2430" s="15"/>
      <c r="N2430" s="15"/>
      <c r="O2430" s="15"/>
      <c r="P2430" s="15"/>
      <c r="Q2430" s="16"/>
      <c r="R2430" s="16"/>
      <c r="S2430" s="16"/>
      <c r="T2430" s="17"/>
      <c r="U2430" s="11"/>
      <c r="V2430" s="16"/>
      <c r="W2430" s="11"/>
      <c r="X2430" s="11"/>
      <c r="Y2430" s="15"/>
      <c r="Z2430" s="11"/>
    </row>
    <row r="2431" spans="1:26" x14ac:dyDescent="0.25">
      <c r="A2431" s="19"/>
      <c r="B2431" s="19"/>
      <c r="C2431" s="19"/>
      <c r="D2431" s="19"/>
      <c r="E2431" s="19"/>
      <c r="F2431" s="20"/>
      <c r="G2431" s="13"/>
      <c r="H2431" s="20"/>
      <c r="I2431" s="19"/>
      <c r="J2431" s="19"/>
      <c r="K2431" s="19"/>
      <c r="L2431" s="19"/>
      <c r="M2431" s="21"/>
      <c r="N2431" s="21"/>
      <c r="O2431" s="21"/>
      <c r="P2431" s="21"/>
      <c r="Q2431" s="22"/>
      <c r="R2431" s="19"/>
      <c r="S2431" s="22"/>
      <c r="T2431" s="23"/>
      <c r="U2431" s="19"/>
      <c r="V2431" s="22"/>
      <c r="W2431" s="19"/>
      <c r="X2431" s="19"/>
      <c r="Y2431" s="21"/>
      <c r="Z2431" s="19"/>
    </row>
    <row r="2432" spans="1:26" x14ac:dyDescent="0.25">
      <c r="A2432" s="19"/>
      <c r="B2432" s="19"/>
      <c r="C2432" s="19"/>
      <c r="D2432" s="19"/>
      <c r="E2432" s="19"/>
      <c r="F2432" s="20"/>
      <c r="G2432" s="13"/>
      <c r="H2432" s="20"/>
      <c r="I2432" s="19"/>
      <c r="J2432" s="19"/>
      <c r="K2432" s="19"/>
      <c r="L2432" s="19"/>
      <c r="M2432" s="21"/>
      <c r="N2432" s="21"/>
      <c r="O2432" s="21"/>
      <c r="P2432" s="21"/>
      <c r="Q2432" s="22"/>
      <c r="R2432" s="19"/>
      <c r="S2432" s="22"/>
      <c r="T2432" s="23"/>
      <c r="U2432" s="19"/>
      <c r="V2432" s="22"/>
      <c r="W2432" s="19"/>
      <c r="X2432" s="19"/>
      <c r="Y2432" s="21"/>
      <c r="Z2432" s="19"/>
    </row>
    <row r="2433" spans="1:26" x14ac:dyDescent="0.25">
      <c r="A2433" s="11"/>
      <c r="B2433" s="11"/>
      <c r="C2433" s="11"/>
      <c r="D2433" s="11"/>
      <c r="E2433" s="12"/>
      <c r="F2433" s="13"/>
      <c r="G2433" s="13"/>
      <c r="H2433" s="13"/>
      <c r="I2433" s="11"/>
      <c r="J2433" s="11"/>
      <c r="K2433" s="11"/>
      <c r="L2433" s="11"/>
      <c r="M2433" s="15"/>
      <c r="N2433" s="15"/>
      <c r="O2433" s="15"/>
      <c r="P2433" s="15"/>
      <c r="Q2433" s="16"/>
      <c r="R2433" s="16"/>
      <c r="S2433" s="16"/>
      <c r="T2433" s="17"/>
      <c r="U2433" s="11"/>
      <c r="V2433" s="16"/>
      <c r="W2433" s="11"/>
      <c r="X2433" s="11"/>
      <c r="Y2433" s="15"/>
      <c r="Z2433" s="11"/>
    </row>
    <row r="2434" spans="1:26" x14ac:dyDescent="0.25">
      <c r="A2434" s="11"/>
      <c r="B2434" s="11"/>
      <c r="C2434" s="11"/>
      <c r="D2434" s="11"/>
      <c r="E2434" s="12"/>
      <c r="F2434" s="13"/>
      <c r="G2434" s="13"/>
      <c r="H2434" s="13"/>
      <c r="I2434" s="11"/>
      <c r="J2434" s="11"/>
      <c r="K2434" s="11"/>
      <c r="L2434" s="11"/>
      <c r="M2434" s="15"/>
      <c r="N2434" s="15"/>
      <c r="O2434" s="15"/>
      <c r="P2434" s="15"/>
      <c r="Q2434" s="16"/>
      <c r="R2434" s="16"/>
      <c r="S2434" s="16"/>
      <c r="T2434" s="17"/>
      <c r="U2434" s="11"/>
      <c r="V2434" s="16"/>
      <c r="W2434" s="11"/>
      <c r="X2434" s="11"/>
      <c r="Y2434" s="15"/>
      <c r="Z2434" s="11"/>
    </row>
    <row r="2435" spans="1:26" x14ac:dyDescent="0.25">
      <c r="A2435" s="11"/>
      <c r="B2435" s="11"/>
      <c r="C2435" s="11"/>
      <c r="D2435" s="11"/>
      <c r="E2435" s="12"/>
      <c r="F2435" s="13"/>
      <c r="G2435" s="13"/>
      <c r="H2435" s="13"/>
      <c r="I2435" s="11"/>
      <c r="J2435" s="11"/>
      <c r="K2435" s="11"/>
      <c r="L2435" s="11"/>
      <c r="M2435" s="15"/>
      <c r="N2435" s="15"/>
      <c r="O2435" s="15"/>
      <c r="P2435" s="15"/>
      <c r="Q2435" s="16"/>
      <c r="R2435" s="16"/>
      <c r="S2435" s="16"/>
      <c r="T2435" s="17"/>
      <c r="U2435" s="11"/>
      <c r="V2435" s="16"/>
      <c r="W2435" s="11"/>
      <c r="X2435" s="11"/>
      <c r="Y2435" s="15"/>
      <c r="Z2435" s="11"/>
    </row>
    <row r="2436" spans="1:26" x14ac:dyDescent="0.25">
      <c r="A2436" s="11"/>
      <c r="B2436" s="11"/>
      <c r="C2436" s="11"/>
      <c r="D2436" s="11"/>
      <c r="E2436" s="12"/>
      <c r="F2436" s="13"/>
      <c r="G2436" s="13"/>
      <c r="H2436" s="13"/>
      <c r="I2436" s="11"/>
      <c r="J2436" s="11"/>
      <c r="K2436" s="11"/>
      <c r="L2436" s="11"/>
      <c r="M2436" s="15"/>
      <c r="N2436" s="15"/>
      <c r="O2436" s="15"/>
      <c r="P2436" s="15"/>
      <c r="Q2436" s="16"/>
      <c r="R2436" s="16"/>
      <c r="S2436" s="16"/>
      <c r="T2436" s="17"/>
      <c r="U2436" s="11"/>
      <c r="V2436" s="16"/>
      <c r="W2436" s="11"/>
      <c r="X2436" s="11"/>
      <c r="Y2436" s="15"/>
      <c r="Z2436" s="11"/>
    </row>
    <row r="2437" spans="1:26" x14ac:dyDescent="0.25">
      <c r="A2437" s="11"/>
      <c r="B2437" s="11"/>
      <c r="C2437" s="11"/>
      <c r="D2437" s="11"/>
      <c r="E2437" s="12"/>
      <c r="F2437" s="13"/>
      <c r="G2437" s="13"/>
      <c r="H2437" s="13"/>
      <c r="I2437" s="11"/>
      <c r="J2437" s="11"/>
      <c r="K2437" s="11"/>
      <c r="L2437" s="11"/>
      <c r="M2437" s="15"/>
      <c r="N2437" s="15"/>
      <c r="O2437" s="15"/>
      <c r="P2437" s="15"/>
      <c r="Q2437" s="16"/>
      <c r="R2437" s="16"/>
      <c r="S2437" s="16"/>
      <c r="T2437" s="17"/>
      <c r="U2437" s="11"/>
      <c r="V2437" s="16"/>
      <c r="W2437" s="11"/>
      <c r="X2437" s="11"/>
      <c r="Y2437" s="15"/>
      <c r="Z2437" s="11"/>
    </row>
    <row r="2438" spans="1:26" x14ac:dyDescent="0.25">
      <c r="A2438" s="18"/>
      <c r="B2438" s="18"/>
      <c r="C2438" s="18"/>
      <c r="D2438" s="18"/>
      <c r="E2438" s="19"/>
      <c r="F2438" s="20"/>
      <c r="G2438" s="13"/>
      <c r="H2438" s="20"/>
      <c r="I2438" s="18"/>
      <c r="J2438" s="18"/>
      <c r="K2438" s="18"/>
      <c r="L2438" s="18"/>
      <c r="M2438" s="21"/>
      <c r="N2438" s="21"/>
      <c r="O2438" s="21"/>
      <c r="P2438" s="21"/>
      <c r="Q2438" s="22"/>
      <c r="R2438" s="19"/>
      <c r="S2438" s="22"/>
      <c r="T2438" s="23"/>
      <c r="U2438" s="18"/>
      <c r="V2438" s="22"/>
      <c r="W2438" s="18"/>
      <c r="X2438" s="18"/>
      <c r="Y2438" s="21"/>
      <c r="Z2438" s="18"/>
    </row>
    <row r="2439" spans="1:26" x14ac:dyDescent="0.25">
      <c r="A2439" s="11"/>
      <c r="B2439" s="11"/>
      <c r="C2439" s="11"/>
      <c r="D2439" s="11"/>
      <c r="E2439" s="12"/>
      <c r="F2439" s="13"/>
      <c r="G2439" s="13"/>
      <c r="H2439" s="13"/>
      <c r="I2439" s="11"/>
      <c r="J2439" s="11"/>
      <c r="K2439" s="11"/>
      <c r="L2439" s="11"/>
      <c r="M2439" s="15"/>
      <c r="N2439" s="15"/>
      <c r="O2439" s="15"/>
      <c r="P2439" s="15"/>
      <c r="Q2439" s="16"/>
      <c r="R2439" s="16"/>
      <c r="S2439" s="16"/>
      <c r="T2439" s="17"/>
      <c r="U2439" s="11"/>
      <c r="V2439" s="16"/>
      <c r="W2439" s="11"/>
      <c r="X2439" s="11"/>
      <c r="Y2439" s="15"/>
      <c r="Z2439" s="11"/>
    </row>
    <row r="2440" spans="1:26" x14ac:dyDescent="0.25">
      <c r="A2440" s="18"/>
      <c r="B2440" s="18"/>
      <c r="C2440" s="18"/>
      <c r="D2440" s="18"/>
      <c r="E2440" s="19"/>
      <c r="F2440" s="20"/>
      <c r="G2440" s="13"/>
      <c r="H2440" s="20"/>
      <c r="I2440" s="18"/>
      <c r="J2440" s="18"/>
      <c r="K2440" s="18"/>
      <c r="L2440" s="18"/>
      <c r="M2440" s="21"/>
      <c r="N2440" s="21"/>
      <c r="O2440" s="21"/>
      <c r="P2440" s="21"/>
      <c r="Q2440" s="22"/>
      <c r="R2440" s="19"/>
      <c r="S2440" s="22"/>
      <c r="T2440" s="23"/>
      <c r="U2440" s="18"/>
      <c r="V2440" s="22"/>
      <c r="W2440" s="18"/>
      <c r="X2440" s="18"/>
      <c r="Y2440" s="21"/>
      <c r="Z2440" s="18"/>
    </row>
    <row r="2441" spans="1:26" x14ac:dyDescent="0.25">
      <c r="A2441" s="11"/>
      <c r="B2441" s="11"/>
      <c r="C2441" s="11"/>
      <c r="D2441" s="11"/>
      <c r="E2441" s="12"/>
      <c r="F2441" s="13"/>
      <c r="G2441" s="13"/>
      <c r="H2441" s="13"/>
      <c r="I2441" s="11"/>
      <c r="J2441" s="11"/>
      <c r="K2441" s="11"/>
      <c r="L2441" s="11"/>
      <c r="M2441" s="15"/>
      <c r="N2441" s="15"/>
      <c r="O2441" s="15"/>
      <c r="P2441" s="15"/>
      <c r="Q2441" s="16"/>
      <c r="R2441" s="16"/>
      <c r="S2441" s="16"/>
      <c r="T2441" s="17"/>
      <c r="U2441" s="11"/>
      <c r="V2441" s="16"/>
      <c r="W2441" s="11"/>
      <c r="X2441" s="11"/>
      <c r="Y2441" s="15"/>
      <c r="Z2441" s="11"/>
    </row>
    <row r="2442" spans="1:26" x14ac:dyDescent="0.25">
      <c r="A2442" s="11"/>
      <c r="B2442" s="11"/>
      <c r="C2442" s="11"/>
      <c r="D2442" s="11"/>
      <c r="E2442" s="12"/>
      <c r="F2442" s="13"/>
      <c r="G2442" s="13"/>
      <c r="H2442" s="13"/>
      <c r="I2442" s="11"/>
      <c r="J2442" s="11"/>
      <c r="K2442" s="11"/>
      <c r="L2442" s="11"/>
      <c r="M2442" s="15"/>
      <c r="N2442" s="15"/>
      <c r="O2442" s="15"/>
      <c r="P2442" s="15"/>
      <c r="Q2442" s="16"/>
      <c r="R2442" s="16"/>
      <c r="S2442" s="16"/>
      <c r="T2442" s="17"/>
      <c r="U2442" s="11"/>
      <c r="V2442" s="16"/>
      <c r="W2442" s="11"/>
      <c r="X2442" s="11"/>
      <c r="Y2442" s="15"/>
      <c r="Z2442" s="11"/>
    </row>
    <row r="2443" spans="1:26" x14ac:dyDescent="0.25">
      <c r="A2443" s="11"/>
      <c r="B2443" s="11"/>
      <c r="C2443" s="11"/>
      <c r="D2443" s="11"/>
      <c r="E2443" s="12"/>
      <c r="F2443" s="13"/>
      <c r="G2443" s="13"/>
      <c r="H2443" s="13"/>
      <c r="I2443" s="11"/>
      <c r="J2443" s="11"/>
      <c r="K2443" s="11"/>
      <c r="L2443" s="11"/>
      <c r="M2443" s="15"/>
      <c r="N2443" s="15"/>
      <c r="O2443" s="15"/>
      <c r="P2443" s="15"/>
      <c r="Q2443" s="16"/>
      <c r="R2443" s="16"/>
      <c r="S2443" s="16"/>
      <c r="T2443" s="17"/>
      <c r="U2443" s="11"/>
      <c r="V2443" s="16"/>
      <c r="W2443" s="11"/>
      <c r="X2443" s="11"/>
      <c r="Y2443" s="15"/>
      <c r="Z2443" s="11"/>
    </row>
    <row r="2444" spans="1:26" x14ac:dyDescent="0.25">
      <c r="A2444" s="11"/>
      <c r="B2444" s="11"/>
      <c r="C2444" s="11"/>
      <c r="D2444" s="11"/>
      <c r="E2444" s="12"/>
      <c r="F2444" s="13"/>
      <c r="G2444" s="13"/>
      <c r="H2444" s="13"/>
      <c r="I2444" s="11"/>
      <c r="J2444" s="11"/>
      <c r="K2444" s="11"/>
      <c r="L2444" s="11"/>
      <c r="M2444" s="15"/>
      <c r="N2444" s="15"/>
      <c r="O2444" s="15"/>
      <c r="P2444" s="15"/>
      <c r="Q2444" s="16"/>
      <c r="R2444" s="16"/>
      <c r="S2444" s="16"/>
      <c r="T2444" s="17"/>
      <c r="U2444" s="11"/>
      <c r="V2444" s="16"/>
      <c r="W2444" s="11"/>
      <c r="X2444" s="11"/>
      <c r="Y2444" s="15"/>
      <c r="Z2444" s="11"/>
    </row>
    <row r="2445" spans="1:26" x14ac:dyDescent="0.25">
      <c r="A2445" s="18"/>
      <c r="B2445" s="18"/>
      <c r="C2445" s="18"/>
      <c r="D2445" s="18"/>
      <c r="E2445" s="19"/>
      <c r="F2445" s="20"/>
      <c r="G2445" s="13"/>
      <c r="H2445" s="20"/>
      <c r="I2445" s="18"/>
      <c r="J2445" s="18"/>
      <c r="K2445" s="18"/>
      <c r="L2445" s="18"/>
      <c r="M2445" s="21"/>
      <c r="N2445" s="21"/>
      <c r="O2445" s="21"/>
      <c r="P2445" s="21"/>
      <c r="Q2445" s="22"/>
      <c r="R2445" s="19"/>
      <c r="S2445" s="22"/>
      <c r="T2445" s="23"/>
      <c r="U2445" s="18"/>
      <c r="V2445" s="22"/>
      <c r="W2445" s="18"/>
      <c r="X2445" s="18"/>
      <c r="Y2445" s="21"/>
      <c r="Z2445" s="18"/>
    </row>
    <row r="2446" spans="1:26" x14ac:dyDescent="0.25">
      <c r="A2446" s="11"/>
      <c r="B2446" s="11"/>
      <c r="C2446" s="11"/>
      <c r="D2446" s="11"/>
      <c r="E2446" s="12"/>
      <c r="F2446" s="13"/>
      <c r="G2446" s="13"/>
      <c r="H2446" s="13"/>
      <c r="I2446" s="11"/>
      <c r="J2446" s="11"/>
      <c r="K2446" s="11"/>
      <c r="L2446" s="11"/>
      <c r="M2446" s="15"/>
      <c r="N2446" s="15"/>
      <c r="O2446" s="15"/>
      <c r="P2446" s="15"/>
      <c r="Q2446" s="16"/>
      <c r="R2446" s="16"/>
      <c r="S2446" s="16"/>
      <c r="T2446" s="17"/>
      <c r="U2446" s="11"/>
      <c r="V2446" s="16"/>
      <c r="W2446" s="11"/>
      <c r="X2446" s="11"/>
      <c r="Y2446" s="15"/>
      <c r="Z2446" s="11"/>
    </row>
    <row r="2447" spans="1:26" x14ac:dyDescent="0.25">
      <c r="A2447" s="11"/>
      <c r="B2447" s="11"/>
      <c r="C2447" s="11"/>
      <c r="D2447" s="11"/>
      <c r="E2447" s="12"/>
      <c r="F2447" s="13"/>
      <c r="G2447" s="13"/>
      <c r="H2447" s="13"/>
      <c r="I2447" s="11"/>
      <c r="J2447" s="11"/>
      <c r="K2447" s="11"/>
      <c r="L2447" s="11"/>
      <c r="M2447" s="15"/>
      <c r="N2447" s="15"/>
      <c r="O2447" s="15"/>
      <c r="P2447" s="15"/>
      <c r="Q2447" s="16"/>
      <c r="R2447" s="16"/>
      <c r="S2447" s="16"/>
      <c r="T2447" s="17"/>
      <c r="U2447" s="11"/>
      <c r="V2447" s="16"/>
      <c r="W2447" s="11"/>
      <c r="X2447" s="11"/>
      <c r="Y2447" s="15"/>
      <c r="Z2447" s="11"/>
    </row>
    <row r="2448" spans="1:26" x14ac:dyDescent="0.25">
      <c r="A2448" s="19"/>
      <c r="B2448" s="19"/>
      <c r="C2448" s="19"/>
      <c r="D2448" s="19"/>
      <c r="E2448" s="19"/>
      <c r="F2448" s="20"/>
      <c r="G2448" s="13"/>
      <c r="H2448" s="20"/>
      <c r="I2448" s="19"/>
      <c r="J2448" s="19"/>
      <c r="K2448" s="19"/>
      <c r="L2448" s="19"/>
      <c r="M2448" s="21"/>
      <c r="N2448" s="21"/>
      <c r="O2448" s="21"/>
      <c r="P2448" s="21"/>
      <c r="Q2448" s="22"/>
      <c r="R2448" s="19"/>
      <c r="S2448" s="22"/>
      <c r="T2448" s="23"/>
      <c r="U2448" s="19"/>
      <c r="V2448" s="22"/>
      <c r="W2448" s="19"/>
      <c r="X2448" s="19"/>
      <c r="Y2448" s="21"/>
      <c r="Z2448" s="19"/>
    </row>
    <row r="2449" spans="1:26" x14ac:dyDescent="0.25">
      <c r="A2449" s="11"/>
      <c r="B2449" s="11"/>
      <c r="C2449" s="11"/>
      <c r="D2449" s="11"/>
      <c r="E2449" s="12"/>
      <c r="F2449" s="13"/>
      <c r="G2449" s="13"/>
      <c r="H2449" s="13"/>
      <c r="I2449" s="11"/>
      <c r="J2449" s="11"/>
      <c r="K2449" s="11"/>
      <c r="L2449" s="11"/>
      <c r="M2449" s="15"/>
      <c r="N2449" s="15"/>
      <c r="O2449" s="15"/>
      <c r="P2449" s="15"/>
      <c r="Q2449" s="16"/>
      <c r="R2449" s="16"/>
      <c r="S2449" s="16"/>
      <c r="T2449" s="17"/>
      <c r="U2449" s="11"/>
      <c r="V2449" s="16"/>
      <c r="W2449" s="11"/>
      <c r="X2449" s="11"/>
      <c r="Y2449" s="15"/>
      <c r="Z2449" s="11"/>
    </row>
    <row r="2450" spans="1:26" x14ac:dyDescent="0.25">
      <c r="A2450" s="11"/>
      <c r="B2450" s="11"/>
      <c r="C2450" s="11"/>
      <c r="D2450" s="11"/>
      <c r="E2450" s="12"/>
      <c r="F2450" s="13"/>
      <c r="G2450" s="13"/>
      <c r="H2450" s="13"/>
      <c r="I2450" s="11"/>
      <c r="J2450" s="11"/>
      <c r="K2450" s="11"/>
      <c r="L2450" s="11"/>
      <c r="M2450" s="15"/>
      <c r="N2450" s="15"/>
      <c r="O2450" s="15"/>
      <c r="P2450" s="15"/>
      <c r="Q2450" s="16"/>
      <c r="R2450" s="16"/>
      <c r="S2450" s="16"/>
      <c r="T2450" s="17"/>
      <c r="U2450" s="11"/>
      <c r="V2450" s="16"/>
      <c r="W2450" s="11"/>
      <c r="X2450" s="11"/>
      <c r="Y2450" s="15"/>
      <c r="Z2450" s="11"/>
    </row>
    <row r="2451" spans="1:26" x14ac:dyDescent="0.25">
      <c r="A2451" s="18"/>
      <c r="B2451" s="18"/>
      <c r="C2451" s="18"/>
      <c r="D2451" s="18"/>
      <c r="E2451" s="19"/>
      <c r="F2451" s="20"/>
      <c r="G2451" s="13"/>
      <c r="H2451" s="20"/>
      <c r="I2451" s="18"/>
      <c r="J2451" s="18"/>
      <c r="K2451" s="18"/>
      <c r="L2451" s="18"/>
      <c r="M2451" s="21"/>
      <c r="N2451" s="21"/>
      <c r="O2451" s="21"/>
      <c r="P2451" s="21"/>
      <c r="Q2451" s="22"/>
      <c r="R2451" s="19"/>
      <c r="S2451" s="22"/>
      <c r="T2451" s="23"/>
      <c r="U2451" s="18"/>
      <c r="V2451" s="22"/>
      <c r="W2451" s="18"/>
      <c r="X2451" s="18"/>
      <c r="Y2451" s="21"/>
      <c r="Z2451" s="18"/>
    </row>
    <row r="2452" spans="1:26" x14ac:dyDescent="0.25">
      <c r="A2452" s="11"/>
      <c r="B2452" s="11"/>
      <c r="C2452" s="11"/>
      <c r="D2452" s="11"/>
      <c r="E2452" s="12"/>
      <c r="F2452" s="13"/>
      <c r="G2452" s="13"/>
      <c r="H2452" s="13"/>
      <c r="I2452" s="11"/>
      <c r="J2452" s="11"/>
      <c r="K2452" s="11"/>
      <c r="L2452" s="11"/>
      <c r="M2452" s="15"/>
      <c r="N2452" s="15"/>
      <c r="O2452" s="15"/>
      <c r="P2452" s="15"/>
      <c r="Q2452" s="16"/>
      <c r="R2452" s="16"/>
      <c r="S2452" s="16"/>
      <c r="T2452" s="17"/>
      <c r="U2452" s="11"/>
      <c r="V2452" s="16"/>
      <c r="W2452" s="11"/>
      <c r="X2452" s="11"/>
      <c r="Y2452" s="15"/>
      <c r="Z2452" s="11"/>
    </row>
    <row r="2453" spans="1:26" x14ac:dyDescent="0.25">
      <c r="A2453" s="11"/>
      <c r="B2453" s="11"/>
      <c r="C2453" s="11"/>
      <c r="D2453" s="11"/>
      <c r="E2453" s="12"/>
      <c r="F2453" s="13"/>
      <c r="G2453" s="13"/>
      <c r="H2453" s="13"/>
      <c r="I2453" s="11"/>
      <c r="J2453" s="11"/>
      <c r="K2453" s="11"/>
      <c r="L2453" s="11"/>
      <c r="M2453" s="15"/>
      <c r="N2453" s="15"/>
      <c r="O2453" s="15"/>
      <c r="P2453" s="15"/>
      <c r="Q2453" s="16"/>
      <c r="R2453" s="16"/>
      <c r="S2453" s="16"/>
      <c r="T2453" s="17"/>
      <c r="U2453" s="11"/>
      <c r="V2453" s="16"/>
      <c r="W2453" s="11"/>
      <c r="X2453" s="11"/>
      <c r="Y2453" s="15"/>
      <c r="Z2453" s="11"/>
    </row>
    <row r="2454" spans="1:26" x14ac:dyDescent="0.25">
      <c r="A2454" s="11"/>
      <c r="B2454" s="11"/>
      <c r="C2454" s="11"/>
      <c r="D2454" s="11"/>
      <c r="E2454" s="12"/>
      <c r="F2454" s="13"/>
      <c r="G2454" s="13"/>
      <c r="H2454" s="13"/>
      <c r="I2454" s="11"/>
      <c r="J2454" s="11"/>
      <c r="K2454" s="11"/>
      <c r="L2454" s="11"/>
      <c r="M2454" s="15"/>
      <c r="N2454" s="15"/>
      <c r="O2454" s="15"/>
      <c r="P2454" s="15"/>
      <c r="Q2454" s="16"/>
      <c r="R2454" s="16"/>
      <c r="S2454" s="16"/>
      <c r="T2454" s="17"/>
      <c r="U2454" s="11"/>
      <c r="V2454" s="16"/>
      <c r="W2454" s="11"/>
      <c r="X2454" s="11"/>
      <c r="Y2454" s="15"/>
      <c r="Z2454" s="11"/>
    </row>
    <row r="2455" spans="1:26" x14ac:dyDescent="0.25">
      <c r="A2455" s="11"/>
      <c r="B2455" s="11"/>
      <c r="C2455" s="11"/>
      <c r="D2455" s="11"/>
      <c r="E2455" s="12"/>
      <c r="F2455" s="13"/>
      <c r="G2455" s="13"/>
      <c r="H2455" s="13"/>
      <c r="I2455" s="11"/>
      <c r="J2455" s="11"/>
      <c r="K2455" s="11"/>
      <c r="L2455" s="11"/>
      <c r="M2455" s="15"/>
      <c r="N2455" s="15"/>
      <c r="O2455" s="15"/>
      <c r="P2455" s="15"/>
      <c r="Q2455" s="16"/>
      <c r="R2455" s="16"/>
      <c r="S2455" s="16"/>
      <c r="T2455" s="17"/>
      <c r="U2455" s="11"/>
      <c r="V2455" s="16"/>
      <c r="W2455" s="11"/>
      <c r="X2455" s="11"/>
      <c r="Y2455" s="15"/>
      <c r="Z2455" s="11"/>
    </row>
    <row r="2456" spans="1:26" x14ac:dyDescent="0.25">
      <c r="A2456" s="11"/>
      <c r="B2456" s="11"/>
      <c r="C2456" s="11"/>
      <c r="D2456" s="11"/>
      <c r="E2456" s="12"/>
      <c r="F2456" s="13"/>
      <c r="G2456" s="13"/>
      <c r="H2456" s="13"/>
      <c r="I2456" s="11"/>
      <c r="J2456" s="11"/>
      <c r="K2456" s="11"/>
      <c r="L2456" s="11"/>
      <c r="M2456" s="15"/>
      <c r="N2456" s="15"/>
      <c r="O2456" s="15"/>
      <c r="P2456" s="15"/>
      <c r="Q2456" s="16"/>
      <c r="R2456" s="16"/>
      <c r="S2456" s="16"/>
      <c r="T2456" s="17"/>
      <c r="U2456" s="11"/>
      <c r="V2456" s="16"/>
      <c r="W2456" s="11"/>
      <c r="X2456" s="11"/>
      <c r="Y2456" s="15"/>
      <c r="Z2456" s="11"/>
    </row>
    <row r="2457" spans="1:26" x14ac:dyDescent="0.25">
      <c r="A2457" s="11"/>
      <c r="B2457" s="11"/>
      <c r="C2457" s="11"/>
      <c r="D2457" s="11"/>
      <c r="E2457" s="12"/>
      <c r="F2457" s="13"/>
      <c r="G2457" s="13"/>
      <c r="H2457" s="13"/>
      <c r="I2457" s="11"/>
      <c r="J2457" s="11"/>
      <c r="K2457" s="11"/>
      <c r="L2457" s="11"/>
      <c r="M2457" s="15"/>
      <c r="N2457" s="15"/>
      <c r="O2457" s="15"/>
      <c r="P2457" s="15"/>
      <c r="Q2457" s="16"/>
      <c r="R2457" s="16"/>
      <c r="S2457" s="16"/>
      <c r="T2457" s="17"/>
      <c r="U2457" s="11"/>
      <c r="V2457" s="16"/>
      <c r="W2457" s="11"/>
      <c r="X2457" s="11"/>
      <c r="Y2457" s="15"/>
      <c r="Z2457" s="11"/>
    </row>
    <row r="2458" spans="1:26" x14ac:dyDescent="0.25">
      <c r="A2458" s="19"/>
      <c r="B2458" s="19"/>
      <c r="C2458" s="19"/>
      <c r="D2458" s="19"/>
      <c r="E2458" s="19"/>
      <c r="F2458" s="20"/>
      <c r="G2458" s="13"/>
      <c r="H2458" s="20"/>
      <c r="I2458" s="19"/>
      <c r="J2458" s="19"/>
      <c r="K2458" s="19"/>
      <c r="L2458" s="19"/>
      <c r="M2458" s="21"/>
      <c r="N2458" s="21"/>
      <c r="O2458" s="21"/>
      <c r="P2458" s="21"/>
      <c r="Q2458" s="22"/>
      <c r="R2458" s="19"/>
      <c r="S2458" s="22"/>
      <c r="T2458" s="23"/>
      <c r="U2458" s="19"/>
      <c r="V2458" s="22"/>
      <c r="W2458" s="19"/>
      <c r="X2458" s="19"/>
      <c r="Y2458" s="21"/>
      <c r="Z2458" s="19"/>
    </row>
    <row r="2459" spans="1:26" x14ac:dyDescent="0.25">
      <c r="A2459" s="19"/>
      <c r="B2459" s="19"/>
      <c r="C2459" s="19"/>
      <c r="D2459" s="19"/>
      <c r="E2459" s="19"/>
      <c r="F2459" s="20"/>
      <c r="G2459" s="13"/>
      <c r="H2459" s="20"/>
      <c r="I2459" s="19"/>
      <c r="J2459" s="19"/>
      <c r="K2459" s="19"/>
      <c r="L2459" s="19"/>
      <c r="M2459" s="21"/>
      <c r="N2459" s="21"/>
      <c r="O2459" s="21"/>
      <c r="P2459" s="21"/>
      <c r="Q2459" s="22"/>
      <c r="R2459" s="19"/>
      <c r="S2459" s="22"/>
      <c r="T2459" s="23"/>
      <c r="U2459" s="19"/>
      <c r="V2459" s="22"/>
      <c r="W2459" s="19"/>
      <c r="X2459" s="19"/>
      <c r="Y2459" s="21"/>
      <c r="Z2459" s="19"/>
    </row>
    <row r="2460" spans="1:26" x14ac:dyDescent="0.25">
      <c r="A2460" s="11"/>
      <c r="B2460" s="11"/>
      <c r="C2460" s="11"/>
      <c r="D2460" s="11"/>
      <c r="E2460" s="12"/>
      <c r="F2460" s="13"/>
      <c r="G2460" s="13"/>
      <c r="H2460" s="13"/>
      <c r="I2460" s="11"/>
      <c r="J2460" s="11"/>
      <c r="K2460" s="11"/>
      <c r="L2460" s="11"/>
      <c r="M2460" s="15"/>
      <c r="N2460" s="15"/>
      <c r="O2460" s="15"/>
      <c r="P2460" s="15"/>
      <c r="Q2460" s="16"/>
      <c r="R2460" s="16"/>
      <c r="S2460" s="16"/>
      <c r="T2460" s="17"/>
      <c r="U2460" s="11"/>
      <c r="V2460" s="16"/>
      <c r="W2460" s="11"/>
      <c r="X2460" s="11"/>
      <c r="Y2460" s="15"/>
      <c r="Z2460" s="11"/>
    </row>
    <row r="2461" spans="1:26" x14ac:dyDescent="0.25">
      <c r="A2461" s="11"/>
      <c r="B2461" s="11"/>
      <c r="C2461" s="11"/>
      <c r="D2461" s="11"/>
      <c r="E2461" s="12"/>
      <c r="F2461" s="13"/>
      <c r="G2461" s="13"/>
      <c r="H2461" s="13"/>
      <c r="I2461" s="11"/>
      <c r="J2461" s="11"/>
      <c r="K2461" s="11"/>
      <c r="L2461" s="11"/>
      <c r="M2461" s="15"/>
      <c r="N2461" s="15"/>
      <c r="O2461" s="15"/>
      <c r="P2461" s="15"/>
      <c r="Q2461" s="16"/>
      <c r="R2461" s="16"/>
      <c r="S2461" s="16"/>
      <c r="T2461" s="17"/>
      <c r="U2461" s="11"/>
      <c r="V2461" s="16"/>
      <c r="W2461" s="11"/>
      <c r="X2461" s="11"/>
      <c r="Y2461" s="15"/>
      <c r="Z2461" s="11"/>
    </row>
    <row r="2462" spans="1:26" x14ac:dyDescent="0.25">
      <c r="A2462" s="11"/>
      <c r="B2462" s="11"/>
      <c r="C2462" s="11"/>
      <c r="D2462" s="11"/>
      <c r="E2462" s="12"/>
      <c r="F2462" s="13"/>
      <c r="G2462" s="13"/>
      <c r="H2462" s="13"/>
      <c r="I2462" s="11"/>
      <c r="J2462" s="11"/>
      <c r="K2462" s="11"/>
      <c r="L2462" s="11"/>
      <c r="M2462" s="15"/>
      <c r="N2462" s="15"/>
      <c r="O2462" s="15"/>
      <c r="P2462" s="15"/>
      <c r="Q2462" s="16"/>
      <c r="R2462" s="16"/>
      <c r="S2462" s="16"/>
      <c r="T2462" s="17"/>
      <c r="U2462" s="11"/>
      <c r="V2462" s="16"/>
      <c r="W2462" s="11"/>
      <c r="X2462" s="11"/>
      <c r="Y2462" s="15"/>
      <c r="Z2462" s="11"/>
    </row>
    <row r="2463" spans="1:26" x14ac:dyDescent="0.25">
      <c r="A2463" s="11"/>
      <c r="B2463" s="11"/>
      <c r="C2463" s="11"/>
      <c r="D2463" s="11"/>
      <c r="E2463" s="12"/>
      <c r="F2463" s="13"/>
      <c r="G2463" s="13"/>
      <c r="H2463" s="13"/>
      <c r="I2463" s="11"/>
      <c r="J2463" s="11"/>
      <c r="K2463" s="11"/>
      <c r="L2463" s="11"/>
      <c r="M2463" s="15"/>
      <c r="N2463" s="15"/>
      <c r="O2463" s="15"/>
      <c r="P2463" s="15"/>
      <c r="Q2463" s="16"/>
      <c r="R2463" s="16"/>
      <c r="S2463" s="16"/>
      <c r="T2463" s="17"/>
      <c r="U2463" s="11"/>
      <c r="V2463" s="16"/>
      <c r="W2463" s="11"/>
      <c r="X2463" s="11"/>
      <c r="Y2463" s="15"/>
      <c r="Z2463" s="11"/>
    </row>
    <row r="2464" spans="1:26" x14ac:dyDescent="0.25">
      <c r="A2464" s="19"/>
      <c r="B2464" s="19"/>
      <c r="C2464" s="19"/>
      <c r="D2464" s="19"/>
      <c r="E2464" s="19"/>
      <c r="F2464" s="20"/>
      <c r="G2464" s="13"/>
      <c r="H2464" s="20"/>
      <c r="I2464" s="19"/>
      <c r="J2464" s="19"/>
      <c r="K2464" s="19"/>
      <c r="L2464" s="19"/>
      <c r="M2464" s="21"/>
      <c r="N2464" s="21"/>
      <c r="O2464" s="21"/>
      <c r="P2464" s="21"/>
      <c r="Q2464" s="22"/>
      <c r="R2464" s="19"/>
      <c r="S2464" s="22"/>
      <c r="T2464" s="23"/>
      <c r="U2464" s="19"/>
      <c r="V2464" s="22"/>
      <c r="W2464" s="19"/>
      <c r="X2464" s="19"/>
      <c r="Y2464" s="21"/>
      <c r="Z2464" s="19"/>
    </row>
    <row r="2465" spans="1:26" x14ac:dyDescent="0.25">
      <c r="A2465" s="11"/>
      <c r="B2465" s="11"/>
      <c r="C2465" s="11"/>
      <c r="D2465" s="11"/>
      <c r="E2465" s="12"/>
      <c r="F2465" s="13"/>
      <c r="G2465" s="13"/>
      <c r="H2465" s="13"/>
      <c r="I2465" s="11"/>
      <c r="J2465" s="11"/>
      <c r="K2465" s="11"/>
      <c r="L2465" s="11"/>
      <c r="M2465" s="15"/>
      <c r="N2465" s="15"/>
      <c r="O2465" s="15"/>
      <c r="P2465" s="15"/>
      <c r="Q2465" s="16"/>
      <c r="R2465" s="16"/>
      <c r="S2465" s="16"/>
      <c r="T2465" s="17"/>
      <c r="U2465" s="11"/>
      <c r="V2465" s="16"/>
      <c r="W2465" s="11"/>
      <c r="X2465" s="11"/>
      <c r="Y2465" s="15"/>
      <c r="Z2465" s="11"/>
    </row>
    <row r="2466" spans="1:26" x14ac:dyDescent="0.25">
      <c r="A2466" s="18"/>
      <c r="B2466" s="18"/>
      <c r="C2466" s="18"/>
      <c r="D2466" s="18"/>
      <c r="E2466" s="19"/>
      <c r="F2466" s="20"/>
      <c r="G2466" s="14"/>
      <c r="H2466" s="20"/>
      <c r="I2466" s="18"/>
      <c r="J2466" s="18"/>
      <c r="K2466" s="18"/>
      <c r="L2466" s="18"/>
      <c r="M2466" s="21"/>
      <c r="N2466" s="21"/>
      <c r="O2466" s="21"/>
      <c r="P2466" s="21"/>
      <c r="Q2466" s="22"/>
      <c r="R2466" s="19"/>
      <c r="S2466" s="22"/>
      <c r="T2466" s="23"/>
      <c r="U2466" s="18"/>
      <c r="V2466" s="22"/>
      <c r="W2466" s="18"/>
      <c r="X2466" s="18"/>
      <c r="Y2466" s="21"/>
      <c r="Z2466" s="18"/>
    </row>
    <row r="2467" spans="1:26" x14ac:dyDescent="0.25">
      <c r="A2467" s="11"/>
      <c r="B2467" s="11"/>
      <c r="C2467" s="11"/>
      <c r="D2467" s="11"/>
      <c r="E2467" s="12"/>
      <c r="F2467" s="13"/>
      <c r="G2467" s="14"/>
      <c r="H2467" s="13"/>
      <c r="I2467" s="11"/>
      <c r="J2467" s="11"/>
      <c r="K2467" s="11"/>
      <c r="L2467" s="11"/>
      <c r="M2467" s="15"/>
      <c r="N2467" s="15"/>
      <c r="O2467" s="15"/>
      <c r="P2467" s="15"/>
      <c r="Q2467" s="16"/>
      <c r="R2467" s="16"/>
      <c r="S2467" s="16"/>
      <c r="T2467" s="17"/>
      <c r="U2467" s="11"/>
      <c r="V2467" s="16"/>
      <c r="W2467" s="11"/>
      <c r="X2467" s="11"/>
      <c r="Y2467" s="15"/>
      <c r="Z2467" s="11"/>
    </row>
    <row r="2468" spans="1:26" x14ac:dyDescent="0.25">
      <c r="A2468" s="11"/>
      <c r="B2468" s="11"/>
      <c r="C2468" s="11"/>
      <c r="D2468" s="11"/>
      <c r="E2468" s="12"/>
      <c r="F2468" s="13"/>
      <c r="G2468" s="14"/>
      <c r="H2468" s="13"/>
      <c r="I2468" s="11"/>
      <c r="J2468" s="11"/>
      <c r="K2468" s="11"/>
      <c r="L2468" s="11"/>
      <c r="M2468" s="15"/>
      <c r="N2468" s="15"/>
      <c r="O2468" s="15"/>
      <c r="P2468" s="15"/>
      <c r="Q2468" s="16"/>
      <c r="R2468" s="16"/>
      <c r="S2468" s="16"/>
      <c r="T2468" s="17"/>
      <c r="U2468" s="11"/>
      <c r="V2468" s="16"/>
      <c r="W2468" s="11"/>
      <c r="X2468" s="11"/>
      <c r="Y2468" s="15"/>
      <c r="Z2468" s="11"/>
    </row>
    <row r="2469" spans="1:26" x14ac:dyDescent="0.25">
      <c r="A2469" s="18"/>
      <c r="B2469" s="18"/>
      <c r="C2469" s="18"/>
      <c r="D2469" s="18"/>
      <c r="E2469" s="19"/>
      <c r="F2469" s="20"/>
      <c r="G2469" s="14"/>
      <c r="H2469" s="20"/>
      <c r="I2469" s="18"/>
      <c r="J2469" s="18"/>
      <c r="K2469" s="18"/>
      <c r="L2469" s="18"/>
      <c r="M2469" s="21"/>
      <c r="N2469" s="21"/>
      <c r="O2469" s="21"/>
      <c r="P2469" s="21"/>
      <c r="Q2469" s="22"/>
      <c r="R2469" s="19"/>
      <c r="S2469" s="22"/>
      <c r="T2469" s="23"/>
      <c r="U2469" s="18"/>
      <c r="V2469" s="22"/>
      <c r="W2469" s="18"/>
      <c r="X2469" s="18"/>
      <c r="Y2469" s="21"/>
      <c r="Z2469" s="18"/>
    </row>
    <row r="2470" spans="1:26" x14ac:dyDescent="0.25">
      <c r="A2470" s="18"/>
      <c r="B2470" s="18"/>
      <c r="C2470" s="18"/>
      <c r="D2470" s="18"/>
      <c r="E2470" s="19"/>
      <c r="F2470" s="20"/>
      <c r="G2470" s="14"/>
      <c r="H2470" s="20"/>
      <c r="I2470" s="18"/>
      <c r="J2470" s="18"/>
      <c r="K2470" s="18"/>
      <c r="L2470" s="18"/>
      <c r="M2470" s="21"/>
      <c r="N2470" s="21"/>
      <c r="O2470" s="21"/>
      <c r="P2470" s="21"/>
      <c r="Q2470" s="22"/>
      <c r="R2470" s="19"/>
      <c r="S2470" s="22"/>
      <c r="T2470" s="23"/>
      <c r="U2470" s="18"/>
      <c r="V2470" s="22"/>
      <c r="W2470" s="18"/>
      <c r="X2470" s="18"/>
      <c r="Y2470" s="21"/>
      <c r="Z2470" s="18"/>
    </row>
    <row r="2471" spans="1:26" x14ac:dyDescent="0.25">
      <c r="A2471" s="18"/>
      <c r="B2471" s="18"/>
      <c r="C2471" s="18"/>
      <c r="D2471" s="18"/>
      <c r="E2471" s="19"/>
      <c r="F2471" s="20"/>
      <c r="G2471" s="14"/>
      <c r="H2471" s="20"/>
      <c r="I2471" s="18"/>
      <c r="J2471" s="18"/>
      <c r="K2471" s="18"/>
      <c r="L2471" s="18"/>
      <c r="M2471" s="21"/>
      <c r="N2471" s="21"/>
      <c r="O2471" s="21"/>
      <c r="P2471" s="21"/>
      <c r="Q2471" s="22"/>
      <c r="R2471" s="19"/>
      <c r="S2471" s="22"/>
      <c r="T2471" s="23"/>
      <c r="U2471" s="18"/>
      <c r="V2471" s="22"/>
      <c r="W2471" s="18"/>
      <c r="X2471" s="18"/>
      <c r="Y2471" s="21"/>
      <c r="Z2471" s="18"/>
    </row>
    <row r="2472" spans="1:26" x14ac:dyDescent="0.25">
      <c r="A2472" s="11"/>
      <c r="B2472" s="11"/>
      <c r="C2472" s="11"/>
      <c r="D2472" s="11"/>
      <c r="E2472" s="12"/>
      <c r="F2472" s="13"/>
      <c r="G2472" s="14"/>
      <c r="H2472" s="13"/>
      <c r="I2472" s="11"/>
      <c r="J2472" s="11"/>
      <c r="K2472" s="11"/>
      <c r="L2472" s="11"/>
      <c r="M2472" s="15"/>
      <c r="N2472" s="15"/>
      <c r="O2472" s="15"/>
      <c r="P2472" s="15"/>
      <c r="Q2472" s="16"/>
      <c r="R2472" s="16"/>
      <c r="S2472" s="16"/>
      <c r="T2472" s="17"/>
      <c r="U2472" s="11"/>
      <c r="V2472" s="16"/>
      <c r="W2472" s="11"/>
      <c r="X2472" s="11"/>
      <c r="Y2472" s="15"/>
      <c r="Z2472" s="11"/>
    </row>
    <row r="2473" spans="1:26" x14ac:dyDescent="0.25">
      <c r="A2473" s="11"/>
      <c r="B2473" s="11"/>
      <c r="C2473" s="11"/>
      <c r="D2473" s="11"/>
      <c r="E2473" s="12"/>
      <c r="F2473" s="13"/>
      <c r="G2473" s="14"/>
      <c r="H2473" s="13"/>
      <c r="I2473" s="11"/>
      <c r="J2473" s="11"/>
      <c r="K2473" s="11"/>
      <c r="L2473" s="11"/>
      <c r="M2473" s="15"/>
      <c r="N2473" s="15"/>
      <c r="O2473" s="15"/>
      <c r="P2473" s="15"/>
      <c r="Q2473" s="16"/>
      <c r="R2473" s="16"/>
      <c r="S2473" s="16"/>
      <c r="T2473" s="17"/>
      <c r="U2473" s="11"/>
      <c r="V2473" s="16"/>
      <c r="W2473" s="11"/>
      <c r="X2473" s="11"/>
      <c r="Y2473" s="15"/>
      <c r="Z2473" s="11"/>
    </row>
    <row r="2474" spans="1:26" x14ac:dyDescent="0.25">
      <c r="A2474" s="11"/>
      <c r="B2474" s="11"/>
      <c r="C2474" s="11"/>
      <c r="D2474" s="11"/>
      <c r="E2474" s="12"/>
      <c r="F2474" s="13"/>
      <c r="G2474" s="14"/>
      <c r="H2474" s="13"/>
      <c r="I2474" s="11"/>
      <c r="J2474" s="11"/>
      <c r="K2474" s="11"/>
      <c r="L2474" s="11"/>
      <c r="M2474" s="15"/>
      <c r="N2474" s="15"/>
      <c r="O2474" s="15"/>
      <c r="P2474" s="15"/>
      <c r="Q2474" s="16"/>
      <c r="R2474" s="16"/>
      <c r="S2474" s="16"/>
      <c r="T2474" s="17"/>
      <c r="U2474" s="11"/>
      <c r="V2474" s="16"/>
      <c r="W2474" s="11"/>
      <c r="X2474" s="11"/>
      <c r="Y2474" s="15"/>
      <c r="Z2474" s="11"/>
    </row>
    <row r="2475" spans="1:26" x14ac:dyDescent="0.25">
      <c r="A2475" s="11"/>
      <c r="B2475" s="11"/>
      <c r="C2475" s="11"/>
      <c r="D2475" s="11"/>
      <c r="E2475" s="12"/>
      <c r="F2475" s="13"/>
      <c r="G2475" s="14"/>
      <c r="H2475" s="13"/>
      <c r="I2475" s="11"/>
      <c r="J2475" s="11"/>
      <c r="K2475" s="11"/>
      <c r="L2475" s="11"/>
      <c r="M2475" s="15"/>
      <c r="N2475" s="15"/>
      <c r="O2475" s="15"/>
      <c r="P2475" s="15"/>
      <c r="Q2475" s="16"/>
      <c r="R2475" s="16"/>
      <c r="S2475" s="16"/>
      <c r="T2475" s="17"/>
      <c r="U2475" s="11"/>
      <c r="V2475" s="16"/>
      <c r="W2475" s="11"/>
      <c r="X2475" s="11"/>
      <c r="Y2475" s="15"/>
      <c r="Z2475" s="11"/>
    </row>
    <row r="2476" spans="1:26" x14ac:dyDescent="0.25">
      <c r="A2476" s="11"/>
      <c r="B2476" s="11"/>
      <c r="C2476" s="11"/>
      <c r="D2476" s="11"/>
      <c r="E2476" s="12"/>
      <c r="F2476" s="13"/>
      <c r="G2476" s="14"/>
      <c r="H2476" s="13"/>
      <c r="I2476" s="11"/>
      <c r="J2476" s="11"/>
      <c r="K2476" s="11"/>
      <c r="L2476" s="11"/>
      <c r="M2476" s="15"/>
      <c r="N2476" s="15"/>
      <c r="O2476" s="15"/>
      <c r="P2476" s="15"/>
      <c r="Q2476" s="16"/>
      <c r="R2476" s="16"/>
      <c r="S2476" s="16"/>
      <c r="T2476" s="17"/>
      <c r="U2476" s="11"/>
      <c r="V2476" s="16"/>
      <c r="W2476" s="11"/>
      <c r="X2476" s="11"/>
      <c r="Y2476" s="15"/>
      <c r="Z2476" s="11"/>
    </row>
    <row r="2477" spans="1:26" x14ac:dyDescent="0.25">
      <c r="A2477" s="11"/>
      <c r="B2477" s="11"/>
      <c r="C2477" s="11"/>
      <c r="D2477" s="11"/>
      <c r="E2477" s="12"/>
      <c r="F2477" s="13"/>
      <c r="G2477" s="14"/>
      <c r="H2477" s="13"/>
      <c r="I2477" s="11"/>
      <c r="J2477" s="11"/>
      <c r="K2477" s="11"/>
      <c r="L2477" s="11"/>
      <c r="M2477" s="15"/>
      <c r="N2477" s="15"/>
      <c r="O2477" s="15"/>
      <c r="P2477" s="15"/>
      <c r="Q2477" s="16"/>
      <c r="R2477" s="16"/>
      <c r="S2477" s="16"/>
      <c r="T2477" s="17"/>
      <c r="U2477" s="11"/>
      <c r="V2477" s="16"/>
      <c r="W2477" s="11"/>
      <c r="X2477" s="11"/>
      <c r="Y2477" s="15"/>
      <c r="Z2477" s="11"/>
    </row>
    <row r="2478" spans="1:26" x14ac:dyDescent="0.25">
      <c r="A2478" s="19"/>
      <c r="B2478" s="19"/>
      <c r="C2478" s="19"/>
      <c r="D2478" s="19"/>
      <c r="E2478" s="19"/>
      <c r="F2478" s="20"/>
      <c r="G2478" s="14"/>
      <c r="H2478" s="20"/>
      <c r="I2478" s="19"/>
      <c r="J2478" s="19"/>
      <c r="K2478" s="19"/>
      <c r="L2478" s="19"/>
      <c r="M2478" s="21"/>
      <c r="N2478" s="21"/>
      <c r="O2478" s="21"/>
      <c r="P2478" s="21"/>
      <c r="Q2478" s="22"/>
      <c r="R2478" s="19"/>
      <c r="S2478" s="22"/>
      <c r="T2478" s="23"/>
      <c r="U2478" s="19"/>
      <c r="V2478" s="22"/>
      <c r="W2478" s="19"/>
      <c r="X2478" s="19"/>
      <c r="Y2478" s="21"/>
      <c r="Z2478" s="19"/>
    </row>
    <row r="2479" spans="1:26" x14ac:dyDescent="0.25">
      <c r="A2479" s="11"/>
      <c r="B2479" s="11"/>
      <c r="C2479" s="11"/>
      <c r="D2479" s="11"/>
      <c r="E2479" s="12"/>
      <c r="F2479" s="13"/>
      <c r="G2479" s="14"/>
      <c r="H2479" s="13"/>
      <c r="I2479" s="11"/>
      <c r="J2479" s="11"/>
      <c r="K2479" s="11"/>
      <c r="L2479" s="11"/>
      <c r="M2479" s="15"/>
      <c r="N2479" s="15"/>
      <c r="O2479" s="15"/>
      <c r="P2479" s="15"/>
      <c r="Q2479" s="16"/>
      <c r="R2479" s="16"/>
      <c r="S2479" s="16"/>
      <c r="T2479" s="17"/>
      <c r="U2479" s="11"/>
      <c r="V2479" s="16"/>
      <c r="W2479" s="11"/>
      <c r="X2479" s="11"/>
      <c r="Y2479" s="15"/>
      <c r="Z2479" s="11"/>
    </row>
    <row r="2480" spans="1:26" x14ac:dyDescent="0.25">
      <c r="A2480" s="11"/>
      <c r="B2480" s="11"/>
      <c r="C2480" s="11"/>
      <c r="D2480" s="11"/>
      <c r="E2480" s="12"/>
      <c r="F2480" s="13"/>
      <c r="G2480" s="14"/>
      <c r="H2480" s="13"/>
      <c r="I2480" s="11"/>
      <c r="J2480" s="11"/>
      <c r="K2480" s="11"/>
      <c r="L2480" s="11"/>
      <c r="M2480" s="15"/>
      <c r="N2480" s="15"/>
      <c r="O2480" s="15"/>
      <c r="P2480" s="15"/>
      <c r="Q2480" s="16"/>
      <c r="R2480" s="16"/>
      <c r="S2480" s="16"/>
      <c r="T2480" s="17"/>
      <c r="U2480" s="11"/>
      <c r="V2480" s="16"/>
      <c r="W2480" s="11"/>
      <c r="X2480" s="11"/>
      <c r="Y2480" s="15"/>
      <c r="Z2480" s="11"/>
    </row>
    <row r="2481" spans="1:26" x14ac:dyDescent="0.25">
      <c r="A2481" s="18"/>
      <c r="B2481" s="18"/>
      <c r="C2481" s="18"/>
      <c r="D2481" s="18"/>
      <c r="E2481" s="19"/>
      <c r="F2481" s="20"/>
      <c r="G2481" s="14"/>
      <c r="H2481" s="20"/>
      <c r="I2481" s="18"/>
      <c r="J2481" s="18"/>
      <c r="K2481" s="18"/>
      <c r="L2481" s="18"/>
      <c r="M2481" s="21"/>
      <c r="N2481" s="21"/>
      <c r="O2481" s="21"/>
      <c r="P2481" s="21"/>
      <c r="Q2481" s="22"/>
      <c r="R2481" s="19"/>
      <c r="S2481" s="22"/>
      <c r="T2481" s="23"/>
      <c r="U2481" s="18"/>
      <c r="V2481" s="22"/>
      <c r="W2481" s="18"/>
      <c r="X2481" s="18"/>
      <c r="Y2481" s="21"/>
      <c r="Z2481" s="18"/>
    </row>
    <row r="2482" spans="1:26" x14ac:dyDescent="0.25">
      <c r="A2482" s="18"/>
      <c r="B2482" s="18"/>
      <c r="C2482" s="18"/>
      <c r="D2482" s="18"/>
      <c r="E2482" s="19"/>
      <c r="F2482" s="20"/>
      <c r="G2482" s="14"/>
      <c r="H2482" s="20"/>
      <c r="I2482" s="18"/>
      <c r="J2482" s="18"/>
      <c r="K2482" s="18"/>
      <c r="L2482" s="18"/>
      <c r="M2482" s="21"/>
      <c r="N2482" s="21"/>
      <c r="O2482" s="21"/>
      <c r="P2482" s="21"/>
      <c r="Q2482" s="22"/>
      <c r="R2482" s="19"/>
      <c r="S2482" s="22"/>
      <c r="T2482" s="23"/>
      <c r="U2482" s="18"/>
      <c r="V2482" s="22"/>
      <c r="W2482" s="18"/>
      <c r="X2482" s="18"/>
      <c r="Y2482" s="21"/>
      <c r="Z2482" s="18"/>
    </row>
    <row r="2483" spans="1:26" x14ac:dyDescent="0.25">
      <c r="A2483" s="11"/>
      <c r="B2483" s="11"/>
      <c r="C2483" s="11"/>
      <c r="D2483" s="11"/>
      <c r="E2483" s="12"/>
      <c r="F2483" s="13"/>
      <c r="G2483" s="14"/>
      <c r="H2483" s="13"/>
      <c r="I2483" s="11"/>
      <c r="J2483" s="11"/>
      <c r="K2483" s="11"/>
      <c r="L2483" s="11"/>
      <c r="M2483" s="15"/>
      <c r="N2483" s="15"/>
      <c r="O2483" s="15"/>
      <c r="P2483" s="15"/>
      <c r="Q2483" s="16"/>
      <c r="R2483" s="16"/>
      <c r="S2483" s="16"/>
      <c r="T2483" s="17"/>
      <c r="U2483" s="11"/>
      <c r="V2483" s="16"/>
      <c r="W2483" s="11"/>
      <c r="X2483" s="11"/>
      <c r="Y2483" s="15"/>
      <c r="Z2483" s="11"/>
    </row>
    <row r="2484" spans="1:26" x14ac:dyDescent="0.25">
      <c r="A2484" s="11"/>
      <c r="B2484" s="11"/>
      <c r="C2484" s="11"/>
      <c r="D2484" s="11"/>
      <c r="E2484" s="12"/>
      <c r="F2484" s="13"/>
      <c r="G2484" s="14"/>
      <c r="H2484" s="13"/>
      <c r="I2484" s="11"/>
      <c r="J2484" s="11"/>
      <c r="K2484" s="11"/>
      <c r="L2484" s="11"/>
      <c r="M2484" s="15"/>
      <c r="N2484" s="15"/>
      <c r="O2484" s="15"/>
      <c r="P2484" s="15"/>
      <c r="Q2484" s="16"/>
      <c r="R2484" s="16"/>
      <c r="S2484" s="16"/>
      <c r="T2484" s="17"/>
      <c r="U2484" s="11"/>
      <c r="V2484" s="16"/>
      <c r="W2484" s="11"/>
      <c r="X2484" s="11"/>
      <c r="Y2484" s="15"/>
      <c r="Z2484" s="11"/>
    </row>
    <row r="2485" spans="1:26" x14ac:dyDescent="0.25">
      <c r="A2485" s="11"/>
      <c r="B2485" s="11"/>
      <c r="C2485" s="11"/>
      <c r="D2485" s="11"/>
      <c r="E2485" s="12"/>
      <c r="F2485" s="13"/>
      <c r="G2485" s="14"/>
      <c r="H2485" s="13"/>
      <c r="I2485" s="11"/>
      <c r="J2485" s="11"/>
      <c r="K2485" s="11"/>
      <c r="L2485" s="11"/>
      <c r="M2485" s="15"/>
      <c r="N2485" s="15"/>
      <c r="O2485" s="15"/>
      <c r="P2485" s="15"/>
      <c r="Q2485" s="16"/>
      <c r="R2485" s="16"/>
      <c r="S2485" s="16"/>
      <c r="T2485" s="17"/>
      <c r="U2485" s="11"/>
      <c r="V2485" s="16"/>
      <c r="W2485" s="11"/>
      <c r="X2485" s="11"/>
      <c r="Y2485" s="15"/>
      <c r="Z2485" s="11"/>
    </row>
    <row r="2486" spans="1:26" x14ac:dyDescent="0.25">
      <c r="A2486" s="11"/>
      <c r="B2486" s="11"/>
      <c r="C2486" s="11"/>
      <c r="D2486" s="11"/>
      <c r="E2486" s="12"/>
      <c r="F2486" s="13"/>
      <c r="G2486" s="14"/>
      <c r="H2486" s="13"/>
      <c r="I2486" s="11"/>
      <c r="J2486" s="11"/>
      <c r="K2486" s="11"/>
      <c r="L2486" s="11"/>
      <c r="M2486" s="15"/>
      <c r="N2486" s="15"/>
      <c r="O2486" s="15"/>
      <c r="P2486" s="15"/>
      <c r="Q2486" s="16"/>
      <c r="R2486" s="16"/>
      <c r="S2486" s="16"/>
      <c r="T2486" s="17"/>
      <c r="U2486" s="11"/>
      <c r="V2486" s="16"/>
      <c r="W2486" s="11"/>
      <c r="X2486" s="11"/>
      <c r="Y2486" s="15"/>
      <c r="Z2486" s="11"/>
    </row>
    <row r="2487" spans="1:26" x14ac:dyDescent="0.25">
      <c r="A2487" s="11"/>
      <c r="B2487" s="11"/>
      <c r="C2487" s="11"/>
      <c r="D2487" s="11"/>
      <c r="E2487" s="12"/>
      <c r="F2487" s="13"/>
      <c r="G2487" s="14"/>
      <c r="H2487" s="13"/>
      <c r="I2487" s="11"/>
      <c r="J2487" s="11"/>
      <c r="K2487" s="11"/>
      <c r="L2487" s="11"/>
      <c r="M2487" s="15"/>
      <c r="N2487" s="15"/>
      <c r="O2487" s="15"/>
      <c r="P2487" s="15"/>
      <c r="Q2487" s="16"/>
      <c r="R2487" s="16"/>
      <c r="S2487" s="16"/>
      <c r="T2487" s="17"/>
      <c r="U2487" s="11"/>
      <c r="V2487" s="16"/>
      <c r="W2487" s="11"/>
      <c r="X2487" s="11"/>
      <c r="Y2487" s="15"/>
      <c r="Z2487" s="11"/>
    </row>
    <row r="2488" spans="1:26" x14ac:dyDescent="0.25">
      <c r="A2488" s="11"/>
      <c r="B2488" s="11"/>
      <c r="C2488" s="11"/>
      <c r="D2488" s="11"/>
      <c r="E2488" s="12"/>
      <c r="F2488" s="13"/>
      <c r="G2488" s="14"/>
      <c r="H2488" s="13"/>
      <c r="I2488" s="11"/>
      <c r="J2488" s="11"/>
      <c r="K2488" s="11"/>
      <c r="L2488" s="11"/>
      <c r="M2488" s="15"/>
      <c r="N2488" s="15"/>
      <c r="O2488" s="15"/>
      <c r="P2488" s="15"/>
      <c r="Q2488" s="16"/>
      <c r="R2488" s="16"/>
      <c r="S2488" s="16"/>
      <c r="T2488" s="17"/>
      <c r="U2488" s="11"/>
      <c r="V2488" s="16"/>
      <c r="W2488" s="11"/>
      <c r="X2488" s="11"/>
      <c r="Y2488" s="15"/>
      <c r="Z2488" s="11"/>
    </row>
    <row r="2489" spans="1:26" x14ac:dyDescent="0.25">
      <c r="A2489" s="11"/>
      <c r="B2489" s="11"/>
      <c r="C2489" s="11"/>
      <c r="D2489" s="11"/>
      <c r="E2489" s="12"/>
      <c r="F2489" s="13"/>
      <c r="G2489" s="14"/>
      <c r="H2489" s="13"/>
      <c r="I2489" s="11"/>
      <c r="J2489" s="11"/>
      <c r="K2489" s="11"/>
      <c r="L2489" s="11"/>
      <c r="M2489" s="15"/>
      <c r="N2489" s="15"/>
      <c r="O2489" s="15"/>
      <c r="P2489" s="15"/>
      <c r="Q2489" s="16"/>
      <c r="R2489" s="16"/>
      <c r="S2489" s="16"/>
      <c r="T2489" s="17"/>
      <c r="U2489" s="11"/>
      <c r="V2489" s="16"/>
      <c r="W2489" s="11"/>
      <c r="X2489" s="11"/>
      <c r="Y2489" s="15"/>
      <c r="Z2489" s="11"/>
    </row>
    <row r="2490" spans="1:26" x14ac:dyDescent="0.25">
      <c r="A2490" s="11"/>
      <c r="B2490" s="11"/>
      <c r="C2490" s="11"/>
      <c r="D2490" s="11"/>
      <c r="E2490" s="12"/>
      <c r="F2490" s="13"/>
      <c r="G2490" s="14"/>
      <c r="H2490" s="13"/>
      <c r="I2490" s="11"/>
      <c r="J2490" s="11"/>
      <c r="K2490" s="11"/>
      <c r="L2490" s="11"/>
      <c r="M2490" s="15"/>
      <c r="N2490" s="15"/>
      <c r="O2490" s="15"/>
      <c r="P2490" s="15"/>
      <c r="Q2490" s="16"/>
      <c r="R2490" s="16"/>
      <c r="S2490" s="16"/>
      <c r="T2490" s="17"/>
      <c r="U2490" s="11"/>
      <c r="V2490" s="16"/>
      <c r="W2490" s="11"/>
      <c r="X2490" s="11"/>
      <c r="Y2490" s="15"/>
      <c r="Z2490" s="11"/>
    </row>
    <row r="2491" spans="1:26" x14ac:dyDescent="0.25">
      <c r="A2491" s="11"/>
      <c r="B2491" s="11"/>
      <c r="C2491" s="11"/>
      <c r="D2491" s="11"/>
      <c r="E2491" s="12"/>
      <c r="F2491" s="13"/>
      <c r="G2491" s="14"/>
      <c r="H2491" s="13"/>
      <c r="I2491" s="11"/>
      <c r="J2491" s="11"/>
      <c r="K2491" s="11"/>
      <c r="L2491" s="11"/>
      <c r="M2491" s="15"/>
      <c r="N2491" s="15"/>
      <c r="O2491" s="15"/>
      <c r="P2491" s="15"/>
      <c r="Q2491" s="16"/>
      <c r="R2491" s="16"/>
      <c r="S2491" s="16"/>
      <c r="T2491" s="17"/>
      <c r="U2491" s="11"/>
      <c r="V2491" s="16"/>
      <c r="W2491" s="11"/>
      <c r="X2491" s="11"/>
      <c r="Y2491" s="15"/>
      <c r="Z2491" s="11"/>
    </row>
    <row r="2492" spans="1:26" x14ac:dyDescent="0.25">
      <c r="A2492" s="11"/>
      <c r="B2492" s="11"/>
      <c r="C2492" s="11"/>
      <c r="D2492" s="11"/>
      <c r="E2492" s="12"/>
      <c r="F2492" s="13"/>
      <c r="G2492" s="14"/>
      <c r="H2492" s="13"/>
      <c r="I2492" s="11"/>
      <c r="J2492" s="11"/>
      <c r="K2492" s="11"/>
      <c r="L2492" s="11"/>
      <c r="M2492" s="15"/>
      <c r="N2492" s="15"/>
      <c r="O2492" s="15"/>
      <c r="P2492" s="15"/>
      <c r="Q2492" s="16"/>
      <c r="R2492" s="16"/>
      <c r="S2492" s="16"/>
      <c r="T2492" s="17"/>
      <c r="U2492" s="11"/>
      <c r="V2492" s="16"/>
      <c r="W2492" s="11"/>
      <c r="X2492" s="11"/>
      <c r="Y2492" s="15"/>
      <c r="Z2492" s="11"/>
    </row>
    <row r="2493" spans="1:26" x14ac:dyDescent="0.25">
      <c r="A2493" s="11"/>
      <c r="B2493" s="11"/>
      <c r="C2493" s="11"/>
      <c r="D2493" s="11"/>
      <c r="E2493" s="12"/>
      <c r="F2493" s="13"/>
      <c r="G2493" s="14"/>
      <c r="H2493" s="13"/>
      <c r="I2493" s="11"/>
      <c r="J2493" s="11"/>
      <c r="K2493" s="11"/>
      <c r="L2493" s="11"/>
      <c r="M2493" s="15"/>
      <c r="N2493" s="15"/>
      <c r="O2493" s="15"/>
      <c r="P2493" s="15"/>
      <c r="Q2493" s="16"/>
      <c r="R2493" s="16"/>
      <c r="S2493" s="16"/>
      <c r="T2493" s="17"/>
      <c r="U2493" s="11"/>
      <c r="V2493" s="16"/>
      <c r="W2493" s="11"/>
      <c r="X2493" s="11"/>
      <c r="Y2493" s="15"/>
      <c r="Z2493" s="11"/>
    </row>
    <row r="2494" spans="1:26" x14ac:dyDescent="0.25">
      <c r="A2494" s="18"/>
      <c r="B2494" s="18"/>
      <c r="C2494" s="18"/>
      <c r="D2494" s="18"/>
      <c r="E2494" s="19"/>
      <c r="F2494" s="20"/>
      <c r="G2494" s="14"/>
      <c r="H2494" s="20"/>
      <c r="I2494" s="18"/>
      <c r="J2494" s="18"/>
      <c r="K2494" s="18"/>
      <c r="L2494" s="18"/>
      <c r="M2494" s="21"/>
      <c r="N2494" s="21"/>
      <c r="O2494" s="21"/>
      <c r="P2494" s="21"/>
      <c r="Q2494" s="22"/>
      <c r="R2494" s="19"/>
      <c r="S2494" s="22"/>
      <c r="T2494" s="23"/>
      <c r="U2494" s="18"/>
      <c r="V2494" s="22"/>
      <c r="W2494" s="18"/>
      <c r="X2494" s="18"/>
      <c r="Y2494" s="21"/>
      <c r="Z2494" s="18"/>
    </row>
    <row r="2495" spans="1:26" x14ac:dyDescent="0.25">
      <c r="A2495" s="18"/>
      <c r="B2495" s="18"/>
      <c r="C2495" s="18"/>
      <c r="D2495" s="18"/>
      <c r="E2495" s="19"/>
      <c r="F2495" s="20"/>
      <c r="G2495" s="14"/>
      <c r="H2495" s="20"/>
      <c r="I2495" s="18"/>
      <c r="J2495" s="18"/>
      <c r="K2495" s="18"/>
      <c r="L2495" s="18"/>
      <c r="M2495" s="21"/>
      <c r="N2495" s="21"/>
      <c r="O2495" s="21"/>
      <c r="P2495" s="21"/>
      <c r="Q2495" s="22"/>
      <c r="R2495" s="19"/>
      <c r="S2495" s="22"/>
      <c r="T2495" s="23"/>
      <c r="U2495" s="18"/>
      <c r="V2495" s="22"/>
      <c r="W2495" s="18"/>
      <c r="X2495" s="18"/>
      <c r="Y2495" s="21"/>
      <c r="Z2495" s="18"/>
    </row>
    <row r="2496" spans="1:26" x14ac:dyDescent="0.25">
      <c r="A2496" s="11"/>
      <c r="B2496" s="11"/>
      <c r="C2496" s="11"/>
      <c r="D2496" s="11"/>
      <c r="E2496" s="12"/>
      <c r="F2496" s="13"/>
      <c r="G2496" s="14"/>
      <c r="H2496" s="13"/>
      <c r="I2496" s="11"/>
      <c r="J2496" s="11"/>
      <c r="K2496" s="11"/>
      <c r="L2496" s="11"/>
      <c r="M2496" s="15"/>
      <c r="N2496" s="15"/>
      <c r="O2496" s="15"/>
      <c r="P2496" s="15"/>
      <c r="Q2496" s="16"/>
      <c r="R2496" s="16"/>
      <c r="S2496" s="16"/>
      <c r="T2496" s="17"/>
      <c r="U2496" s="11"/>
      <c r="V2496" s="16"/>
      <c r="W2496" s="11"/>
      <c r="X2496" s="11"/>
      <c r="Y2496" s="15"/>
      <c r="Z2496" s="11"/>
    </row>
    <row r="2497" spans="1:26" x14ac:dyDescent="0.25">
      <c r="A2497" s="11"/>
      <c r="B2497" s="11"/>
      <c r="C2497" s="11"/>
      <c r="D2497" s="11"/>
      <c r="E2497" s="12"/>
      <c r="F2497" s="13"/>
      <c r="G2497" s="14"/>
      <c r="H2497" s="13"/>
      <c r="I2497" s="11"/>
      <c r="J2497" s="11"/>
      <c r="K2497" s="11"/>
      <c r="L2497" s="11"/>
      <c r="M2497" s="15"/>
      <c r="N2497" s="15"/>
      <c r="O2497" s="15"/>
      <c r="P2497" s="15"/>
      <c r="Q2497" s="16"/>
      <c r="R2497" s="16"/>
      <c r="S2497" s="16"/>
      <c r="T2497" s="17"/>
      <c r="U2497" s="11"/>
      <c r="V2497" s="16"/>
      <c r="W2497" s="11"/>
      <c r="X2497" s="11"/>
      <c r="Y2497" s="15"/>
      <c r="Z2497" s="11"/>
    </row>
    <row r="2498" spans="1:26" x14ac:dyDescent="0.25">
      <c r="A2498" s="11"/>
      <c r="B2498" s="11"/>
      <c r="C2498" s="11"/>
      <c r="D2498" s="11"/>
      <c r="E2498" s="12"/>
      <c r="F2498" s="13"/>
      <c r="G2498" s="14"/>
      <c r="H2498" s="13"/>
      <c r="I2498" s="11"/>
      <c r="J2498" s="11"/>
      <c r="K2498" s="11"/>
      <c r="L2498" s="11"/>
      <c r="M2498" s="15"/>
      <c r="N2498" s="15"/>
      <c r="O2498" s="15"/>
      <c r="P2498" s="15"/>
      <c r="Q2498" s="16"/>
      <c r="R2498" s="16"/>
      <c r="S2498" s="16"/>
      <c r="T2498" s="17"/>
      <c r="U2498" s="11"/>
      <c r="V2498" s="16"/>
      <c r="W2498" s="11"/>
      <c r="X2498" s="11"/>
      <c r="Y2498" s="15"/>
      <c r="Z2498" s="11"/>
    </row>
    <row r="2499" spans="1:26" x14ac:dyDescent="0.25">
      <c r="A2499" s="11"/>
      <c r="B2499" s="11"/>
      <c r="C2499" s="11"/>
      <c r="D2499" s="11"/>
      <c r="E2499" s="12"/>
      <c r="F2499" s="13"/>
      <c r="G2499" s="14"/>
      <c r="H2499" s="13"/>
      <c r="I2499" s="11"/>
      <c r="J2499" s="11"/>
      <c r="K2499" s="11"/>
      <c r="L2499" s="11"/>
      <c r="M2499" s="15"/>
      <c r="N2499" s="15"/>
      <c r="O2499" s="15"/>
      <c r="P2499" s="15"/>
      <c r="Q2499" s="16"/>
      <c r="R2499" s="16"/>
      <c r="S2499" s="16"/>
      <c r="T2499" s="17"/>
      <c r="U2499" s="11"/>
      <c r="V2499" s="16"/>
      <c r="W2499" s="11"/>
      <c r="X2499" s="11"/>
      <c r="Y2499" s="15"/>
      <c r="Z2499" s="11"/>
    </row>
    <row r="2500" spans="1:26" x14ac:dyDescent="0.25">
      <c r="A2500" s="11"/>
      <c r="B2500" s="11"/>
      <c r="C2500" s="11"/>
      <c r="D2500" s="11"/>
      <c r="E2500" s="12"/>
      <c r="F2500" s="13"/>
      <c r="G2500" s="14"/>
      <c r="H2500" s="13"/>
      <c r="I2500" s="11"/>
      <c r="J2500" s="11"/>
      <c r="K2500" s="11"/>
      <c r="L2500" s="11"/>
      <c r="M2500" s="15"/>
      <c r="N2500" s="15"/>
      <c r="O2500" s="15"/>
      <c r="P2500" s="15"/>
      <c r="Q2500" s="16"/>
      <c r="R2500" s="16"/>
      <c r="S2500" s="16"/>
      <c r="T2500" s="17"/>
      <c r="U2500" s="11"/>
      <c r="V2500" s="16"/>
      <c r="W2500" s="11"/>
      <c r="X2500" s="11"/>
      <c r="Y2500" s="15"/>
      <c r="Z2500" s="11"/>
    </row>
    <row r="2501" spans="1:26" x14ac:dyDescent="0.25">
      <c r="A2501" s="18"/>
      <c r="B2501" s="18"/>
      <c r="C2501" s="18"/>
      <c r="D2501" s="18"/>
      <c r="E2501" s="19"/>
      <c r="F2501" s="20"/>
      <c r="G2501" s="14"/>
      <c r="H2501" s="20"/>
      <c r="I2501" s="18"/>
      <c r="J2501" s="18"/>
      <c r="K2501" s="18"/>
      <c r="L2501" s="18"/>
      <c r="M2501" s="21"/>
      <c r="N2501" s="21"/>
      <c r="O2501" s="21"/>
      <c r="P2501" s="21"/>
      <c r="Q2501" s="22"/>
      <c r="R2501" s="19"/>
      <c r="S2501" s="22"/>
      <c r="T2501" s="23"/>
      <c r="U2501" s="18"/>
      <c r="V2501" s="22"/>
      <c r="W2501" s="18"/>
      <c r="X2501" s="18"/>
      <c r="Y2501" s="21"/>
      <c r="Z2501" s="18"/>
    </row>
    <row r="2502" spans="1:26" x14ac:dyDescent="0.25">
      <c r="A2502" s="11"/>
      <c r="B2502" s="11"/>
      <c r="C2502" s="11"/>
      <c r="D2502" s="11"/>
      <c r="E2502" s="12"/>
      <c r="F2502" s="13"/>
      <c r="G2502" s="14"/>
      <c r="H2502" s="13"/>
      <c r="I2502" s="11"/>
      <c r="J2502" s="11"/>
      <c r="K2502" s="11"/>
      <c r="L2502" s="11"/>
      <c r="M2502" s="15"/>
      <c r="N2502" s="15"/>
      <c r="O2502" s="15"/>
      <c r="P2502" s="15"/>
      <c r="Q2502" s="16"/>
      <c r="R2502" s="16"/>
      <c r="S2502" s="16"/>
      <c r="T2502" s="17"/>
      <c r="U2502" s="11"/>
      <c r="V2502" s="16"/>
      <c r="W2502" s="11"/>
      <c r="X2502" s="11"/>
      <c r="Y2502" s="15"/>
      <c r="Z2502" s="11"/>
    </row>
    <row r="2503" spans="1:26" x14ac:dyDescent="0.25">
      <c r="A2503" s="11"/>
      <c r="B2503" s="11"/>
      <c r="C2503" s="11"/>
      <c r="D2503" s="11"/>
      <c r="E2503" s="12"/>
      <c r="F2503" s="13"/>
      <c r="G2503" s="14"/>
      <c r="H2503" s="13"/>
      <c r="I2503" s="11"/>
      <c r="J2503" s="11"/>
      <c r="K2503" s="11"/>
      <c r="L2503" s="11"/>
      <c r="M2503" s="15"/>
      <c r="N2503" s="15"/>
      <c r="O2503" s="15"/>
      <c r="P2503" s="15"/>
      <c r="Q2503" s="16"/>
      <c r="R2503" s="16"/>
      <c r="S2503" s="16"/>
      <c r="T2503" s="17"/>
      <c r="U2503" s="11"/>
      <c r="V2503" s="16"/>
      <c r="W2503" s="11"/>
      <c r="X2503" s="11"/>
      <c r="Y2503" s="15"/>
      <c r="Z2503" s="11"/>
    </row>
    <row r="2504" spans="1:26" x14ac:dyDescent="0.25">
      <c r="A2504" s="11"/>
      <c r="B2504" s="11"/>
      <c r="C2504" s="11"/>
      <c r="D2504" s="11"/>
      <c r="E2504" s="12"/>
      <c r="F2504" s="13"/>
      <c r="G2504" s="14"/>
      <c r="H2504" s="13"/>
      <c r="I2504" s="11"/>
      <c r="J2504" s="11"/>
      <c r="K2504" s="11"/>
      <c r="L2504" s="11"/>
      <c r="M2504" s="15"/>
      <c r="N2504" s="15"/>
      <c r="O2504" s="15"/>
      <c r="P2504" s="15"/>
      <c r="Q2504" s="16"/>
      <c r="R2504" s="16"/>
      <c r="S2504" s="16"/>
      <c r="T2504" s="17"/>
      <c r="U2504" s="11"/>
      <c r="V2504" s="16"/>
      <c r="W2504" s="11"/>
      <c r="X2504" s="11"/>
      <c r="Y2504" s="15"/>
      <c r="Z2504" s="11"/>
    </row>
    <row r="2505" spans="1:26" x14ac:dyDescent="0.25">
      <c r="A2505" s="11"/>
      <c r="B2505" s="11"/>
      <c r="C2505" s="11"/>
      <c r="D2505" s="11"/>
      <c r="E2505" s="12"/>
      <c r="F2505" s="13"/>
      <c r="G2505" s="14"/>
      <c r="H2505" s="13"/>
      <c r="I2505" s="11"/>
      <c r="J2505" s="11"/>
      <c r="K2505" s="11"/>
      <c r="L2505" s="11"/>
      <c r="M2505" s="15"/>
      <c r="N2505" s="15"/>
      <c r="O2505" s="15"/>
      <c r="P2505" s="15"/>
      <c r="Q2505" s="16"/>
      <c r="R2505" s="16"/>
      <c r="S2505" s="16"/>
      <c r="T2505" s="17"/>
      <c r="U2505" s="11"/>
      <c r="V2505" s="16"/>
      <c r="W2505" s="11"/>
      <c r="X2505" s="11"/>
      <c r="Y2505" s="15"/>
      <c r="Z2505" s="11"/>
    </row>
    <row r="2506" spans="1:26" x14ac:dyDescent="0.25">
      <c r="A2506" s="11"/>
      <c r="B2506" s="11"/>
      <c r="C2506" s="11"/>
      <c r="D2506" s="11"/>
      <c r="E2506" s="12"/>
      <c r="F2506" s="13"/>
      <c r="G2506" s="14"/>
      <c r="H2506" s="13"/>
      <c r="I2506" s="11"/>
      <c r="J2506" s="11"/>
      <c r="K2506" s="11"/>
      <c r="L2506" s="11"/>
      <c r="M2506" s="15"/>
      <c r="N2506" s="15"/>
      <c r="O2506" s="15"/>
      <c r="P2506" s="15"/>
      <c r="Q2506" s="16"/>
      <c r="R2506" s="16"/>
      <c r="S2506" s="16"/>
      <c r="T2506" s="17"/>
      <c r="U2506" s="11"/>
      <c r="V2506" s="16"/>
      <c r="W2506" s="11"/>
      <c r="X2506" s="11"/>
      <c r="Y2506" s="15"/>
      <c r="Z2506" s="11"/>
    </row>
    <row r="2507" spans="1:26" x14ac:dyDescent="0.25">
      <c r="A2507" s="18"/>
      <c r="B2507" s="18"/>
      <c r="C2507" s="18"/>
      <c r="D2507" s="18"/>
      <c r="E2507" s="19"/>
      <c r="F2507" s="20"/>
      <c r="G2507" s="14"/>
      <c r="H2507" s="20"/>
      <c r="I2507" s="18"/>
      <c r="J2507" s="18"/>
      <c r="K2507" s="18"/>
      <c r="L2507" s="18"/>
      <c r="M2507" s="21"/>
      <c r="N2507" s="21"/>
      <c r="O2507" s="21"/>
      <c r="P2507" s="21"/>
      <c r="Q2507" s="22"/>
      <c r="R2507" s="19"/>
      <c r="S2507" s="22"/>
      <c r="T2507" s="23"/>
      <c r="U2507" s="18"/>
      <c r="V2507" s="22"/>
      <c r="W2507" s="18"/>
      <c r="X2507" s="18"/>
      <c r="Y2507" s="21"/>
      <c r="Z2507" s="18"/>
    </row>
    <row r="2508" spans="1:26" x14ac:dyDescent="0.25">
      <c r="A2508" s="18"/>
      <c r="B2508" s="18"/>
      <c r="C2508" s="18"/>
      <c r="D2508" s="18"/>
      <c r="E2508" s="19"/>
      <c r="F2508" s="20"/>
      <c r="G2508" s="14"/>
      <c r="H2508" s="20"/>
      <c r="I2508" s="18"/>
      <c r="J2508" s="18"/>
      <c r="K2508" s="18"/>
      <c r="L2508" s="18"/>
      <c r="M2508" s="21"/>
      <c r="N2508" s="21"/>
      <c r="O2508" s="21"/>
      <c r="P2508" s="21"/>
      <c r="Q2508" s="22"/>
      <c r="R2508" s="19"/>
      <c r="S2508" s="22"/>
      <c r="T2508" s="23"/>
      <c r="U2508" s="18"/>
      <c r="V2508" s="22"/>
      <c r="W2508" s="18"/>
      <c r="X2508" s="18"/>
      <c r="Y2508" s="21"/>
      <c r="Z2508" s="18"/>
    </row>
    <row r="2509" spans="1:26" x14ac:dyDescent="0.25">
      <c r="A2509" s="11"/>
      <c r="B2509" s="11"/>
      <c r="C2509" s="11"/>
      <c r="D2509" s="11"/>
      <c r="E2509" s="12"/>
      <c r="F2509" s="13"/>
      <c r="G2509" s="14"/>
      <c r="H2509" s="13"/>
      <c r="I2509" s="11"/>
      <c r="J2509" s="11"/>
      <c r="K2509" s="11"/>
      <c r="L2509" s="11"/>
      <c r="M2509" s="15"/>
      <c r="N2509" s="15"/>
      <c r="O2509" s="15"/>
      <c r="P2509" s="15"/>
      <c r="Q2509" s="16"/>
      <c r="R2509" s="16"/>
      <c r="S2509" s="16"/>
      <c r="T2509" s="17"/>
      <c r="U2509" s="11"/>
      <c r="V2509" s="16"/>
      <c r="W2509" s="11"/>
      <c r="X2509" s="11"/>
      <c r="Y2509" s="15"/>
      <c r="Z2509" s="11"/>
    </row>
    <row r="2510" spans="1:26" x14ac:dyDescent="0.25">
      <c r="A2510" s="11"/>
      <c r="B2510" s="11"/>
      <c r="C2510" s="11"/>
      <c r="D2510" s="11"/>
      <c r="E2510" s="12"/>
      <c r="F2510" s="13"/>
      <c r="G2510" s="14"/>
      <c r="H2510" s="13"/>
      <c r="I2510" s="11"/>
      <c r="J2510" s="11"/>
      <c r="K2510" s="11"/>
      <c r="L2510" s="11"/>
      <c r="M2510" s="15"/>
      <c r="N2510" s="15"/>
      <c r="O2510" s="15"/>
      <c r="P2510" s="15"/>
      <c r="Q2510" s="16"/>
      <c r="R2510" s="16"/>
      <c r="S2510" s="16"/>
      <c r="T2510" s="17"/>
      <c r="U2510" s="11"/>
      <c r="V2510" s="16"/>
      <c r="W2510" s="11"/>
      <c r="X2510" s="11"/>
      <c r="Y2510" s="15"/>
      <c r="Z2510" s="11"/>
    </row>
    <row r="2511" spans="1:26" x14ac:dyDescent="0.25">
      <c r="A2511" s="11"/>
      <c r="B2511" s="11"/>
      <c r="C2511" s="11"/>
      <c r="D2511" s="11"/>
      <c r="E2511" s="12"/>
      <c r="F2511" s="13"/>
      <c r="G2511" s="14"/>
      <c r="H2511" s="13"/>
      <c r="I2511" s="11"/>
      <c r="J2511" s="11"/>
      <c r="K2511" s="11"/>
      <c r="L2511" s="11"/>
      <c r="M2511" s="15"/>
      <c r="N2511" s="15"/>
      <c r="O2511" s="15"/>
      <c r="P2511" s="15"/>
      <c r="Q2511" s="16"/>
      <c r="R2511" s="16"/>
      <c r="S2511" s="16"/>
      <c r="T2511" s="17"/>
      <c r="U2511" s="11"/>
      <c r="V2511" s="16"/>
      <c r="W2511" s="11"/>
      <c r="X2511" s="11"/>
      <c r="Y2511" s="15"/>
      <c r="Z2511" s="11"/>
    </row>
    <row r="2512" spans="1:26" x14ac:dyDescent="0.25">
      <c r="A2512" s="11"/>
      <c r="B2512" s="11"/>
      <c r="C2512" s="11"/>
      <c r="D2512" s="11"/>
      <c r="E2512" s="12"/>
      <c r="F2512" s="13"/>
      <c r="G2512" s="14"/>
      <c r="H2512" s="13"/>
      <c r="I2512" s="11"/>
      <c r="J2512" s="11"/>
      <c r="K2512" s="11"/>
      <c r="L2512" s="11"/>
      <c r="M2512" s="15"/>
      <c r="N2512" s="15"/>
      <c r="O2512" s="15"/>
      <c r="P2512" s="15"/>
      <c r="Q2512" s="16"/>
      <c r="R2512" s="16"/>
      <c r="S2512" s="16"/>
      <c r="T2512" s="17"/>
      <c r="U2512" s="11"/>
      <c r="V2512" s="16"/>
      <c r="W2512" s="11"/>
      <c r="X2512" s="11"/>
      <c r="Y2512" s="15"/>
      <c r="Z2512" s="11"/>
    </row>
    <row r="2513" spans="1:26" x14ac:dyDescent="0.25">
      <c r="A2513" s="11"/>
      <c r="B2513" s="11"/>
      <c r="C2513" s="11"/>
      <c r="D2513" s="11"/>
      <c r="E2513" s="12"/>
      <c r="F2513" s="13"/>
      <c r="G2513" s="14"/>
      <c r="H2513" s="13"/>
      <c r="I2513" s="11"/>
      <c r="J2513" s="11"/>
      <c r="K2513" s="11"/>
      <c r="L2513" s="11"/>
      <c r="M2513" s="15"/>
      <c r="N2513" s="15"/>
      <c r="O2513" s="15"/>
      <c r="P2513" s="15"/>
      <c r="Q2513" s="16"/>
      <c r="R2513" s="16"/>
      <c r="S2513" s="16"/>
      <c r="T2513" s="17"/>
      <c r="U2513" s="11"/>
      <c r="V2513" s="16"/>
      <c r="W2513" s="11"/>
      <c r="X2513" s="11"/>
      <c r="Y2513" s="15"/>
      <c r="Z2513" s="11"/>
    </row>
    <row r="2514" spans="1:26" x14ac:dyDescent="0.25">
      <c r="A2514" s="11"/>
      <c r="B2514" s="11"/>
      <c r="C2514" s="11"/>
      <c r="D2514" s="11"/>
      <c r="E2514" s="12"/>
      <c r="F2514" s="13"/>
      <c r="G2514" s="14"/>
      <c r="H2514" s="13"/>
      <c r="I2514" s="11"/>
      <c r="J2514" s="11"/>
      <c r="K2514" s="11"/>
      <c r="L2514" s="11"/>
      <c r="M2514" s="15"/>
      <c r="N2514" s="15"/>
      <c r="O2514" s="15"/>
      <c r="P2514" s="15"/>
      <c r="Q2514" s="16"/>
      <c r="R2514" s="16"/>
      <c r="S2514" s="16"/>
      <c r="T2514" s="17"/>
      <c r="U2514" s="11"/>
      <c r="V2514" s="16"/>
      <c r="W2514" s="11"/>
      <c r="X2514" s="11"/>
      <c r="Y2514" s="15"/>
      <c r="Z2514" s="11"/>
    </row>
    <row r="2515" spans="1:26" x14ac:dyDescent="0.25">
      <c r="A2515" s="18"/>
      <c r="B2515" s="18"/>
      <c r="C2515" s="18"/>
      <c r="D2515" s="18"/>
      <c r="E2515" s="19"/>
      <c r="F2515" s="20"/>
      <c r="G2515" s="14"/>
      <c r="H2515" s="20"/>
      <c r="I2515" s="18"/>
      <c r="J2515" s="18"/>
      <c r="K2515" s="18"/>
      <c r="L2515" s="18"/>
      <c r="M2515" s="21"/>
      <c r="N2515" s="21"/>
      <c r="O2515" s="21"/>
      <c r="P2515" s="21"/>
      <c r="Q2515" s="22"/>
      <c r="R2515" s="19"/>
      <c r="S2515" s="22"/>
      <c r="T2515" s="23"/>
      <c r="U2515" s="18"/>
      <c r="V2515" s="22"/>
      <c r="W2515" s="18"/>
      <c r="X2515" s="18"/>
      <c r="Y2515" s="21"/>
      <c r="Z2515" s="18"/>
    </row>
    <row r="2516" spans="1:26" x14ac:dyDescent="0.25">
      <c r="A2516" s="11"/>
      <c r="B2516" s="11"/>
      <c r="C2516" s="11"/>
      <c r="D2516" s="11"/>
      <c r="E2516" s="12"/>
      <c r="F2516" s="13"/>
      <c r="G2516" s="14"/>
      <c r="H2516" s="13"/>
      <c r="I2516" s="11"/>
      <c r="J2516" s="11"/>
      <c r="K2516" s="11"/>
      <c r="L2516" s="11"/>
      <c r="M2516" s="15"/>
      <c r="N2516" s="15"/>
      <c r="O2516" s="15"/>
      <c r="P2516" s="15"/>
      <c r="Q2516" s="16"/>
      <c r="R2516" s="16"/>
      <c r="S2516" s="16"/>
      <c r="T2516" s="17"/>
      <c r="U2516" s="11"/>
      <c r="V2516" s="16"/>
      <c r="W2516" s="11"/>
      <c r="X2516" s="11"/>
      <c r="Y2516" s="15"/>
      <c r="Z2516" s="11"/>
    </row>
    <row r="2517" spans="1:26" x14ac:dyDescent="0.25">
      <c r="A2517" s="11"/>
      <c r="B2517" s="11"/>
      <c r="C2517" s="11"/>
      <c r="D2517" s="11"/>
      <c r="E2517" s="12"/>
      <c r="F2517" s="13"/>
      <c r="G2517" s="14"/>
      <c r="H2517" s="13"/>
      <c r="I2517" s="11"/>
      <c r="J2517" s="11"/>
      <c r="K2517" s="11"/>
      <c r="L2517" s="11"/>
      <c r="M2517" s="15"/>
      <c r="N2517" s="15"/>
      <c r="O2517" s="15"/>
      <c r="P2517" s="15"/>
      <c r="Q2517" s="16"/>
      <c r="R2517" s="16"/>
      <c r="S2517" s="16"/>
      <c r="T2517" s="17"/>
      <c r="U2517" s="11"/>
      <c r="V2517" s="16"/>
      <c r="W2517" s="11"/>
      <c r="X2517" s="11"/>
      <c r="Y2517" s="15"/>
      <c r="Z2517" s="11"/>
    </row>
    <row r="2518" spans="1:26" x14ac:dyDescent="0.25">
      <c r="A2518" s="11"/>
      <c r="B2518" s="11"/>
      <c r="C2518" s="11"/>
      <c r="D2518" s="11"/>
      <c r="E2518" s="12"/>
      <c r="F2518" s="13"/>
      <c r="G2518" s="14"/>
      <c r="H2518" s="13"/>
      <c r="I2518" s="11"/>
      <c r="J2518" s="11"/>
      <c r="K2518" s="11"/>
      <c r="L2518" s="11"/>
      <c r="M2518" s="15"/>
      <c r="N2518" s="15"/>
      <c r="O2518" s="15"/>
      <c r="P2518" s="15"/>
      <c r="Q2518" s="16"/>
      <c r="R2518" s="16"/>
      <c r="S2518" s="16"/>
      <c r="T2518" s="17"/>
      <c r="U2518" s="11"/>
      <c r="V2518" s="16"/>
      <c r="W2518" s="11"/>
      <c r="X2518" s="11"/>
      <c r="Y2518" s="15"/>
      <c r="Z2518" s="11"/>
    </row>
    <row r="2519" spans="1:26" x14ac:dyDescent="0.25">
      <c r="A2519" s="11"/>
      <c r="B2519" s="11"/>
      <c r="C2519" s="11"/>
      <c r="D2519" s="11"/>
      <c r="E2519" s="12"/>
      <c r="F2519" s="13"/>
      <c r="G2519" s="14"/>
      <c r="H2519" s="13"/>
      <c r="I2519" s="11"/>
      <c r="J2519" s="11"/>
      <c r="K2519" s="11"/>
      <c r="L2519" s="11"/>
      <c r="M2519" s="15"/>
      <c r="N2519" s="15"/>
      <c r="O2519" s="15"/>
      <c r="P2519" s="15"/>
      <c r="Q2519" s="16"/>
      <c r="R2519" s="16"/>
      <c r="S2519" s="16"/>
      <c r="T2519" s="17"/>
      <c r="U2519" s="11"/>
      <c r="V2519" s="16"/>
      <c r="W2519" s="11"/>
      <c r="X2519" s="11"/>
      <c r="Y2519" s="15"/>
      <c r="Z2519" s="11"/>
    </row>
    <row r="2520" spans="1:26" x14ac:dyDescent="0.25">
      <c r="A2520" s="11"/>
      <c r="B2520" s="11"/>
      <c r="C2520" s="11"/>
      <c r="D2520" s="11"/>
      <c r="E2520" s="12"/>
      <c r="F2520" s="13"/>
      <c r="G2520" s="14"/>
      <c r="H2520" s="13"/>
      <c r="I2520" s="11"/>
      <c r="J2520" s="11"/>
      <c r="K2520" s="11"/>
      <c r="L2520" s="11"/>
      <c r="M2520" s="15"/>
      <c r="N2520" s="15"/>
      <c r="O2520" s="15"/>
      <c r="P2520" s="15"/>
      <c r="Q2520" s="16"/>
      <c r="R2520" s="16"/>
      <c r="S2520" s="16"/>
      <c r="T2520" s="17"/>
      <c r="U2520" s="11"/>
      <c r="V2520" s="16"/>
      <c r="W2520" s="11"/>
      <c r="X2520" s="11"/>
      <c r="Y2520" s="15"/>
      <c r="Z2520" s="11"/>
    </row>
    <row r="2521" spans="1:26" x14ac:dyDescent="0.25">
      <c r="A2521" s="11"/>
      <c r="B2521" s="11"/>
      <c r="C2521" s="11"/>
      <c r="D2521" s="11"/>
      <c r="E2521" s="12"/>
      <c r="F2521" s="13"/>
      <c r="G2521" s="14"/>
      <c r="H2521" s="13"/>
      <c r="I2521" s="11"/>
      <c r="J2521" s="11"/>
      <c r="K2521" s="11"/>
      <c r="L2521" s="11"/>
      <c r="M2521" s="15"/>
      <c r="N2521" s="15"/>
      <c r="O2521" s="15"/>
      <c r="P2521" s="15"/>
      <c r="Q2521" s="16"/>
      <c r="R2521" s="16"/>
      <c r="S2521" s="16"/>
      <c r="T2521" s="17"/>
      <c r="U2521" s="11"/>
      <c r="V2521" s="16"/>
      <c r="W2521" s="11"/>
      <c r="X2521" s="11"/>
      <c r="Y2521" s="15"/>
      <c r="Z2521" s="11"/>
    </row>
    <row r="2522" spans="1:26" x14ac:dyDescent="0.25">
      <c r="A2522" s="18"/>
      <c r="B2522" s="18"/>
      <c r="C2522" s="18"/>
      <c r="D2522" s="18"/>
      <c r="E2522" s="19"/>
      <c r="F2522" s="20"/>
      <c r="G2522" s="14"/>
      <c r="H2522" s="20"/>
      <c r="I2522" s="18"/>
      <c r="J2522" s="18"/>
      <c r="K2522" s="18"/>
      <c r="L2522" s="18"/>
      <c r="M2522" s="21"/>
      <c r="N2522" s="21"/>
      <c r="O2522" s="21"/>
      <c r="P2522" s="21"/>
      <c r="Q2522" s="22"/>
      <c r="R2522" s="19"/>
      <c r="S2522" s="22"/>
      <c r="T2522" s="23"/>
      <c r="U2522" s="18"/>
      <c r="V2522" s="22"/>
      <c r="W2522" s="18"/>
      <c r="X2522" s="18"/>
      <c r="Y2522" s="21"/>
      <c r="Z2522" s="18"/>
    </row>
    <row r="2523" spans="1:26" x14ac:dyDescent="0.25">
      <c r="A2523" s="11"/>
      <c r="B2523" s="11"/>
      <c r="C2523" s="11"/>
      <c r="D2523" s="11"/>
      <c r="E2523" s="12"/>
      <c r="F2523" s="13"/>
      <c r="G2523" s="14"/>
      <c r="H2523" s="13"/>
      <c r="I2523" s="11"/>
      <c r="J2523" s="11"/>
      <c r="K2523" s="11"/>
      <c r="L2523" s="11"/>
      <c r="M2523" s="15"/>
      <c r="N2523" s="15"/>
      <c r="O2523" s="15"/>
      <c r="P2523" s="15"/>
      <c r="Q2523" s="16"/>
      <c r="R2523" s="16"/>
      <c r="S2523" s="16"/>
      <c r="T2523" s="17"/>
      <c r="U2523" s="11"/>
      <c r="V2523" s="16"/>
      <c r="W2523" s="11"/>
      <c r="X2523" s="11"/>
      <c r="Y2523" s="15"/>
      <c r="Z2523" s="11"/>
    </row>
    <row r="2524" spans="1:26" x14ac:dyDescent="0.25">
      <c r="A2524" s="11"/>
      <c r="B2524" s="11"/>
      <c r="C2524" s="11"/>
      <c r="D2524" s="11"/>
      <c r="E2524" s="12"/>
      <c r="F2524" s="13"/>
      <c r="G2524" s="14"/>
      <c r="H2524" s="13"/>
      <c r="I2524" s="11"/>
      <c r="J2524" s="11"/>
      <c r="K2524" s="11"/>
      <c r="L2524" s="11"/>
      <c r="M2524" s="15"/>
      <c r="N2524" s="15"/>
      <c r="O2524" s="15"/>
      <c r="P2524" s="15"/>
      <c r="Q2524" s="16"/>
      <c r="R2524" s="16"/>
      <c r="S2524" s="16"/>
      <c r="T2524" s="17"/>
      <c r="U2524" s="11"/>
      <c r="V2524" s="16"/>
      <c r="W2524" s="11"/>
      <c r="X2524" s="11"/>
      <c r="Y2524" s="15"/>
      <c r="Z2524" s="11"/>
    </row>
    <row r="2525" spans="1:26" x14ac:dyDescent="0.25">
      <c r="A2525" s="11"/>
      <c r="B2525" s="11"/>
      <c r="C2525" s="11"/>
      <c r="D2525" s="11"/>
      <c r="E2525" s="12"/>
      <c r="F2525" s="13"/>
      <c r="G2525" s="14"/>
      <c r="H2525" s="13"/>
      <c r="I2525" s="11"/>
      <c r="J2525" s="11"/>
      <c r="K2525" s="11"/>
      <c r="L2525" s="11"/>
      <c r="M2525" s="15"/>
      <c r="N2525" s="15"/>
      <c r="O2525" s="15"/>
      <c r="P2525" s="15"/>
      <c r="Q2525" s="16"/>
      <c r="R2525" s="16"/>
      <c r="S2525" s="16"/>
      <c r="T2525" s="17"/>
      <c r="U2525" s="11"/>
      <c r="V2525" s="16"/>
      <c r="W2525" s="11"/>
      <c r="X2525" s="11"/>
      <c r="Y2525" s="15"/>
      <c r="Z2525" s="11"/>
    </row>
    <row r="2526" spans="1:26" x14ac:dyDescent="0.25">
      <c r="A2526" s="18"/>
      <c r="B2526" s="18"/>
      <c r="C2526" s="18"/>
      <c r="D2526" s="18"/>
      <c r="E2526" s="19"/>
      <c r="F2526" s="20"/>
      <c r="G2526" s="14"/>
      <c r="H2526" s="20"/>
      <c r="I2526" s="18"/>
      <c r="J2526" s="18"/>
      <c r="K2526" s="18"/>
      <c r="L2526" s="18"/>
      <c r="M2526" s="21"/>
      <c r="N2526" s="21"/>
      <c r="O2526" s="21"/>
      <c r="P2526" s="21"/>
      <c r="Q2526" s="22"/>
      <c r="R2526" s="19"/>
      <c r="S2526" s="22"/>
      <c r="T2526" s="23"/>
      <c r="U2526" s="18"/>
      <c r="V2526" s="22"/>
      <c r="W2526" s="18"/>
      <c r="X2526" s="18"/>
      <c r="Y2526" s="21"/>
      <c r="Z2526" s="18"/>
    </row>
    <row r="2527" spans="1:26" x14ac:dyDescent="0.25">
      <c r="A2527" s="11"/>
      <c r="B2527" s="11"/>
      <c r="C2527" s="11"/>
      <c r="D2527" s="11"/>
      <c r="E2527" s="12"/>
      <c r="F2527" s="13"/>
      <c r="G2527" s="14"/>
      <c r="H2527" s="13"/>
      <c r="I2527" s="11"/>
      <c r="J2527" s="11"/>
      <c r="K2527" s="11"/>
      <c r="L2527" s="11"/>
      <c r="M2527" s="15"/>
      <c r="N2527" s="15"/>
      <c r="O2527" s="15"/>
      <c r="P2527" s="15"/>
      <c r="Q2527" s="16"/>
      <c r="R2527" s="16"/>
      <c r="S2527" s="16"/>
      <c r="T2527" s="17"/>
      <c r="U2527" s="11"/>
      <c r="V2527" s="16"/>
      <c r="W2527" s="11"/>
      <c r="X2527" s="11"/>
      <c r="Y2527" s="15"/>
      <c r="Z2527" s="11"/>
    </row>
    <row r="2528" spans="1:26" x14ac:dyDescent="0.25">
      <c r="A2528" s="11"/>
      <c r="B2528" s="11"/>
      <c r="C2528" s="11"/>
      <c r="D2528" s="11"/>
      <c r="E2528" s="12"/>
      <c r="F2528" s="13"/>
      <c r="G2528" s="14"/>
      <c r="H2528" s="13"/>
      <c r="I2528" s="11"/>
      <c r="J2528" s="11"/>
      <c r="K2528" s="11"/>
      <c r="L2528" s="11"/>
      <c r="M2528" s="15"/>
      <c r="N2528" s="15"/>
      <c r="O2528" s="15"/>
      <c r="P2528" s="15"/>
      <c r="Q2528" s="16"/>
      <c r="R2528" s="16"/>
      <c r="S2528" s="16"/>
      <c r="T2528" s="17"/>
      <c r="U2528" s="11"/>
      <c r="V2528" s="16"/>
      <c r="W2528" s="11"/>
      <c r="X2528" s="11"/>
      <c r="Y2528" s="15"/>
      <c r="Z2528" s="11"/>
    </row>
    <row r="2529" spans="1:26" x14ac:dyDescent="0.25">
      <c r="A2529" s="11"/>
      <c r="B2529" s="11"/>
      <c r="C2529" s="11"/>
      <c r="D2529" s="11"/>
      <c r="E2529" s="12"/>
      <c r="F2529" s="13"/>
      <c r="G2529" s="14"/>
      <c r="H2529" s="13"/>
      <c r="I2529" s="11"/>
      <c r="J2529" s="11"/>
      <c r="K2529" s="11"/>
      <c r="L2529" s="11"/>
      <c r="M2529" s="15"/>
      <c r="N2529" s="15"/>
      <c r="O2529" s="15"/>
      <c r="P2529" s="15"/>
      <c r="Q2529" s="16"/>
      <c r="R2529" s="16"/>
      <c r="S2529" s="16"/>
      <c r="T2529" s="17"/>
      <c r="U2529" s="11"/>
      <c r="V2529" s="16"/>
      <c r="W2529" s="11"/>
      <c r="X2529" s="11"/>
      <c r="Y2529" s="15"/>
      <c r="Z2529" s="11"/>
    </row>
    <row r="2530" spans="1:26" x14ac:dyDescent="0.25">
      <c r="A2530" s="11"/>
      <c r="B2530" s="11"/>
      <c r="C2530" s="11"/>
      <c r="D2530" s="11"/>
      <c r="E2530" s="12"/>
      <c r="F2530" s="13"/>
      <c r="G2530" s="14"/>
      <c r="H2530" s="13"/>
      <c r="I2530" s="11"/>
      <c r="J2530" s="11"/>
      <c r="K2530" s="11"/>
      <c r="L2530" s="11"/>
      <c r="M2530" s="15"/>
      <c r="N2530" s="15"/>
      <c r="O2530" s="15"/>
      <c r="P2530" s="15"/>
      <c r="Q2530" s="16"/>
      <c r="R2530" s="16"/>
      <c r="S2530" s="16"/>
      <c r="T2530" s="17"/>
      <c r="U2530" s="11"/>
      <c r="V2530" s="16"/>
      <c r="W2530" s="11"/>
      <c r="X2530" s="11"/>
      <c r="Y2530" s="15"/>
      <c r="Z2530" s="11"/>
    </row>
    <row r="2531" spans="1:26" x14ac:dyDescent="0.25">
      <c r="A2531" s="11"/>
      <c r="B2531" s="11"/>
      <c r="C2531" s="11"/>
      <c r="D2531" s="11"/>
      <c r="E2531" s="12"/>
      <c r="F2531" s="13"/>
      <c r="G2531" s="14"/>
      <c r="H2531" s="13"/>
      <c r="I2531" s="11"/>
      <c r="J2531" s="11"/>
      <c r="K2531" s="11"/>
      <c r="L2531" s="11"/>
      <c r="M2531" s="15"/>
      <c r="N2531" s="15"/>
      <c r="O2531" s="15"/>
      <c r="P2531" s="15"/>
      <c r="Q2531" s="16"/>
      <c r="R2531" s="16"/>
      <c r="S2531" s="16"/>
      <c r="T2531" s="17"/>
      <c r="U2531" s="11"/>
      <c r="V2531" s="16"/>
      <c r="W2531" s="11"/>
      <c r="X2531" s="11"/>
      <c r="Y2531" s="15"/>
      <c r="Z2531" s="11"/>
    </row>
    <row r="2532" spans="1:26" x14ac:dyDescent="0.25">
      <c r="A2532" s="18"/>
      <c r="B2532" s="18"/>
      <c r="C2532" s="18"/>
      <c r="D2532" s="18"/>
      <c r="E2532" s="19"/>
      <c r="F2532" s="20"/>
      <c r="G2532" s="14"/>
      <c r="H2532" s="20"/>
      <c r="I2532" s="18"/>
      <c r="J2532" s="18"/>
      <c r="K2532" s="18"/>
      <c r="L2532" s="18"/>
      <c r="M2532" s="21"/>
      <c r="N2532" s="21"/>
      <c r="O2532" s="21"/>
      <c r="P2532" s="21"/>
      <c r="Q2532" s="22"/>
      <c r="R2532" s="19"/>
      <c r="S2532" s="22"/>
      <c r="T2532" s="23"/>
      <c r="U2532" s="18"/>
      <c r="V2532" s="22"/>
      <c r="W2532" s="18"/>
      <c r="X2532" s="18"/>
      <c r="Y2532" s="21"/>
      <c r="Z2532" s="18"/>
    </row>
    <row r="2533" spans="1:26" x14ac:dyDescent="0.25">
      <c r="A2533" s="18"/>
      <c r="B2533" s="18"/>
      <c r="C2533" s="18"/>
      <c r="D2533" s="18"/>
      <c r="E2533" s="19"/>
      <c r="F2533" s="20"/>
      <c r="G2533" s="14"/>
      <c r="H2533" s="20"/>
      <c r="I2533" s="18"/>
      <c r="J2533" s="18"/>
      <c r="K2533" s="18"/>
      <c r="L2533" s="18"/>
      <c r="M2533" s="21"/>
      <c r="N2533" s="21"/>
      <c r="O2533" s="21"/>
      <c r="P2533" s="21"/>
      <c r="Q2533" s="22"/>
      <c r="R2533" s="19"/>
      <c r="S2533" s="22"/>
      <c r="T2533" s="23"/>
      <c r="U2533" s="18"/>
      <c r="V2533" s="22"/>
      <c r="W2533" s="18"/>
      <c r="X2533" s="18"/>
      <c r="Y2533" s="21"/>
      <c r="Z2533" s="18"/>
    </row>
    <row r="2534" spans="1:26" x14ac:dyDescent="0.25">
      <c r="A2534" s="11"/>
      <c r="B2534" s="11"/>
      <c r="C2534" s="11"/>
      <c r="D2534" s="11"/>
      <c r="E2534" s="12"/>
      <c r="F2534" s="13"/>
      <c r="G2534" s="14"/>
      <c r="H2534" s="13"/>
      <c r="I2534" s="11"/>
      <c r="J2534" s="11"/>
      <c r="K2534" s="11"/>
      <c r="L2534" s="11"/>
      <c r="M2534" s="15"/>
      <c r="N2534" s="15"/>
      <c r="O2534" s="15"/>
      <c r="P2534" s="15"/>
      <c r="Q2534" s="16"/>
      <c r="R2534" s="16"/>
      <c r="S2534" s="16"/>
      <c r="T2534" s="17"/>
      <c r="U2534" s="11"/>
      <c r="V2534" s="16"/>
      <c r="W2534" s="11"/>
      <c r="X2534" s="11"/>
      <c r="Y2534" s="15"/>
      <c r="Z2534" s="11"/>
    </row>
    <row r="2535" spans="1:26" x14ac:dyDescent="0.25">
      <c r="A2535" s="11"/>
      <c r="B2535" s="11"/>
      <c r="C2535" s="11"/>
      <c r="D2535" s="11"/>
      <c r="E2535" s="12"/>
      <c r="F2535" s="13"/>
      <c r="G2535" s="14"/>
      <c r="H2535" s="13"/>
      <c r="I2535" s="11"/>
      <c r="J2535" s="11"/>
      <c r="K2535" s="11"/>
      <c r="L2535" s="11"/>
      <c r="M2535" s="15"/>
      <c r="N2535" s="15"/>
      <c r="O2535" s="15"/>
      <c r="P2535" s="15"/>
      <c r="Q2535" s="16"/>
      <c r="R2535" s="16"/>
      <c r="S2535" s="16"/>
      <c r="T2535" s="17"/>
      <c r="U2535" s="11"/>
      <c r="V2535" s="16"/>
      <c r="W2535" s="11"/>
      <c r="X2535" s="11"/>
      <c r="Y2535" s="15"/>
      <c r="Z2535" s="11"/>
    </row>
    <row r="2536" spans="1:26" x14ac:dyDescent="0.25">
      <c r="A2536" s="11"/>
      <c r="B2536" s="11"/>
      <c r="C2536" s="11"/>
      <c r="D2536" s="11"/>
      <c r="E2536" s="12"/>
      <c r="F2536" s="13"/>
      <c r="G2536" s="14"/>
      <c r="H2536" s="13"/>
      <c r="I2536" s="11"/>
      <c r="J2536" s="11"/>
      <c r="K2536" s="11"/>
      <c r="L2536" s="11"/>
      <c r="M2536" s="15"/>
      <c r="N2536" s="15"/>
      <c r="O2536" s="15"/>
      <c r="P2536" s="15"/>
      <c r="Q2536" s="16"/>
      <c r="R2536" s="16"/>
      <c r="S2536" s="16"/>
      <c r="T2536" s="17"/>
      <c r="U2536" s="11"/>
      <c r="V2536" s="16"/>
      <c r="W2536" s="11"/>
      <c r="X2536" s="11"/>
      <c r="Y2536" s="15"/>
      <c r="Z2536" s="11"/>
    </row>
    <row r="2537" spans="1:26" x14ac:dyDescent="0.25">
      <c r="A2537" s="11"/>
      <c r="B2537" s="11"/>
      <c r="C2537" s="11"/>
      <c r="D2537" s="11"/>
      <c r="E2537" s="12"/>
      <c r="F2537" s="13"/>
      <c r="G2537" s="14"/>
      <c r="H2537" s="13"/>
      <c r="I2537" s="11"/>
      <c r="J2537" s="11"/>
      <c r="K2537" s="11"/>
      <c r="L2537" s="11"/>
      <c r="M2537" s="15"/>
      <c r="N2537" s="15"/>
      <c r="O2537" s="15"/>
      <c r="P2537" s="15"/>
      <c r="Q2537" s="16"/>
      <c r="R2537" s="16"/>
      <c r="S2537" s="16"/>
      <c r="T2537" s="17"/>
      <c r="U2537" s="11"/>
      <c r="V2537" s="16"/>
      <c r="W2537" s="11"/>
      <c r="X2537" s="11"/>
      <c r="Y2537" s="15"/>
      <c r="Z2537" s="11"/>
    </row>
    <row r="2538" spans="1:26" x14ac:dyDescent="0.25">
      <c r="A2538" s="11"/>
      <c r="B2538" s="11"/>
      <c r="C2538" s="11"/>
      <c r="D2538" s="11"/>
      <c r="E2538" s="12"/>
      <c r="F2538" s="13"/>
      <c r="G2538" s="14"/>
      <c r="H2538" s="13"/>
      <c r="I2538" s="11"/>
      <c r="J2538" s="11"/>
      <c r="K2538" s="11"/>
      <c r="L2538" s="11"/>
      <c r="M2538" s="15"/>
      <c r="N2538" s="15"/>
      <c r="O2538" s="15"/>
      <c r="P2538" s="15"/>
      <c r="Q2538" s="16"/>
      <c r="R2538" s="16"/>
      <c r="S2538" s="16"/>
      <c r="T2538" s="17"/>
      <c r="U2538" s="11"/>
      <c r="V2538" s="16"/>
      <c r="W2538" s="11"/>
      <c r="X2538" s="11"/>
      <c r="Y2538" s="15"/>
      <c r="Z2538" s="11"/>
    </row>
    <row r="2539" spans="1:26" x14ac:dyDescent="0.25">
      <c r="A2539" s="11"/>
      <c r="B2539" s="11"/>
      <c r="C2539" s="11"/>
      <c r="D2539" s="11"/>
      <c r="E2539" s="12"/>
      <c r="F2539" s="13"/>
      <c r="G2539" s="14"/>
      <c r="H2539" s="13"/>
      <c r="I2539" s="11"/>
      <c r="J2539" s="11"/>
      <c r="K2539" s="11"/>
      <c r="L2539" s="11"/>
      <c r="M2539" s="15"/>
      <c r="N2539" s="15"/>
      <c r="O2539" s="15"/>
      <c r="P2539" s="15"/>
      <c r="Q2539" s="16"/>
      <c r="R2539" s="16"/>
      <c r="S2539" s="16"/>
      <c r="T2539" s="17"/>
      <c r="U2539" s="11"/>
      <c r="V2539" s="16"/>
      <c r="W2539" s="11"/>
      <c r="X2539" s="11"/>
      <c r="Y2539" s="15"/>
      <c r="Z2539" s="11"/>
    </row>
    <row r="2540" spans="1:26" x14ac:dyDescent="0.25">
      <c r="A2540" s="11"/>
      <c r="B2540" s="11"/>
      <c r="C2540" s="11"/>
      <c r="D2540" s="11"/>
      <c r="E2540" s="12"/>
      <c r="F2540" s="13"/>
      <c r="G2540" s="14"/>
      <c r="H2540" s="13"/>
      <c r="I2540" s="11"/>
      <c r="J2540" s="11"/>
      <c r="K2540" s="11"/>
      <c r="L2540" s="11"/>
      <c r="M2540" s="15"/>
      <c r="N2540" s="15"/>
      <c r="O2540" s="15"/>
      <c r="P2540" s="15"/>
      <c r="Q2540" s="16"/>
      <c r="R2540" s="16"/>
      <c r="S2540" s="16"/>
      <c r="T2540" s="17"/>
      <c r="U2540" s="11"/>
      <c r="V2540" s="16"/>
      <c r="W2540" s="11"/>
      <c r="X2540" s="11"/>
      <c r="Y2540" s="15"/>
      <c r="Z2540" s="11"/>
    </row>
    <row r="2541" spans="1:26" x14ac:dyDescent="0.25">
      <c r="A2541" s="11"/>
      <c r="B2541" s="11"/>
      <c r="C2541" s="11"/>
      <c r="D2541" s="11"/>
      <c r="E2541" s="12"/>
      <c r="F2541" s="13"/>
      <c r="G2541" s="14"/>
      <c r="H2541" s="13"/>
      <c r="I2541" s="11"/>
      <c r="J2541" s="11"/>
      <c r="K2541" s="11"/>
      <c r="L2541" s="11"/>
      <c r="M2541" s="15"/>
      <c r="N2541" s="15"/>
      <c r="O2541" s="15"/>
      <c r="P2541" s="15"/>
      <c r="Q2541" s="16"/>
      <c r="R2541" s="16"/>
      <c r="S2541" s="16"/>
      <c r="T2541" s="17"/>
      <c r="U2541" s="11"/>
      <c r="V2541" s="16"/>
      <c r="W2541" s="11"/>
      <c r="X2541" s="11"/>
      <c r="Y2541" s="15"/>
      <c r="Z2541" s="11"/>
    </row>
    <row r="2542" spans="1:26" x14ac:dyDescent="0.25">
      <c r="A2542" s="11"/>
      <c r="B2542" s="11"/>
      <c r="C2542" s="11"/>
      <c r="D2542" s="11"/>
      <c r="E2542" s="12"/>
      <c r="F2542" s="13"/>
      <c r="G2542" s="14"/>
      <c r="H2542" s="13"/>
      <c r="I2542" s="11"/>
      <c r="J2542" s="11"/>
      <c r="K2542" s="11"/>
      <c r="L2542" s="11"/>
      <c r="M2542" s="15"/>
      <c r="N2542" s="15"/>
      <c r="O2542" s="15"/>
      <c r="P2542" s="15"/>
      <c r="Q2542" s="16"/>
      <c r="R2542" s="16"/>
      <c r="S2542" s="16"/>
      <c r="T2542" s="17"/>
      <c r="U2542" s="11"/>
      <c r="V2542" s="16"/>
      <c r="W2542" s="11"/>
      <c r="X2542" s="11"/>
      <c r="Y2542" s="15"/>
      <c r="Z2542" s="11"/>
    </row>
    <row r="2543" spans="1:26" x14ac:dyDescent="0.25">
      <c r="A2543" s="11"/>
      <c r="B2543" s="11"/>
      <c r="C2543" s="11"/>
      <c r="D2543" s="11"/>
      <c r="E2543" s="12"/>
      <c r="F2543" s="13"/>
      <c r="G2543" s="14"/>
      <c r="H2543" s="13"/>
      <c r="I2543" s="11"/>
      <c r="J2543" s="11"/>
      <c r="K2543" s="11"/>
      <c r="L2543" s="11"/>
      <c r="M2543" s="15"/>
      <c r="N2543" s="15"/>
      <c r="O2543" s="15"/>
      <c r="P2543" s="15"/>
      <c r="Q2543" s="16"/>
      <c r="R2543" s="16"/>
      <c r="S2543" s="16"/>
      <c r="T2543" s="17"/>
      <c r="U2543" s="11"/>
      <c r="V2543" s="16"/>
      <c r="W2543" s="11"/>
      <c r="X2543" s="11"/>
      <c r="Y2543" s="15"/>
      <c r="Z2543" s="11"/>
    </row>
    <row r="2544" spans="1:26" x14ac:dyDescent="0.25">
      <c r="A2544" s="11"/>
      <c r="B2544" s="11"/>
      <c r="C2544" s="11"/>
      <c r="D2544" s="11"/>
      <c r="E2544" s="12"/>
      <c r="F2544" s="13"/>
      <c r="G2544" s="14"/>
      <c r="H2544" s="13"/>
      <c r="I2544" s="11"/>
      <c r="J2544" s="11"/>
      <c r="K2544" s="11"/>
      <c r="L2544" s="11"/>
      <c r="M2544" s="15"/>
      <c r="N2544" s="15"/>
      <c r="O2544" s="15"/>
      <c r="P2544" s="15"/>
      <c r="Q2544" s="16"/>
      <c r="R2544" s="16"/>
      <c r="S2544" s="16"/>
      <c r="T2544" s="17"/>
      <c r="U2544" s="11"/>
      <c r="V2544" s="16"/>
      <c r="W2544" s="11"/>
      <c r="X2544" s="11"/>
      <c r="Y2544" s="15"/>
      <c r="Z2544" s="11"/>
    </row>
    <row r="2545" spans="1:26" x14ac:dyDescent="0.25">
      <c r="A2545" s="18"/>
      <c r="B2545" s="18"/>
      <c r="C2545" s="18"/>
      <c r="D2545" s="18"/>
      <c r="E2545" s="19"/>
      <c r="F2545" s="20"/>
      <c r="G2545" s="14"/>
      <c r="H2545" s="20"/>
      <c r="I2545" s="18"/>
      <c r="J2545" s="18"/>
      <c r="K2545" s="18"/>
      <c r="L2545" s="18"/>
      <c r="M2545" s="21"/>
      <c r="N2545" s="21"/>
      <c r="O2545" s="21"/>
      <c r="P2545" s="21"/>
      <c r="Q2545" s="22"/>
      <c r="R2545" s="19"/>
      <c r="S2545" s="22"/>
      <c r="T2545" s="23"/>
      <c r="U2545" s="18"/>
      <c r="V2545" s="22"/>
      <c r="W2545" s="18"/>
      <c r="X2545" s="18"/>
      <c r="Y2545" s="21"/>
      <c r="Z2545" s="18"/>
    </row>
    <row r="2546" spans="1:26" x14ac:dyDescent="0.25">
      <c r="A2546" s="11"/>
      <c r="B2546" s="11"/>
      <c r="C2546" s="11"/>
      <c r="D2546" s="11"/>
      <c r="E2546" s="12"/>
      <c r="F2546" s="13"/>
      <c r="G2546" s="14"/>
      <c r="H2546" s="13"/>
      <c r="I2546" s="11"/>
      <c r="J2546" s="11"/>
      <c r="K2546" s="11"/>
      <c r="L2546" s="11"/>
      <c r="M2546" s="15"/>
      <c r="N2546" s="15"/>
      <c r="O2546" s="15"/>
      <c r="P2546" s="15"/>
      <c r="Q2546" s="16"/>
      <c r="R2546" s="16"/>
      <c r="S2546" s="16"/>
      <c r="T2546" s="17"/>
      <c r="U2546" s="11"/>
      <c r="V2546" s="16"/>
      <c r="W2546" s="11"/>
      <c r="X2546" s="11"/>
      <c r="Y2546" s="15"/>
      <c r="Z2546" s="11"/>
    </row>
    <row r="2547" spans="1:26" x14ac:dyDescent="0.25">
      <c r="A2547" s="18"/>
      <c r="B2547" s="18"/>
      <c r="C2547" s="18"/>
      <c r="D2547" s="18"/>
      <c r="E2547" s="19"/>
      <c r="F2547" s="20"/>
      <c r="G2547" s="14"/>
      <c r="H2547" s="20"/>
      <c r="I2547" s="18"/>
      <c r="J2547" s="18"/>
      <c r="K2547" s="18"/>
      <c r="L2547" s="18"/>
      <c r="M2547" s="21"/>
      <c r="N2547" s="21"/>
      <c r="O2547" s="21"/>
      <c r="P2547" s="21"/>
      <c r="Q2547" s="22"/>
      <c r="R2547" s="19"/>
      <c r="S2547" s="22"/>
      <c r="T2547" s="23"/>
      <c r="U2547" s="18"/>
      <c r="V2547" s="22"/>
      <c r="W2547" s="18"/>
      <c r="X2547" s="18"/>
      <c r="Y2547" s="21"/>
      <c r="Z2547" s="18"/>
    </row>
    <row r="2548" spans="1:26" x14ac:dyDescent="0.25">
      <c r="A2548" s="11"/>
      <c r="B2548" s="11"/>
      <c r="C2548" s="11"/>
      <c r="D2548" s="11"/>
      <c r="E2548" s="12"/>
      <c r="F2548" s="13"/>
      <c r="G2548" s="14"/>
      <c r="H2548" s="13"/>
      <c r="I2548" s="11"/>
      <c r="J2548" s="11"/>
      <c r="K2548" s="11"/>
      <c r="L2548" s="11"/>
      <c r="M2548" s="15"/>
      <c r="N2548" s="15"/>
      <c r="O2548" s="15"/>
      <c r="P2548" s="15"/>
      <c r="Q2548" s="16"/>
      <c r="R2548" s="16"/>
      <c r="S2548" s="16"/>
      <c r="T2548" s="17"/>
      <c r="U2548" s="11"/>
      <c r="V2548" s="16"/>
      <c r="W2548" s="11"/>
      <c r="X2548" s="11"/>
      <c r="Y2548" s="15"/>
      <c r="Z2548" s="11"/>
    </row>
    <row r="2549" spans="1:26" x14ac:dyDescent="0.25">
      <c r="A2549" s="11"/>
      <c r="B2549" s="11"/>
      <c r="C2549" s="11"/>
      <c r="D2549" s="11"/>
      <c r="E2549" s="12"/>
      <c r="F2549" s="13"/>
      <c r="G2549" s="14"/>
      <c r="H2549" s="13"/>
      <c r="I2549" s="11"/>
      <c r="J2549" s="11"/>
      <c r="K2549" s="11"/>
      <c r="L2549" s="11"/>
      <c r="M2549" s="15"/>
      <c r="N2549" s="15"/>
      <c r="O2549" s="15"/>
      <c r="P2549" s="15"/>
      <c r="Q2549" s="16"/>
      <c r="R2549" s="16"/>
      <c r="S2549" s="16"/>
      <c r="T2549" s="17"/>
      <c r="U2549" s="11"/>
      <c r="V2549" s="16"/>
      <c r="W2549" s="11"/>
      <c r="X2549" s="11"/>
      <c r="Y2549" s="15"/>
      <c r="Z2549" s="11"/>
    </row>
    <row r="2550" spans="1:26" x14ac:dyDescent="0.25">
      <c r="A2550" s="18"/>
      <c r="B2550" s="18"/>
      <c r="C2550" s="18"/>
      <c r="D2550" s="18"/>
      <c r="E2550" s="19"/>
      <c r="F2550" s="20"/>
      <c r="G2550" s="14"/>
      <c r="H2550" s="20"/>
      <c r="I2550" s="18"/>
      <c r="J2550" s="18"/>
      <c r="K2550" s="18"/>
      <c r="L2550" s="18"/>
      <c r="M2550" s="21"/>
      <c r="N2550" s="21"/>
      <c r="O2550" s="21"/>
      <c r="P2550" s="21"/>
      <c r="Q2550" s="22"/>
      <c r="R2550" s="19"/>
      <c r="S2550" s="22"/>
      <c r="T2550" s="23"/>
      <c r="U2550" s="18"/>
      <c r="V2550" s="22"/>
      <c r="W2550" s="18"/>
      <c r="X2550" s="18"/>
      <c r="Y2550" s="21"/>
      <c r="Z2550" s="18"/>
    </row>
    <row r="2551" spans="1:26" x14ac:dyDescent="0.25">
      <c r="A2551" s="11"/>
      <c r="B2551" s="11"/>
      <c r="C2551" s="11"/>
      <c r="D2551" s="11"/>
      <c r="E2551" s="12"/>
      <c r="F2551" s="13"/>
      <c r="G2551" s="14"/>
      <c r="H2551" s="13"/>
      <c r="I2551" s="11"/>
      <c r="J2551" s="11"/>
      <c r="K2551" s="11"/>
      <c r="L2551" s="11"/>
      <c r="M2551" s="15"/>
      <c r="N2551" s="15"/>
      <c r="O2551" s="15"/>
      <c r="P2551" s="15"/>
      <c r="Q2551" s="16"/>
      <c r="R2551" s="16"/>
      <c r="S2551" s="16"/>
      <c r="T2551" s="17"/>
      <c r="U2551" s="11"/>
      <c r="V2551" s="16"/>
      <c r="W2551" s="11"/>
      <c r="X2551" s="11"/>
      <c r="Y2551" s="15"/>
      <c r="Z2551" s="11"/>
    </row>
    <row r="2552" spans="1:26" x14ac:dyDescent="0.25">
      <c r="A2552" s="11"/>
      <c r="B2552" s="11"/>
      <c r="C2552" s="11"/>
      <c r="D2552" s="11"/>
      <c r="E2552" s="12"/>
      <c r="F2552" s="13"/>
      <c r="G2552" s="14"/>
      <c r="H2552" s="13"/>
      <c r="I2552" s="11"/>
      <c r="J2552" s="11"/>
      <c r="K2552" s="11"/>
      <c r="L2552" s="11"/>
      <c r="M2552" s="15"/>
      <c r="N2552" s="15"/>
      <c r="O2552" s="15"/>
      <c r="P2552" s="15"/>
      <c r="Q2552" s="16"/>
      <c r="R2552" s="16"/>
      <c r="S2552" s="16"/>
      <c r="T2552" s="17"/>
      <c r="U2552" s="11"/>
      <c r="V2552" s="16"/>
      <c r="W2552" s="11"/>
      <c r="X2552" s="11"/>
      <c r="Y2552" s="15"/>
      <c r="Z2552" s="11"/>
    </row>
    <row r="2553" spans="1:26" x14ac:dyDescent="0.25">
      <c r="A2553" s="11"/>
      <c r="B2553" s="11"/>
      <c r="C2553" s="11"/>
      <c r="D2553" s="11"/>
      <c r="E2553" s="12"/>
      <c r="F2553" s="13"/>
      <c r="G2553" s="14"/>
      <c r="H2553" s="13"/>
      <c r="I2553" s="11"/>
      <c r="J2553" s="11"/>
      <c r="K2553" s="11"/>
      <c r="L2553" s="11"/>
      <c r="M2553" s="15"/>
      <c r="N2553" s="15"/>
      <c r="O2553" s="15"/>
      <c r="P2553" s="15"/>
      <c r="Q2553" s="16"/>
      <c r="R2553" s="16"/>
      <c r="S2553" s="16"/>
      <c r="T2553" s="17"/>
      <c r="U2553" s="11"/>
      <c r="V2553" s="16"/>
      <c r="W2553" s="11"/>
      <c r="X2553" s="11"/>
      <c r="Y2553" s="15"/>
      <c r="Z2553" s="11"/>
    </row>
    <row r="2554" spans="1:26" x14ac:dyDescent="0.25">
      <c r="A2554" s="11"/>
      <c r="B2554" s="11"/>
      <c r="C2554" s="11"/>
      <c r="D2554" s="11"/>
      <c r="E2554" s="12"/>
      <c r="F2554" s="13"/>
      <c r="G2554" s="14"/>
      <c r="H2554" s="13"/>
      <c r="I2554" s="11"/>
      <c r="J2554" s="11"/>
      <c r="K2554" s="11"/>
      <c r="L2554" s="11"/>
      <c r="M2554" s="15"/>
      <c r="N2554" s="15"/>
      <c r="O2554" s="15"/>
      <c r="P2554" s="15"/>
      <c r="Q2554" s="16"/>
      <c r="R2554" s="16"/>
      <c r="S2554" s="16"/>
      <c r="T2554" s="17"/>
      <c r="U2554" s="11"/>
      <c r="V2554" s="16"/>
      <c r="W2554" s="11"/>
      <c r="X2554" s="11"/>
      <c r="Y2554" s="15"/>
      <c r="Z2554" s="11"/>
    </row>
    <row r="2555" spans="1:26" x14ac:dyDescent="0.25">
      <c r="A2555" s="11"/>
      <c r="B2555" s="11"/>
      <c r="C2555" s="11"/>
      <c r="D2555" s="11"/>
      <c r="E2555" s="12"/>
      <c r="F2555" s="13"/>
      <c r="G2555" s="14"/>
      <c r="H2555" s="13"/>
      <c r="I2555" s="11"/>
      <c r="J2555" s="11"/>
      <c r="K2555" s="11"/>
      <c r="L2555" s="11"/>
      <c r="M2555" s="15"/>
      <c r="N2555" s="15"/>
      <c r="O2555" s="15"/>
      <c r="P2555" s="15"/>
      <c r="Q2555" s="16"/>
      <c r="R2555" s="16"/>
      <c r="S2555" s="16"/>
      <c r="T2555" s="17"/>
      <c r="U2555" s="11"/>
      <c r="V2555" s="16"/>
      <c r="W2555" s="11"/>
      <c r="X2555" s="11"/>
      <c r="Y2555" s="15"/>
      <c r="Z2555" s="11"/>
    </row>
    <row r="2556" spans="1:26" x14ac:dyDescent="0.25">
      <c r="A2556" s="11"/>
      <c r="B2556" s="11"/>
      <c r="C2556" s="11"/>
      <c r="D2556" s="11"/>
      <c r="E2556" s="12"/>
      <c r="F2556" s="13"/>
      <c r="G2556" s="14"/>
      <c r="H2556" s="13"/>
      <c r="I2556" s="11"/>
      <c r="J2556" s="11"/>
      <c r="K2556" s="11"/>
      <c r="L2556" s="11"/>
      <c r="M2556" s="15"/>
      <c r="N2556" s="15"/>
      <c r="O2556" s="15"/>
      <c r="P2556" s="15"/>
      <c r="Q2556" s="16"/>
      <c r="R2556" s="16"/>
      <c r="S2556" s="16"/>
      <c r="T2556" s="17"/>
      <c r="U2556" s="11"/>
      <c r="V2556" s="16"/>
      <c r="W2556" s="11"/>
      <c r="X2556" s="11"/>
      <c r="Y2556" s="15"/>
      <c r="Z2556" s="11"/>
    </row>
    <row r="2557" spans="1:26" x14ac:dyDescent="0.25">
      <c r="A2557" s="11"/>
      <c r="B2557" s="11"/>
      <c r="C2557" s="11"/>
      <c r="D2557" s="11"/>
      <c r="E2557" s="12"/>
      <c r="F2557" s="13"/>
      <c r="G2557" s="14"/>
      <c r="H2557" s="13"/>
      <c r="I2557" s="11"/>
      <c r="J2557" s="11"/>
      <c r="K2557" s="11"/>
      <c r="L2557" s="11"/>
      <c r="M2557" s="15"/>
      <c r="N2557" s="15"/>
      <c r="O2557" s="15"/>
      <c r="P2557" s="15"/>
      <c r="Q2557" s="16"/>
      <c r="R2557" s="16"/>
      <c r="S2557" s="16"/>
      <c r="T2557" s="17"/>
      <c r="U2557" s="11"/>
      <c r="V2557" s="16"/>
      <c r="W2557" s="11"/>
      <c r="X2557" s="11"/>
      <c r="Y2557" s="15"/>
      <c r="Z2557" s="11"/>
    </row>
    <row r="2558" spans="1:26" x14ac:dyDescent="0.25">
      <c r="A2558" s="11"/>
      <c r="B2558" s="11"/>
      <c r="C2558" s="11"/>
      <c r="D2558" s="11"/>
      <c r="E2558" s="12"/>
      <c r="F2558" s="13"/>
      <c r="G2558" s="14"/>
      <c r="H2558" s="13"/>
      <c r="I2558" s="11"/>
      <c r="J2558" s="11"/>
      <c r="K2558" s="11"/>
      <c r="L2558" s="11"/>
      <c r="M2558" s="15"/>
      <c r="N2558" s="15"/>
      <c r="O2558" s="15"/>
      <c r="P2558" s="15"/>
      <c r="Q2558" s="16"/>
      <c r="R2558" s="16"/>
      <c r="S2558" s="16"/>
      <c r="T2558" s="17"/>
      <c r="U2558" s="11"/>
      <c r="V2558" s="16"/>
      <c r="W2558" s="11"/>
      <c r="X2558" s="11"/>
      <c r="Y2558" s="15"/>
      <c r="Z2558" s="11"/>
    </row>
    <row r="2559" spans="1:26" x14ac:dyDescent="0.25">
      <c r="A2559" s="11"/>
      <c r="B2559" s="11"/>
      <c r="C2559" s="11"/>
      <c r="D2559" s="11"/>
      <c r="E2559" s="12"/>
      <c r="F2559" s="13"/>
      <c r="G2559" s="14"/>
      <c r="H2559" s="13"/>
      <c r="I2559" s="11"/>
      <c r="J2559" s="11"/>
      <c r="K2559" s="11"/>
      <c r="L2559" s="11"/>
      <c r="M2559" s="15"/>
      <c r="N2559" s="15"/>
      <c r="O2559" s="15"/>
      <c r="P2559" s="15"/>
      <c r="Q2559" s="16"/>
      <c r="R2559" s="16"/>
      <c r="S2559" s="16"/>
      <c r="T2559" s="17"/>
      <c r="U2559" s="11"/>
      <c r="V2559" s="16"/>
      <c r="W2559" s="11"/>
      <c r="X2559" s="11"/>
      <c r="Y2559" s="15"/>
      <c r="Z2559" s="11"/>
    </row>
    <row r="2560" spans="1:26" x14ac:dyDescent="0.25">
      <c r="A2560" s="18"/>
      <c r="B2560" s="18"/>
      <c r="C2560" s="18"/>
      <c r="D2560" s="18"/>
      <c r="E2560" s="19"/>
      <c r="F2560" s="20"/>
      <c r="G2560" s="14"/>
      <c r="H2560" s="20"/>
      <c r="I2560" s="18"/>
      <c r="J2560" s="18"/>
      <c r="K2560" s="18"/>
      <c r="L2560" s="18"/>
      <c r="M2560" s="21"/>
      <c r="N2560" s="21"/>
      <c r="O2560" s="21"/>
      <c r="P2560" s="21"/>
      <c r="Q2560" s="22"/>
      <c r="R2560" s="19"/>
      <c r="S2560" s="22"/>
      <c r="T2560" s="23"/>
      <c r="U2560" s="18"/>
      <c r="V2560" s="22"/>
      <c r="W2560" s="18"/>
      <c r="X2560" s="18"/>
      <c r="Y2560" s="21"/>
      <c r="Z2560" s="18"/>
    </row>
    <row r="2561" spans="1:26" x14ac:dyDescent="0.25">
      <c r="A2561" s="18"/>
      <c r="B2561" s="18"/>
      <c r="C2561" s="18"/>
      <c r="D2561" s="18"/>
      <c r="E2561" s="19"/>
      <c r="F2561" s="20"/>
      <c r="G2561" s="14"/>
      <c r="H2561" s="20"/>
      <c r="I2561" s="18"/>
      <c r="J2561" s="18"/>
      <c r="K2561" s="18"/>
      <c r="L2561" s="18"/>
      <c r="M2561" s="21"/>
      <c r="N2561" s="21"/>
      <c r="O2561" s="21"/>
      <c r="P2561" s="21"/>
      <c r="Q2561" s="22"/>
      <c r="R2561" s="19"/>
      <c r="S2561" s="22"/>
      <c r="T2561" s="23"/>
      <c r="U2561" s="18"/>
      <c r="V2561" s="22"/>
      <c r="W2561" s="18"/>
      <c r="X2561" s="18"/>
      <c r="Y2561" s="21"/>
      <c r="Z2561" s="18"/>
    </row>
    <row r="2562" spans="1:26" x14ac:dyDescent="0.25">
      <c r="A2562" s="11"/>
      <c r="B2562" s="11"/>
      <c r="C2562" s="11"/>
      <c r="D2562" s="11"/>
      <c r="E2562" s="12"/>
      <c r="F2562" s="13"/>
      <c r="G2562" s="14"/>
      <c r="H2562" s="13"/>
      <c r="I2562" s="11"/>
      <c r="J2562" s="11"/>
      <c r="K2562" s="11"/>
      <c r="L2562" s="11"/>
      <c r="M2562" s="15"/>
      <c r="N2562" s="15"/>
      <c r="O2562" s="15"/>
      <c r="P2562" s="15"/>
      <c r="Q2562" s="16"/>
      <c r="R2562" s="16"/>
      <c r="S2562" s="16"/>
      <c r="T2562" s="17"/>
      <c r="U2562" s="11"/>
      <c r="V2562" s="16"/>
      <c r="W2562" s="11"/>
      <c r="X2562" s="11"/>
      <c r="Y2562" s="15"/>
      <c r="Z2562" s="11"/>
    </row>
    <row r="2563" spans="1:26" x14ac:dyDescent="0.25">
      <c r="A2563" s="11"/>
      <c r="B2563" s="11"/>
      <c r="C2563" s="11"/>
      <c r="D2563" s="11"/>
      <c r="E2563" s="12"/>
      <c r="F2563" s="13"/>
      <c r="G2563" s="14"/>
      <c r="H2563" s="13"/>
      <c r="I2563" s="11"/>
      <c r="J2563" s="11"/>
      <c r="K2563" s="11"/>
      <c r="L2563" s="11"/>
      <c r="M2563" s="15"/>
      <c r="N2563" s="15"/>
      <c r="O2563" s="15"/>
      <c r="P2563" s="15"/>
      <c r="Q2563" s="16"/>
      <c r="R2563" s="16"/>
      <c r="S2563" s="16"/>
      <c r="T2563" s="17"/>
      <c r="U2563" s="11"/>
      <c r="V2563" s="16"/>
      <c r="W2563" s="11"/>
      <c r="X2563" s="11"/>
      <c r="Y2563" s="15"/>
      <c r="Z2563" s="11"/>
    </row>
    <row r="2564" spans="1:26" x14ac:dyDescent="0.25">
      <c r="A2564" s="18"/>
      <c r="B2564" s="18"/>
      <c r="C2564" s="18"/>
      <c r="D2564" s="18"/>
      <c r="E2564" s="19"/>
      <c r="F2564" s="20"/>
      <c r="G2564" s="14"/>
      <c r="H2564" s="20"/>
      <c r="I2564" s="18"/>
      <c r="J2564" s="18"/>
      <c r="K2564" s="18"/>
      <c r="L2564" s="18"/>
      <c r="M2564" s="21"/>
      <c r="N2564" s="21"/>
      <c r="O2564" s="21"/>
      <c r="P2564" s="21"/>
      <c r="Q2564" s="22"/>
      <c r="R2564" s="19"/>
      <c r="S2564" s="22"/>
      <c r="T2564" s="23"/>
      <c r="U2564" s="18"/>
      <c r="V2564" s="22"/>
      <c r="W2564" s="18"/>
      <c r="X2564" s="18"/>
      <c r="Y2564" s="21"/>
      <c r="Z2564" s="18"/>
    </row>
    <row r="2565" spans="1:26" x14ac:dyDescent="0.25">
      <c r="A2565" s="11"/>
      <c r="B2565" s="11"/>
      <c r="C2565" s="11"/>
      <c r="D2565" s="11"/>
      <c r="E2565" s="12"/>
      <c r="F2565" s="13"/>
      <c r="G2565" s="14"/>
      <c r="H2565" s="13"/>
      <c r="I2565" s="11"/>
      <c r="J2565" s="11"/>
      <c r="K2565" s="11"/>
      <c r="L2565" s="11"/>
      <c r="M2565" s="15"/>
      <c r="N2565" s="15"/>
      <c r="O2565" s="15"/>
      <c r="P2565" s="15"/>
      <c r="Q2565" s="16"/>
      <c r="R2565" s="16"/>
      <c r="S2565" s="16"/>
      <c r="T2565" s="17"/>
      <c r="U2565" s="11"/>
      <c r="V2565" s="16"/>
      <c r="W2565" s="11"/>
      <c r="X2565" s="11"/>
      <c r="Y2565" s="15"/>
      <c r="Z2565" s="11"/>
    </row>
    <row r="2566" spans="1:26" x14ac:dyDescent="0.25">
      <c r="A2566" s="11"/>
      <c r="B2566" s="11"/>
      <c r="C2566" s="11"/>
      <c r="D2566" s="11"/>
      <c r="E2566" s="12"/>
      <c r="F2566" s="13"/>
      <c r="G2566" s="14"/>
      <c r="H2566" s="13"/>
      <c r="I2566" s="11"/>
      <c r="J2566" s="11"/>
      <c r="K2566" s="11"/>
      <c r="L2566" s="11"/>
      <c r="M2566" s="15"/>
      <c r="N2566" s="15"/>
      <c r="O2566" s="15"/>
      <c r="P2566" s="15"/>
      <c r="Q2566" s="16"/>
      <c r="R2566" s="16"/>
      <c r="S2566" s="16"/>
      <c r="T2566" s="17"/>
      <c r="U2566" s="11"/>
      <c r="V2566" s="16"/>
      <c r="W2566" s="11"/>
      <c r="X2566" s="11"/>
      <c r="Y2566" s="15"/>
      <c r="Z2566" s="11"/>
    </row>
    <row r="2567" spans="1:26" x14ac:dyDescent="0.25">
      <c r="A2567" s="11"/>
      <c r="B2567" s="11"/>
      <c r="C2567" s="11"/>
      <c r="D2567" s="11"/>
      <c r="E2567" s="12"/>
      <c r="F2567" s="13"/>
      <c r="G2567" s="14"/>
      <c r="H2567" s="13"/>
      <c r="I2567" s="11"/>
      <c r="J2567" s="11"/>
      <c r="K2567" s="11"/>
      <c r="L2567" s="11"/>
      <c r="M2567" s="15"/>
      <c r="N2567" s="15"/>
      <c r="O2567" s="15"/>
      <c r="P2567" s="15"/>
      <c r="Q2567" s="16"/>
      <c r="R2567" s="16"/>
      <c r="S2567" s="16"/>
      <c r="T2567" s="17"/>
      <c r="U2567" s="11"/>
      <c r="V2567" s="16"/>
      <c r="W2567" s="11"/>
      <c r="X2567" s="11"/>
      <c r="Y2567" s="15"/>
      <c r="Z2567" s="11"/>
    </row>
    <row r="2568" spans="1:26" x14ac:dyDescent="0.25">
      <c r="A2568" s="11"/>
      <c r="B2568" s="11"/>
      <c r="C2568" s="11"/>
      <c r="D2568" s="11"/>
      <c r="E2568" s="12"/>
      <c r="F2568" s="13"/>
      <c r="G2568" s="14"/>
      <c r="H2568" s="13"/>
      <c r="I2568" s="11"/>
      <c r="J2568" s="11"/>
      <c r="K2568" s="11"/>
      <c r="L2568" s="11"/>
      <c r="M2568" s="15"/>
      <c r="N2568" s="15"/>
      <c r="O2568" s="15"/>
      <c r="P2568" s="15"/>
      <c r="Q2568" s="16"/>
      <c r="R2568" s="16"/>
      <c r="S2568" s="16"/>
      <c r="T2568" s="17"/>
      <c r="U2568" s="11"/>
      <c r="V2568" s="16"/>
      <c r="W2568" s="11"/>
      <c r="X2568" s="11"/>
      <c r="Y2568" s="15"/>
      <c r="Z2568" s="11"/>
    </row>
    <row r="2569" spans="1:26" x14ac:dyDescent="0.25">
      <c r="A2569" s="11"/>
      <c r="B2569" s="11"/>
      <c r="C2569" s="11"/>
      <c r="D2569" s="11"/>
      <c r="E2569" s="12"/>
      <c r="F2569" s="13"/>
      <c r="G2569" s="14"/>
      <c r="H2569" s="13"/>
      <c r="I2569" s="11"/>
      <c r="J2569" s="11"/>
      <c r="K2569" s="11"/>
      <c r="L2569" s="11"/>
      <c r="M2569" s="15"/>
      <c r="N2569" s="15"/>
      <c r="O2569" s="15"/>
      <c r="P2569" s="15"/>
      <c r="Q2569" s="16"/>
      <c r="R2569" s="16"/>
      <c r="S2569" s="16"/>
      <c r="T2569" s="17"/>
      <c r="U2569" s="11"/>
      <c r="V2569" s="16"/>
      <c r="W2569" s="11"/>
      <c r="X2569" s="11"/>
      <c r="Y2569" s="15"/>
      <c r="Z2569" s="11"/>
    </row>
    <row r="2570" spans="1:26" x14ac:dyDescent="0.25">
      <c r="A2570" s="11"/>
      <c r="B2570" s="11"/>
      <c r="C2570" s="11"/>
      <c r="D2570" s="11"/>
      <c r="E2570" s="12"/>
      <c r="F2570" s="13"/>
      <c r="G2570" s="14"/>
      <c r="H2570" s="13"/>
      <c r="I2570" s="11"/>
      <c r="J2570" s="11"/>
      <c r="K2570" s="11"/>
      <c r="L2570" s="11"/>
      <c r="M2570" s="15"/>
      <c r="N2570" s="15"/>
      <c r="O2570" s="15"/>
      <c r="P2570" s="15"/>
      <c r="Q2570" s="16"/>
      <c r="R2570" s="16"/>
      <c r="S2570" s="16"/>
      <c r="T2570" s="17"/>
      <c r="U2570" s="11"/>
      <c r="V2570" s="16"/>
      <c r="W2570" s="11"/>
      <c r="X2570" s="11"/>
      <c r="Y2570" s="15"/>
      <c r="Z2570" s="11"/>
    </row>
    <row r="2571" spans="1:26" x14ac:dyDescent="0.25">
      <c r="A2571" s="18"/>
      <c r="B2571" s="18"/>
      <c r="C2571" s="18"/>
      <c r="D2571" s="18"/>
      <c r="E2571" s="19"/>
      <c r="F2571" s="20"/>
      <c r="G2571" s="14"/>
      <c r="H2571" s="20"/>
      <c r="I2571" s="18"/>
      <c r="J2571" s="18"/>
      <c r="K2571" s="18"/>
      <c r="L2571" s="18"/>
      <c r="M2571" s="21"/>
      <c r="N2571" s="21"/>
      <c r="O2571" s="21"/>
      <c r="P2571" s="21"/>
      <c r="Q2571" s="22"/>
      <c r="R2571" s="19"/>
      <c r="S2571" s="22"/>
      <c r="T2571" s="23"/>
      <c r="U2571" s="18"/>
      <c r="V2571" s="22"/>
      <c r="W2571" s="18"/>
      <c r="X2571" s="18"/>
      <c r="Y2571" s="21"/>
      <c r="Z2571" s="18"/>
    </row>
    <row r="2572" spans="1:26" x14ac:dyDescent="0.25">
      <c r="A2572" s="11"/>
      <c r="B2572" s="11"/>
      <c r="C2572" s="11"/>
      <c r="D2572" s="11"/>
      <c r="E2572" s="12"/>
      <c r="F2572" s="13"/>
      <c r="G2572" s="14"/>
      <c r="H2572" s="13"/>
      <c r="I2572" s="11"/>
      <c r="J2572" s="11"/>
      <c r="K2572" s="11"/>
      <c r="L2572" s="11"/>
      <c r="M2572" s="15"/>
      <c r="N2572" s="15"/>
      <c r="O2572" s="15"/>
      <c r="P2572" s="15"/>
      <c r="Q2572" s="16"/>
      <c r="R2572" s="16"/>
      <c r="S2572" s="16"/>
      <c r="T2572" s="17"/>
      <c r="U2572" s="11"/>
      <c r="V2572" s="16"/>
      <c r="W2572" s="11"/>
      <c r="X2572" s="11"/>
      <c r="Y2572" s="15"/>
      <c r="Z2572" s="11"/>
    </row>
    <row r="2573" spans="1:26" x14ac:dyDescent="0.25">
      <c r="A2573" s="11"/>
      <c r="B2573" s="11"/>
      <c r="C2573" s="11"/>
      <c r="D2573" s="11"/>
      <c r="E2573" s="12"/>
      <c r="F2573" s="13"/>
      <c r="G2573" s="14"/>
      <c r="H2573" s="13"/>
      <c r="I2573" s="11"/>
      <c r="J2573" s="11"/>
      <c r="K2573" s="11"/>
      <c r="L2573" s="11"/>
      <c r="M2573" s="15"/>
      <c r="N2573" s="15"/>
      <c r="O2573" s="15"/>
      <c r="P2573" s="15"/>
      <c r="Q2573" s="16"/>
      <c r="R2573" s="16"/>
      <c r="S2573" s="16"/>
      <c r="T2573" s="17"/>
      <c r="U2573" s="11"/>
      <c r="V2573" s="16"/>
      <c r="W2573" s="11"/>
      <c r="X2573" s="11"/>
      <c r="Y2573" s="15"/>
      <c r="Z2573" s="11"/>
    </row>
    <row r="2574" spans="1:26" x14ac:dyDescent="0.25">
      <c r="A2574" s="11"/>
      <c r="B2574" s="11"/>
      <c r="C2574" s="11"/>
      <c r="D2574" s="11"/>
      <c r="E2574" s="12"/>
      <c r="F2574" s="13"/>
      <c r="G2574" s="14"/>
      <c r="H2574" s="13"/>
      <c r="I2574" s="11"/>
      <c r="J2574" s="11"/>
      <c r="K2574" s="11"/>
      <c r="L2574" s="11"/>
      <c r="M2574" s="15"/>
      <c r="N2574" s="15"/>
      <c r="O2574" s="15"/>
      <c r="P2574" s="15"/>
      <c r="Q2574" s="16"/>
      <c r="R2574" s="16"/>
      <c r="S2574" s="16"/>
      <c r="T2574" s="17"/>
      <c r="U2574" s="11"/>
      <c r="V2574" s="16"/>
      <c r="W2574" s="11"/>
      <c r="X2574" s="11"/>
      <c r="Y2574" s="15"/>
      <c r="Z2574" s="11"/>
    </row>
    <row r="2575" spans="1:26" x14ac:dyDescent="0.25">
      <c r="A2575" s="18"/>
      <c r="B2575" s="18"/>
      <c r="C2575" s="18"/>
      <c r="D2575" s="18"/>
      <c r="E2575" s="19"/>
      <c r="F2575" s="20"/>
      <c r="G2575" s="14"/>
      <c r="H2575" s="20"/>
      <c r="I2575" s="18"/>
      <c r="J2575" s="18"/>
      <c r="K2575" s="18"/>
      <c r="L2575" s="18"/>
      <c r="M2575" s="21"/>
      <c r="N2575" s="21"/>
      <c r="O2575" s="21"/>
      <c r="P2575" s="21"/>
      <c r="Q2575" s="22"/>
      <c r="R2575" s="19"/>
      <c r="S2575" s="22"/>
      <c r="T2575" s="23"/>
      <c r="U2575" s="18"/>
      <c r="V2575" s="22"/>
      <c r="W2575" s="18"/>
      <c r="X2575" s="18"/>
      <c r="Y2575" s="21"/>
      <c r="Z2575" s="18"/>
    </row>
    <row r="2576" spans="1:26" x14ac:dyDescent="0.25">
      <c r="A2576" s="11"/>
      <c r="B2576" s="11"/>
      <c r="C2576" s="11"/>
      <c r="D2576" s="11"/>
      <c r="E2576" s="12"/>
      <c r="F2576" s="13"/>
      <c r="G2576" s="14"/>
      <c r="H2576" s="13"/>
      <c r="I2576" s="11"/>
      <c r="J2576" s="11"/>
      <c r="K2576" s="11"/>
      <c r="L2576" s="11"/>
      <c r="M2576" s="15"/>
      <c r="N2576" s="15"/>
      <c r="O2576" s="15"/>
      <c r="P2576" s="15"/>
      <c r="Q2576" s="16"/>
      <c r="R2576" s="16"/>
      <c r="S2576" s="16"/>
      <c r="T2576" s="17"/>
      <c r="U2576" s="11"/>
      <c r="V2576" s="16"/>
      <c r="W2576" s="11"/>
      <c r="X2576" s="11"/>
      <c r="Y2576" s="15"/>
      <c r="Z2576" s="11"/>
    </row>
    <row r="2577" spans="1:26" x14ac:dyDescent="0.25">
      <c r="A2577" s="11"/>
      <c r="B2577" s="11"/>
      <c r="C2577" s="11"/>
      <c r="D2577" s="11"/>
      <c r="E2577" s="12"/>
      <c r="F2577" s="13"/>
      <c r="G2577" s="14"/>
      <c r="H2577" s="13"/>
      <c r="I2577" s="11"/>
      <c r="J2577" s="11"/>
      <c r="K2577" s="11"/>
      <c r="L2577" s="11"/>
      <c r="M2577" s="15"/>
      <c r="N2577" s="15"/>
      <c r="O2577" s="15"/>
      <c r="P2577" s="15"/>
      <c r="Q2577" s="16"/>
      <c r="R2577" s="16"/>
      <c r="S2577" s="16"/>
      <c r="T2577" s="17"/>
      <c r="U2577" s="11"/>
      <c r="V2577" s="16"/>
      <c r="W2577" s="11"/>
      <c r="X2577" s="11"/>
      <c r="Y2577" s="15"/>
      <c r="Z2577" s="11"/>
    </row>
    <row r="2578" spans="1:26" x14ac:dyDescent="0.25">
      <c r="A2578" s="11"/>
      <c r="B2578" s="11"/>
      <c r="C2578" s="11"/>
      <c r="D2578" s="11"/>
      <c r="E2578" s="12"/>
      <c r="F2578" s="13"/>
      <c r="G2578" s="14"/>
      <c r="H2578" s="13"/>
      <c r="I2578" s="11"/>
      <c r="J2578" s="11"/>
      <c r="K2578" s="11"/>
      <c r="L2578" s="11"/>
      <c r="M2578" s="15"/>
      <c r="N2578" s="15"/>
      <c r="O2578" s="15"/>
      <c r="P2578" s="15"/>
      <c r="Q2578" s="16"/>
      <c r="R2578" s="16"/>
      <c r="S2578" s="16"/>
      <c r="T2578" s="17"/>
      <c r="U2578" s="11"/>
      <c r="V2578" s="16"/>
      <c r="W2578" s="11"/>
      <c r="X2578" s="11"/>
      <c r="Y2578" s="15"/>
      <c r="Z2578" s="11"/>
    </row>
    <row r="2579" spans="1:26" x14ac:dyDescent="0.25">
      <c r="A2579" s="18"/>
      <c r="B2579" s="18"/>
      <c r="C2579" s="18"/>
      <c r="D2579" s="18"/>
      <c r="E2579" s="19"/>
      <c r="F2579" s="20"/>
      <c r="G2579" s="14"/>
      <c r="H2579" s="20"/>
      <c r="I2579" s="18"/>
      <c r="J2579" s="18"/>
      <c r="K2579" s="18"/>
      <c r="L2579" s="18"/>
      <c r="M2579" s="21"/>
      <c r="N2579" s="21"/>
      <c r="O2579" s="21"/>
      <c r="P2579" s="21"/>
      <c r="Q2579" s="22"/>
      <c r="R2579" s="19"/>
      <c r="S2579" s="22"/>
      <c r="T2579" s="23"/>
      <c r="U2579" s="18"/>
      <c r="V2579" s="22"/>
      <c r="W2579" s="18"/>
      <c r="X2579" s="18"/>
      <c r="Y2579" s="21"/>
      <c r="Z2579" s="18"/>
    </row>
    <row r="2580" spans="1:26" x14ac:dyDescent="0.25">
      <c r="A2580" s="11"/>
      <c r="B2580" s="11"/>
      <c r="C2580" s="11"/>
      <c r="D2580" s="11"/>
      <c r="E2580" s="12"/>
      <c r="F2580" s="13"/>
      <c r="G2580" s="14"/>
      <c r="H2580" s="13"/>
      <c r="I2580" s="11"/>
      <c r="J2580" s="11"/>
      <c r="K2580" s="11"/>
      <c r="L2580" s="11"/>
      <c r="M2580" s="15"/>
      <c r="N2580" s="15"/>
      <c r="O2580" s="15"/>
      <c r="P2580" s="15"/>
      <c r="Q2580" s="16"/>
      <c r="R2580" s="16"/>
      <c r="S2580" s="16"/>
      <c r="T2580" s="17"/>
      <c r="U2580" s="11"/>
      <c r="V2580" s="16"/>
      <c r="W2580" s="11"/>
      <c r="X2580" s="11"/>
      <c r="Y2580" s="15"/>
      <c r="Z2580" s="11"/>
    </row>
    <row r="2581" spans="1:26" x14ac:dyDescent="0.25">
      <c r="A2581" s="11"/>
      <c r="B2581" s="11"/>
      <c r="C2581" s="11"/>
      <c r="D2581" s="11"/>
      <c r="E2581" s="12"/>
      <c r="F2581" s="13"/>
      <c r="G2581" s="14"/>
      <c r="H2581" s="13"/>
      <c r="I2581" s="11"/>
      <c r="J2581" s="11"/>
      <c r="K2581" s="11"/>
      <c r="L2581" s="11"/>
      <c r="M2581" s="15"/>
      <c r="N2581" s="15"/>
      <c r="O2581" s="15"/>
      <c r="P2581" s="15"/>
      <c r="Q2581" s="16"/>
      <c r="R2581" s="16"/>
      <c r="S2581" s="16"/>
      <c r="T2581" s="17"/>
      <c r="U2581" s="11"/>
      <c r="V2581" s="16"/>
      <c r="W2581" s="11"/>
      <c r="X2581" s="11"/>
      <c r="Y2581" s="15"/>
      <c r="Z2581" s="11"/>
    </row>
    <row r="2582" spans="1:26" x14ac:dyDescent="0.25">
      <c r="A2582" s="18"/>
      <c r="B2582" s="18"/>
      <c r="C2582" s="18"/>
      <c r="D2582" s="18"/>
      <c r="E2582" s="19"/>
      <c r="F2582" s="20"/>
      <c r="G2582" s="14"/>
      <c r="H2582" s="20"/>
      <c r="I2582" s="18"/>
      <c r="J2582" s="18"/>
      <c r="K2582" s="18"/>
      <c r="L2582" s="18"/>
      <c r="M2582" s="21"/>
      <c r="N2582" s="21"/>
      <c r="O2582" s="21"/>
      <c r="P2582" s="21"/>
      <c r="Q2582" s="22"/>
      <c r="R2582" s="19"/>
      <c r="S2582" s="22"/>
      <c r="T2582" s="23"/>
      <c r="U2582" s="18"/>
      <c r="V2582" s="22"/>
      <c r="W2582" s="18"/>
      <c r="X2582" s="18"/>
      <c r="Y2582" s="21"/>
      <c r="Z2582" s="18"/>
    </row>
    <row r="2583" spans="1:26" x14ac:dyDescent="0.25">
      <c r="A2583" s="11"/>
      <c r="B2583" s="11"/>
      <c r="C2583" s="11"/>
      <c r="D2583" s="11"/>
      <c r="E2583" s="12"/>
      <c r="F2583" s="13"/>
      <c r="G2583" s="14"/>
      <c r="H2583" s="13"/>
      <c r="I2583" s="11"/>
      <c r="J2583" s="11"/>
      <c r="K2583" s="11"/>
      <c r="L2583" s="11"/>
      <c r="M2583" s="15"/>
      <c r="N2583" s="15"/>
      <c r="O2583" s="15"/>
      <c r="P2583" s="15"/>
      <c r="Q2583" s="16"/>
      <c r="R2583" s="16"/>
      <c r="S2583" s="16"/>
      <c r="T2583" s="17"/>
      <c r="U2583" s="11"/>
      <c r="V2583" s="16"/>
      <c r="W2583" s="11"/>
      <c r="X2583" s="11"/>
      <c r="Y2583" s="15"/>
      <c r="Z2583" s="11"/>
    </row>
    <row r="2584" spans="1:26" x14ac:dyDescent="0.25">
      <c r="A2584" s="11"/>
      <c r="B2584" s="11"/>
      <c r="C2584" s="11"/>
      <c r="D2584" s="11"/>
      <c r="E2584" s="12"/>
      <c r="F2584" s="13"/>
      <c r="G2584" s="14"/>
      <c r="H2584" s="13"/>
      <c r="I2584" s="11"/>
      <c r="J2584" s="11"/>
      <c r="K2584" s="11"/>
      <c r="L2584" s="11"/>
      <c r="M2584" s="15"/>
      <c r="N2584" s="15"/>
      <c r="O2584" s="15"/>
      <c r="P2584" s="15"/>
      <c r="Q2584" s="16"/>
      <c r="R2584" s="16"/>
      <c r="S2584" s="16"/>
      <c r="T2584" s="17"/>
      <c r="U2584" s="11"/>
      <c r="V2584" s="16"/>
      <c r="W2584" s="11"/>
      <c r="X2584" s="11"/>
      <c r="Y2584" s="15"/>
      <c r="Z2584" s="11"/>
    </row>
    <row r="2585" spans="1:26" x14ac:dyDescent="0.25">
      <c r="A2585" s="11"/>
      <c r="B2585" s="11"/>
      <c r="C2585" s="11"/>
      <c r="D2585" s="11"/>
      <c r="E2585" s="12"/>
      <c r="F2585" s="13"/>
      <c r="G2585" s="14"/>
      <c r="H2585" s="13"/>
      <c r="I2585" s="11"/>
      <c r="J2585" s="11"/>
      <c r="K2585" s="11"/>
      <c r="L2585" s="11"/>
      <c r="M2585" s="15"/>
      <c r="N2585" s="15"/>
      <c r="O2585" s="15"/>
      <c r="P2585" s="15"/>
      <c r="Q2585" s="16"/>
      <c r="R2585" s="16"/>
      <c r="S2585" s="16"/>
      <c r="T2585" s="17"/>
      <c r="U2585" s="11"/>
      <c r="V2585" s="16"/>
      <c r="W2585" s="11"/>
      <c r="X2585" s="11"/>
      <c r="Y2585" s="15"/>
      <c r="Z2585" s="11"/>
    </row>
    <row r="2586" spans="1:26" x14ac:dyDescent="0.25">
      <c r="A2586" s="11"/>
      <c r="B2586" s="11"/>
      <c r="C2586" s="11"/>
      <c r="D2586" s="11"/>
      <c r="E2586" s="12"/>
      <c r="F2586" s="13"/>
      <c r="G2586" s="14"/>
      <c r="H2586" s="13"/>
      <c r="I2586" s="11"/>
      <c r="J2586" s="11"/>
      <c r="K2586" s="11"/>
      <c r="L2586" s="11"/>
      <c r="M2586" s="15"/>
      <c r="N2586" s="15"/>
      <c r="O2586" s="15"/>
      <c r="P2586" s="15"/>
      <c r="Q2586" s="16"/>
      <c r="R2586" s="16"/>
      <c r="S2586" s="16"/>
      <c r="T2586" s="17"/>
      <c r="U2586" s="11"/>
      <c r="V2586" s="16"/>
      <c r="W2586" s="11"/>
      <c r="X2586" s="11"/>
      <c r="Y2586" s="15"/>
      <c r="Z2586" s="11"/>
    </row>
    <row r="2587" spans="1:26" x14ac:dyDescent="0.25">
      <c r="A2587" s="11"/>
      <c r="B2587" s="11"/>
      <c r="C2587" s="11"/>
      <c r="D2587" s="11"/>
      <c r="E2587" s="12"/>
      <c r="F2587" s="13"/>
      <c r="G2587" s="14"/>
      <c r="H2587" s="13"/>
      <c r="I2587" s="11"/>
      <c r="J2587" s="11"/>
      <c r="K2587" s="11"/>
      <c r="L2587" s="11"/>
      <c r="M2587" s="15"/>
      <c r="N2587" s="15"/>
      <c r="O2587" s="15"/>
      <c r="P2587" s="15"/>
      <c r="Q2587" s="16"/>
      <c r="R2587" s="16"/>
      <c r="S2587" s="16"/>
      <c r="T2587" s="17"/>
      <c r="U2587" s="11"/>
      <c r="V2587" s="16"/>
      <c r="W2587" s="11"/>
      <c r="X2587" s="11"/>
      <c r="Y2587" s="15"/>
      <c r="Z2587" s="11"/>
    </row>
    <row r="2588" spans="1:26" x14ac:dyDescent="0.25">
      <c r="A2588" s="18"/>
      <c r="B2588" s="18"/>
      <c r="C2588" s="18"/>
      <c r="D2588" s="18"/>
      <c r="E2588" s="19"/>
      <c r="F2588" s="20"/>
      <c r="G2588" s="14"/>
      <c r="H2588" s="20"/>
      <c r="I2588" s="18"/>
      <c r="J2588" s="18"/>
      <c r="K2588" s="18"/>
      <c r="L2588" s="18"/>
      <c r="M2588" s="21"/>
      <c r="N2588" s="21"/>
      <c r="O2588" s="21"/>
      <c r="P2588" s="21"/>
      <c r="Q2588" s="22"/>
      <c r="R2588" s="19"/>
      <c r="S2588" s="22"/>
      <c r="T2588" s="23"/>
      <c r="U2588" s="18"/>
      <c r="V2588" s="22"/>
      <c r="W2588" s="18"/>
      <c r="X2588" s="18"/>
      <c r="Y2588" s="21"/>
      <c r="Z2588" s="18"/>
    </row>
    <row r="2589" spans="1:26" x14ac:dyDescent="0.25">
      <c r="A2589" s="18"/>
      <c r="B2589" s="18"/>
      <c r="C2589" s="18"/>
      <c r="D2589" s="18"/>
      <c r="E2589" s="19"/>
      <c r="F2589" s="20"/>
      <c r="G2589" s="14"/>
      <c r="H2589" s="20"/>
      <c r="I2589" s="18"/>
      <c r="J2589" s="18"/>
      <c r="K2589" s="18"/>
      <c r="L2589" s="18"/>
      <c r="M2589" s="21"/>
      <c r="N2589" s="21"/>
      <c r="O2589" s="21"/>
      <c r="P2589" s="21"/>
      <c r="Q2589" s="22"/>
      <c r="R2589" s="19"/>
      <c r="S2589" s="22"/>
      <c r="T2589" s="23"/>
      <c r="U2589" s="18"/>
      <c r="V2589" s="22"/>
      <c r="W2589" s="18"/>
      <c r="X2589" s="18"/>
      <c r="Y2589" s="21"/>
      <c r="Z2589" s="18"/>
    </row>
    <row r="2590" spans="1:26" x14ac:dyDescent="0.25">
      <c r="A2590" s="11"/>
      <c r="B2590" s="11"/>
      <c r="C2590" s="11"/>
      <c r="D2590" s="11"/>
      <c r="E2590" s="12"/>
      <c r="F2590" s="13"/>
      <c r="G2590" s="14"/>
      <c r="H2590" s="13"/>
      <c r="I2590" s="11"/>
      <c r="J2590" s="11"/>
      <c r="K2590" s="11"/>
      <c r="L2590" s="11"/>
      <c r="M2590" s="15"/>
      <c r="N2590" s="15"/>
      <c r="O2590" s="15"/>
      <c r="P2590" s="15"/>
      <c r="Q2590" s="16"/>
      <c r="R2590" s="16"/>
      <c r="S2590" s="16"/>
      <c r="T2590" s="17"/>
      <c r="U2590" s="11"/>
      <c r="V2590" s="16"/>
      <c r="W2590" s="11"/>
      <c r="X2590" s="11"/>
      <c r="Y2590" s="15"/>
      <c r="Z2590" s="11"/>
    </row>
    <row r="2591" spans="1:26" x14ac:dyDescent="0.25">
      <c r="A2591" s="11"/>
      <c r="B2591" s="11"/>
      <c r="C2591" s="11"/>
      <c r="D2591" s="11"/>
      <c r="E2591" s="12"/>
      <c r="F2591" s="13"/>
      <c r="G2591" s="14"/>
      <c r="H2591" s="13"/>
      <c r="I2591" s="11"/>
      <c r="J2591" s="11"/>
      <c r="K2591" s="11"/>
      <c r="L2591" s="11"/>
      <c r="M2591" s="15"/>
      <c r="N2591" s="15"/>
      <c r="O2591" s="15"/>
      <c r="P2591" s="15"/>
      <c r="Q2591" s="16"/>
      <c r="R2591" s="16"/>
      <c r="S2591" s="16"/>
      <c r="T2591" s="17"/>
      <c r="U2591" s="11"/>
      <c r="V2591" s="16"/>
      <c r="W2591" s="11"/>
      <c r="X2591" s="11"/>
      <c r="Y2591" s="15"/>
      <c r="Z2591" s="11"/>
    </row>
    <row r="2592" spans="1:26" x14ac:dyDescent="0.25">
      <c r="A2592" s="11"/>
      <c r="B2592" s="11"/>
      <c r="C2592" s="11"/>
      <c r="D2592" s="11"/>
      <c r="E2592" s="12"/>
      <c r="F2592" s="13"/>
      <c r="G2592" s="14"/>
      <c r="H2592" s="13"/>
      <c r="I2592" s="11"/>
      <c r="J2592" s="11"/>
      <c r="K2592" s="11"/>
      <c r="L2592" s="11"/>
      <c r="M2592" s="15"/>
      <c r="N2592" s="15"/>
      <c r="O2592" s="15"/>
      <c r="P2592" s="15"/>
      <c r="Q2592" s="16"/>
      <c r="R2592" s="16"/>
      <c r="S2592" s="16"/>
      <c r="T2592" s="17"/>
      <c r="U2592" s="11"/>
      <c r="V2592" s="16"/>
      <c r="W2592" s="11"/>
      <c r="X2592" s="11"/>
      <c r="Y2592" s="15"/>
      <c r="Z2592" s="11"/>
    </row>
    <row r="2593" spans="1:26" x14ac:dyDescent="0.25">
      <c r="A2593" s="18"/>
      <c r="B2593" s="18"/>
      <c r="C2593" s="18"/>
      <c r="D2593" s="18"/>
      <c r="E2593" s="19"/>
      <c r="F2593" s="20"/>
      <c r="G2593" s="14"/>
      <c r="H2593" s="20"/>
      <c r="I2593" s="18"/>
      <c r="J2593" s="18"/>
      <c r="K2593" s="18"/>
      <c r="L2593" s="18"/>
      <c r="M2593" s="21"/>
      <c r="N2593" s="21"/>
      <c r="O2593" s="21"/>
      <c r="P2593" s="21"/>
      <c r="Q2593" s="22"/>
      <c r="R2593" s="19"/>
      <c r="S2593" s="22"/>
      <c r="T2593" s="23"/>
      <c r="U2593" s="18"/>
      <c r="V2593" s="22"/>
      <c r="W2593" s="18"/>
      <c r="X2593" s="18"/>
      <c r="Y2593" s="21"/>
      <c r="Z2593" s="18"/>
    </row>
    <row r="2594" spans="1:26" x14ac:dyDescent="0.25">
      <c r="A2594" s="11"/>
      <c r="B2594" s="11"/>
      <c r="C2594" s="11"/>
      <c r="D2594" s="11"/>
      <c r="E2594" s="12"/>
      <c r="F2594" s="13"/>
      <c r="G2594" s="14"/>
      <c r="H2594" s="13"/>
      <c r="I2594" s="11"/>
      <c r="J2594" s="11"/>
      <c r="K2594" s="11"/>
      <c r="L2594" s="11"/>
      <c r="M2594" s="15"/>
      <c r="N2594" s="15"/>
      <c r="O2594" s="15"/>
      <c r="P2594" s="15"/>
      <c r="Q2594" s="16"/>
      <c r="R2594" s="16"/>
      <c r="S2594" s="16"/>
      <c r="T2594" s="17"/>
      <c r="U2594" s="11"/>
      <c r="V2594" s="16"/>
      <c r="W2594" s="11"/>
      <c r="X2594" s="11"/>
      <c r="Y2594" s="15"/>
      <c r="Z2594" s="11"/>
    </row>
    <row r="2595" spans="1:26" x14ac:dyDescent="0.25">
      <c r="A2595" s="18"/>
      <c r="B2595" s="18"/>
      <c r="C2595" s="18"/>
      <c r="D2595" s="18"/>
      <c r="E2595" s="19"/>
      <c r="F2595" s="20"/>
      <c r="G2595" s="14"/>
      <c r="H2595" s="20"/>
      <c r="I2595" s="18"/>
      <c r="J2595" s="18"/>
      <c r="K2595" s="18"/>
      <c r="L2595" s="18"/>
      <c r="M2595" s="21"/>
      <c r="N2595" s="21"/>
      <c r="O2595" s="21"/>
      <c r="P2595" s="21"/>
      <c r="Q2595" s="22"/>
      <c r="R2595" s="19"/>
      <c r="S2595" s="22"/>
      <c r="T2595" s="23"/>
      <c r="U2595" s="18"/>
      <c r="V2595" s="22"/>
      <c r="W2595" s="18"/>
      <c r="X2595" s="18"/>
      <c r="Y2595" s="21"/>
      <c r="Z2595" s="18"/>
    </row>
    <row r="2596" spans="1:26" x14ac:dyDescent="0.25">
      <c r="A2596" s="11"/>
      <c r="B2596" s="11"/>
      <c r="C2596" s="11"/>
      <c r="D2596" s="11"/>
      <c r="E2596" s="12"/>
      <c r="F2596" s="13"/>
      <c r="G2596" s="14"/>
      <c r="H2596" s="13"/>
      <c r="I2596" s="11"/>
      <c r="J2596" s="11"/>
      <c r="K2596" s="11"/>
      <c r="L2596" s="11"/>
      <c r="M2596" s="15"/>
      <c r="N2596" s="15"/>
      <c r="O2596" s="15"/>
      <c r="P2596" s="15"/>
      <c r="Q2596" s="16"/>
      <c r="R2596" s="16"/>
      <c r="S2596" s="16"/>
      <c r="T2596" s="17"/>
      <c r="U2596" s="11"/>
      <c r="V2596" s="16"/>
      <c r="W2596" s="11"/>
      <c r="X2596" s="11"/>
      <c r="Y2596" s="15"/>
      <c r="Z2596" s="11"/>
    </row>
    <row r="2597" spans="1:26" x14ac:dyDescent="0.25">
      <c r="A2597" s="11"/>
      <c r="B2597" s="11"/>
      <c r="C2597" s="11"/>
      <c r="D2597" s="11"/>
      <c r="E2597" s="12"/>
      <c r="F2597" s="13"/>
      <c r="G2597" s="14"/>
      <c r="H2597" s="13"/>
      <c r="I2597" s="11"/>
      <c r="J2597" s="11"/>
      <c r="K2597" s="11"/>
      <c r="L2597" s="11"/>
      <c r="M2597" s="15"/>
      <c r="N2597" s="15"/>
      <c r="O2597" s="15"/>
      <c r="P2597" s="15"/>
      <c r="Q2597" s="16"/>
      <c r="R2597" s="16"/>
      <c r="S2597" s="16"/>
      <c r="T2597" s="17"/>
      <c r="U2597" s="11"/>
      <c r="V2597" s="16"/>
      <c r="W2597" s="11"/>
      <c r="X2597" s="11"/>
      <c r="Y2597" s="15"/>
      <c r="Z2597" s="11"/>
    </row>
    <row r="2598" spans="1:26" x14ac:dyDescent="0.25">
      <c r="A2598" s="11"/>
      <c r="B2598" s="11"/>
      <c r="C2598" s="11"/>
      <c r="D2598" s="11"/>
      <c r="E2598" s="12"/>
      <c r="F2598" s="13"/>
      <c r="G2598" s="14"/>
      <c r="H2598" s="13"/>
      <c r="I2598" s="11"/>
      <c r="J2598" s="11"/>
      <c r="K2598" s="11"/>
      <c r="L2598" s="11"/>
      <c r="M2598" s="15"/>
      <c r="N2598" s="15"/>
      <c r="O2598" s="15"/>
      <c r="P2598" s="15"/>
      <c r="Q2598" s="16"/>
      <c r="R2598" s="16"/>
      <c r="S2598" s="16"/>
      <c r="T2598" s="17"/>
      <c r="U2598" s="11"/>
      <c r="V2598" s="16"/>
      <c r="W2598" s="11"/>
      <c r="X2598" s="11"/>
      <c r="Y2598" s="15"/>
      <c r="Z2598" s="11"/>
    </row>
    <row r="2599" spans="1:26" x14ac:dyDescent="0.25">
      <c r="A2599" s="11"/>
      <c r="B2599" s="11"/>
      <c r="C2599" s="11"/>
      <c r="D2599" s="11"/>
      <c r="E2599" s="12"/>
      <c r="F2599" s="13"/>
      <c r="G2599" s="14"/>
      <c r="H2599" s="13"/>
      <c r="I2599" s="11"/>
      <c r="J2599" s="11"/>
      <c r="K2599" s="11"/>
      <c r="L2599" s="11"/>
      <c r="M2599" s="15"/>
      <c r="N2599" s="15"/>
      <c r="O2599" s="15"/>
      <c r="P2599" s="15"/>
      <c r="Q2599" s="16"/>
      <c r="R2599" s="16"/>
      <c r="S2599" s="16"/>
      <c r="T2599" s="17"/>
      <c r="U2599" s="11"/>
      <c r="V2599" s="16"/>
      <c r="W2599" s="11"/>
      <c r="X2599" s="11"/>
      <c r="Y2599" s="15"/>
      <c r="Z2599" s="11"/>
    </row>
    <row r="2600" spans="1:26" x14ac:dyDescent="0.25">
      <c r="A2600" s="18"/>
      <c r="B2600" s="18"/>
      <c r="C2600" s="18"/>
      <c r="D2600" s="18"/>
      <c r="E2600" s="19"/>
      <c r="F2600" s="20"/>
      <c r="G2600" s="14"/>
      <c r="H2600" s="20"/>
      <c r="I2600" s="18"/>
      <c r="J2600" s="18"/>
      <c r="K2600" s="18"/>
      <c r="L2600" s="18"/>
      <c r="M2600" s="21"/>
      <c r="N2600" s="21"/>
      <c r="O2600" s="21"/>
      <c r="P2600" s="21"/>
      <c r="Q2600" s="22"/>
      <c r="R2600" s="19"/>
      <c r="S2600" s="22"/>
      <c r="T2600" s="23"/>
      <c r="U2600" s="18"/>
      <c r="V2600" s="22"/>
      <c r="W2600" s="18"/>
      <c r="X2600" s="18"/>
      <c r="Y2600" s="21"/>
      <c r="Z2600" s="18"/>
    </row>
    <row r="2601" spans="1:26" x14ac:dyDescent="0.25">
      <c r="A2601" s="11"/>
      <c r="B2601" s="11"/>
      <c r="C2601" s="11"/>
      <c r="D2601" s="11"/>
      <c r="E2601" s="12"/>
      <c r="F2601" s="13"/>
      <c r="G2601" s="14"/>
      <c r="H2601" s="13"/>
      <c r="I2601" s="11"/>
      <c r="J2601" s="11"/>
      <c r="K2601" s="11"/>
      <c r="L2601" s="11"/>
      <c r="M2601" s="15"/>
      <c r="N2601" s="15"/>
      <c r="O2601" s="15"/>
      <c r="P2601" s="15"/>
      <c r="Q2601" s="16"/>
      <c r="R2601" s="16"/>
      <c r="S2601" s="16"/>
      <c r="T2601" s="17"/>
      <c r="U2601" s="11"/>
      <c r="V2601" s="16"/>
      <c r="W2601" s="11"/>
      <c r="X2601" s="11"/>
      <c r="Y2601" s="15"/>
      <c r="Z2601" s="11"/>
    </row>
    <row r="2602" spans="1:26" x14ac:dyDescent="0.25">
      <c r="A2602" s="18"/>
      <c r="B2602" s="18"/>
      <c r="C2602" s="18"/>
      <c r="D2602" s="18"/>
      <c r="E2602" s="19"/>
      <c r="F2602" s="20"/>
      <c r="G2602" s="14"/>
      <c r="H2602" s="20"/>
      <c r="I2602" s="18"/>
      <c r="J2602" s="18"/>
      <c r="K2602" s="18"/>
      <c r="L2602" s="18"/>
      <c r="M2602" s="21"/>
      <c r="N2602" s="21"/>
      <c r="O2602" s="21"/>
      <c r="P2602" s="21"/>
      <c r="Q2602" s="22"/>
      <c r="R2602" s="19"/>
      <c r="S2602" s="22"/>
      <c r="T2602" s="23"/>
      <c r="U2602" s="18"/>
      <c r="V2602" s="22"/>
      <c r="W2602" s="18"/>
      <c r="X2602" s="18"/>
      <c r="Y2602" s="21"/>
      <c r="Z2602" s="18"/>
    </row>
    <row r="2603" spans="1:26" x14ac:dyDescent="0.25">
      <c r="A2603" s="11"/>
      <c r="B2603" s="11"/>
      <c r="C2603" s="11"/>
      <c r="D2603" s="11"/>
      <c r="E2603" s="12"/>
      <c r="F2603" s="13"/>
      <c r="G2603" s="14"/>
      <c r="H2603" s="13"/>
      <c r="I2603" s="11"/>
      <c r="J2603" s="11"/>
      <c r="K2603" s="11"/>
      <c r="L2603" s="11"/>
      <c r="M2603" s="15"/>
      <c r="N2603" s="15"/>
      <c r="O2603" s="15"/>
      <c r="P2603" s="15"/>
      <c r="Q2603" s="16"/>
      <c r="R2603" s="16"/>
      <c r="S2603" s="16"/>
      <c r="T2603" s="17"/>
      <c r="U2603" s="11"/>
      <c r="V2603" s="16"/>
      <c r="W2603" s="11"/>
      <c r="X2603" s="11"/>
      <c r="Y2603" s="15"/>
      <c r="Z2603" s="11"/>
    </row>
    <row r="2604" spans="1:26" x14ac:dyDescent="0.25">
      <c r="A2604" s="11"/>
      <c r="B2604" s="11"/>
      <c r="C2604" s="11"/>
      <c r="D2604" s="11"/>
      <c r="E2604" s="12"/>
      <c r="F2604" s="13"/>
      <c r="G2604" s="14"/>
      <c r="H2604" s="13"/>
      <c r="I2604" s="11"/>
      <c r="J2604" s="11"/>
      <c r="K2604" s="11"/>
      <c r="L2604" s="11"/>
      <c r="M2604" s="15"/>
      <c r="N2604" s="15"/>
      <c r="O2604" s="15"/>
      <c r="P2604" s="15"/>
      <c r="Q2604" s="16"/>
      <c r="R2604" s="16"/>
      <c r="S2604" s="16"/>
      <c r="T2604" s="17"/>
      <c r="U2604" s="11"/>
      <c r="V2604" s="16"/>
      <c r="W2604" s="11"/>
      <c r="X2604" s="11"/>
      <c r="Y2604" s="15"/>
      <c r="Z2604" s="11"/>
    </row>
    <row r="2605" spans="1:26" x14ac:dyDescent="0.25">
      <c r="A2605" s="11"/>
      <c r="B2605" s="11"/>
      <c r="C2605" s="11"/>
      <c r="D2605" s="11"/>
      <c r="E2605" s="12"/>
      <c r="F2605" s="13"/>
      <c r="G2605" s="14"/>
      <c r="H2605" s="13"/>
      <c r="I2605" s="11"/>
      <c r="J2605" s="11"/>
      <c r="K2605" s="11"/>
      <c r="L2605" s="11"/>
      <c r="M2605" s="15"/>
      <c r="N2605" s="15"/>
      <c r="O2605" s="15"/>
      <c r="P2605" s="15"/>
      <c r="Q2605" s="16"/>
      <c r="R2605" s="16"/>
      <c r="S2605" s="16"/>
      <c r="T2605" s="17"/>
      <c r="U2605" s="11"/>
      <c r="V2605" s="16"/>
      <c r="W2605" s="11"/>
      <c r="X2605" s="11"/>
      <c r="Y2605" s="15"/>
      <c r="Z2605" s="11"/>
    </row>
    <row r="2606" spans="1:26" x14ac:dyDescent="0.25">
      <c r="A2606" s="11"/>
      <c r="B2606" s="11"/>
      <c r="C2606" s="11"/>
      <c r="D2606" s="11"/>
      <c r="E2606" s="12"/>
      <c r="F2606" s="13"/>
      <c r="G2606" s="14"/>
      <c r="H2606" s="13"/>
      <c r="I2606" s="11"/>
      <c r="J2606" s="11"/>
      <c r="K2606" s="11"/>
      <c r="L2606" s="11"/>
      <c r="M2606" s="15"/>
      <c r="N2606" s="15"/>
      <c r="O2606" s="15"/>
      <c r="P2606" s="15"/>
      <c r="Q2606" s="16"/>
      <c r="R2606" s="16"/>
      <c r="S2606" s="16"/>
      <c r="T2606" s="17"/>
      <c r="U2606" s="11"/>
      <c r="V2606" s="16"/>
      <c r="W2606" s="11"/>
      <c r="X2606" s="11"/>
      <c r="Y2606" s="15"/>
      <c r="Z2606" s="11"/>
    </row>
    <row r="2607" spans="1:26" x14ac:dyDescent="0.25">
      <c r="A2607" s="11"/>
      <c r="B2607" s="11"/>
      <c r="C2607" s="11"/>
      <c r="D2607" s="11"/>
      <c r="E2607" s="12"/>
      <c r="F2607" s="13"/>
      <c r="G2607" s="14"/>
      <c r="H2607" s="13"/>
      <c r="I2607" s="11"/>
      <c r="J2607" s="11"/>
      <c r="K2607" s="11"/>
      <c r="L2607" s="11"/>
      <c r="M2607" s="15"/>
      <c r="N2607" s="15"/>
      <c r="O2607" s="15"/>
      <c r="P2607" s="15"/>
      <c r="Q2607" s="16"/>
      <c r="R2607" s="16"/>
      <c r="S2607" s="16"/>
      <c r="T2607" s="17"/>
      <c r="U2607" s="11"/>
      <c r="V2607" s="16"/>
      <c r="W2607" s="11"/>
      <c r="X2607" s="11"/>
      <c r="Y2607" s="15"/>
      <c r="Z2607" s="11"/>
    </row>
    <row r="2608" spans="1:26" x14ac:dyDescent="0.25">
      <c r="A2608" s="11"/>
      <c r="B2608" s="11"/>
      <c r="C2608" s="11"/>
      <c r="D2608" s="11"/>
      <c r="E2608" s="12"/>
      <c r="F2608" s="13"/>
      <c r="G2608" s="14"/>
      <c r="H2608" s="13"/>
      <c r="I2608" s="11"/>
      <c r="J2608" s="11"/>
      <c r="K2608" s="11"/>
      <c r="L2608" s="11"/>
      <c r="M2608" s="15"/>
      <c r="N2608" s="15"/>
      <c r="O2608" s="15"/>
      <c r="P2608" s="15"/>
      <c r="Q2608" s="16"/>
      <c r="R2608" s="16"/>
      <c r="S2608" s="16"/>
      <c r="T2608" s="17"/>
      <c r="U2608" s="11"/>
      <c r="V2608" s="16"/>
      <c r="W2608" s="11"/>
      <c r="X2608" s="11"/>
      <c r="Y2608" s="15"/>
      <c r="Z2608" s="11"/>
    </row>
    <row r="2609" spans="1:26" x14ac:dyDescent="0.25">
      <c r="A2609" s="11"/>
      <c r="B2609" s="11"/>
      <c r="C2609" s="11"/>
      <c r="D2609" s="11"/>
      <c r="E2609" s="12"/>
      <c r="F2609" s="13"/>
      <c r="G2609" s="14"/>
      <c r="H2609" s="13"/>
      <c r="I2609" s="11"/>
      <c r="J2609" s="11"/>
      <c r="K2609" s="11"/>
      <c r="L2609" s="11"/>
      <c r="M2609" s="15"/>
      <c r="N2609" s="15"/>
      <c r="O2609" s="15"/>
      <c r="P2609" s="15"/>
      <c r="Q2609" s="16"/>
      <c r="R2609" s="16"/>
      <c r="S2609" s="16"/>
      <c r="T2609" s="17"/>
      <c r="U2609" s="11"/>
      <c r="V2609" s="16"/>
      <c r="W2609" s="11"/>
      <c r="X2609" s="11"/>
      <c r="Y2609" s="15"/>
      <c r="Z2609" s="11"/>
    </row>
    <row r="2610" spans="1:26" x14ac:dyDescent="0.25">
      <c r="A2610" s="11"/>
      <c r="B2610" s="11"/>
      <c r="C2610" s="11"/>
      <c r="D2610" s="11"/>
      <c r="E2610" s="12"/>
      <c r="F2610" s="13"/>
      <c r="G2610" s="14"/>
      <c r="H2610" s="13"/>
      <c r="I2610" s="11"/>
      <c r="J2610" s="11"/>
      <c r="K2610" s="11"/>
      <c r="L2610" s="11"/>
      <c r="M2610" s="15"/>
      <c r="N2610" s="15"/>
      <c r="O2610" s="15"/>
      <c r="P2610" s="15"/>
      <c r="Q2610" s="16"/>
      <c r="R2610" s="16"/>
      <c r="S2610" s="16"/>
      <c r="T2610" s="17"/>
      <c r="U2610" s="11"/>
      <c r="V2610" s="16"/>
      <c r="W2610" s="11"/>
      <c r="X2610" s="11"/>
      <c r="Y2610" s="15"/>
      <c r="Z2610" s="11"/>
    </row>
    <row r="2611" spans="1:26" x14ac:dyDescent="0.25">
      <c r="A2611" s="11"/>
      <c r="B2611" s="11"/>
      <c r="C2611" s="11"/>
      <c r="D2611" s="11"/>
      <c r="E2611" s="12"/>
      <c r="F2611" s="13"/>
      <c r="G2611" s="14"/>
      <c r="H2611" s="13"/>
      <c r="I2611" s="11"/>
      <c r="J2611" s="11"/>
      <c r="K2611" s="11"/>
      <c r="L2611" s="11"/>
      <c r="M2611" s="15"/>
      <c r="N2611" s="15"/>
      <c r="O2611" s="15"/>
      <c r="P2611" s="15"/>
      <c r="Q2611" s="16"/>
      <c r="R2611" s="16"/>
      <c r="S2611" s="16"/>
      <c r="T2611" s="17"/>
      <c r="U2611" s="11"/>
      <c r="V2611" s="16"/>
      <c r="W2611" s="11"/>
      <c r="X2611" s="11"/>
      <c r="Y2611" s="15"/>
      <c r="Z2611" s="11"/>
    </row>
    <row r="2612" spans="1:26" x14ac:dyDescent="0.25">
      <c r="A2612" s="11"/>
      <c r="B2612" s="11"/>
      <c r="C2612" s="11"/>
      <c r="D2612" s="11"/>
      <c r="E2612" s="12"/>
      <c r="F2612" s="13"/>
      <c r="G2612" s="14"/>
      <c r="H2612" s="13"/>
      <c r="I2612" s="11"/>
      <c r="J2612" s="11"/>
      <c r="K2612" s="11"/>
      <c r="L2612" s="11"/>
      <c r="M2612" s="15"/>
      <c r="N2612" s="15"/>
      <c r="O2612" s="15"/>
      <c r="P2612" s="15"/>
      <c r="Q2612" s="16"/>
      <c r="R2612" s="16"/>
      <c r="S2612" s="16"/>
      <c r="T2612" s="17"/>
      <c r="U2612" s="11"/>
      <c r="V2612" s="16"/>
      <c r="W2612" s="11"/>
      <c r="X2612" s="11"/>
      <c r="Y2612" s="15"/>
      <c r="Z2612" s="11"/>
    </row>
    <row r="2613" spans="1:26" x14ac:dyDescent="0.25">
      <c r="A2613" s="11"/>
      <c r="B2613" s="11"/>
      <c r="C2613" s="11"/>
      <c r="D2613" s="11"/>
      <c r="E2613" s="12"/>
      <c r="F2613" s="13"/>
      <c r="G2613" s="14"/>
      <c r="H2613" s="13"/>
      <c r="I2613" s="11"/>
      <c r="J2613" s="11"/>
      <c r="K2613" s="11"/>
      <c r="L2613" s="11"/>
      <c r="M2613" s="15"/>
      <c r="N2613" s="15"/>
      <c r="O2613" s="15"/>
      <c r="P2613" s="15"/>
      <c r="Q2613" s="16"/>
      <c r="R2613" s="16"/>
      <c r="S2613" s="16"/>
      <c r="T2613" s="17"/>
      <c r="U2613" s="11"/>
      <c r="V2613" s="16"/>
      <c r="W2613" s="11"/>
      <c r="X2613" s="11"/>
      <c r="Y2613" s="15"/>
      <c r="Z2613" s="11"/>
    </row>
    <row r="2614" spans="1:26" x14ac:dyDescent="0.25">
      <c r="A2614" s="11"/>
      <c r="B2614" s="11"/>
      <c r="C2614" s="11"/>
      <c r="D2614" s="11"/>
      <c r="E2614" s="12"/>
      <c r="F2614" s="13"/>
      <c r="G2614" s="14"/>
      <c r="H2614" s="13"/>
      <c r="I2614" s="11"/>
      <c r="J2614" s="11"/>
      <c r="K2614" s="11"/>
      <c r="L2614" s="11"/>
      <c r="M2614" s="15"/>
      <c r="N2614" s="15"/>
      <c r="O2614" s="15"/>
      <c r="P2614" s="15"/>
      <c r="Q2614" s="16"/>
      <c r="R2614" s="16"/>
      <c r="S2614" s="16"/>
      <c r="T2614" s="17"/>
      <c r="U2614" s="11"/>
      <c r="V2614" s="16"/>
      <c r="W2614" s="11"/>
      <c r="X2614" s="11"/>
      <c r="Y2614" s="15"/>
      <c r="Z2614" s="11"/>
    </row>
    <row r="2615" spans="1:26" x14ac:dyDescent="0.25">
      <c r="A2615" s="11"/>
      <c r="B2615" s="11"/>
      <c r="C2615" s="11"/>
      <c r="D2615" s="11"/>
      <c r="E2615" s="12"/>
      <c r="F2615" s="13"/>
      <c r="G2615" s="14"/>
      <c r="H2615" s="13"/>
      <c r="I2615" s="11"/>
      <c r="J2615" s="11"/>
      <c r="K2615" s="11"/>
      <c r="L2615" s="11"/>
      <c r="M2615" s="15"/>
      <c r="N2615" s="15"/>
      <c r="O2615" s="15"/>
      <c r="P2615" s="15"/>
      <c r="Q2615" s="16"/>
      <c r="R2615" s="16"/>
      <c r="S2615" s="16"/>
      <c r="T2615" s="17"/>
      <c r="U2615" s="11"/>
      <c r="V2615" s="16"/>
      <c r="W2615" s="11"/>
      <c r="X2615" s="11"/>
      <c r="Y2615" s="15"/>
      <c r="Z2615" s="11"/>
    </row>
    <row r="2616" spans="1:26" x14ac:dyDescent="0.25">
      <c r="A2616" s="18"/>
      <c r="B2616" s="18"/>
      <c r="C2616" s="18"/>
      <c r="D2616" s="18"/>
      <c r="E2616" s="19"/>
      <c r="F2616" s="20"/>
      <c r="G2616" s="14"/>
      <c r="H2616" s="20"/>
      <c r="I2616" s="18"/>
      <c r="J2616" s="18"/>
      <c r="K2616" s="18"/>
      <c r="L2616" s="18"/>
      <c r="M2616" s="21"/>
      <c r="N2616" s="21"/>
      <c r="O2616" s="21"/>
      <c r="P2616" s="21"/>
      <c r="Q2616" s="22"/>
      <c r="R2616" s="19"/>
      <c r="S2616" s="22"/>
      <c r="T2616" s="23"/>
      <c r="U2616" s="18"/>
      <c r="V2616" s="22"/>
      <c r="W2616" s="18"/>
      <c r="X2616" s="18"/>
      <c r="Y2616" s="21"/>
      <c r="Z2616" s="18"/>
    </row>
    <row r="2617" spans="1:26" x14ac:dyDescent="0.25">
      <c r="A2617" s="18"/>
      <c r="B2617" s="18"/>
      <c r="C2617" s="18"/>
      <c r="D2617" s="18"/>
      <c r="E2617" s="19"/>
      <c r="F2617" s="20"/>
      <c r="G2617" s="14"/>
      <c r="H2617" s="20"/>
      <c r="I2617" s="18"/>
      <c r="J2617" s="18"/>
      <c r="K2617" s="18"/>
      <c r="L2617" s="18"/>
      <c r="M2617" s="21"/>
      <c r="N2617" s="21"/>
      <c r="O2617" s="21"/>
      <c r="P2617" s="21"/>
      <c r="Q2617" s="22"/>
      <c r="R2617" s="19"/>
      <c r="S2617" s="22"/>
      <c r="T2617" s="23"/>
      <c r="U2617" s="18"/>
      <c r="V2617" s="22"/>
      <c r="W2617" s="18"/>
      <c r="X2617" s="18"/>
      <c r="Y2617" s="21"/>
      <c r="Z2617" s="18"/>
    </row>
    <row r="2618" spans="1:26" x14ac:dyDescent="0.25">
      <c r="A2618" s="11"/>
      <c r="B2618" s="11"/>
      <c r="C2618" s="11"/>
      <c r="D2618" s="11"/>
      <c r="E2618" s="12"/>
      <c r="F2618" s="13"/>
      <c r="G2618" s="14"/>
      <c r="H2618" s="13"/>
      <c r="I2618" s="11"/>
      <c r="J2618" s="11"/>
      <c r="K2618" s="11"/>
      <c r="L2618" s="11"/>
      <c r="M2618" s="15"/>
      <c r="N2618" s="15"/>
      <c r="O2618" s="15"/>
      <c r="P2618" s="15"/>
      <c r="Q2618" s="16"/>
      <c r="R2618" s="16"/>
      <c r="S2618" s="16"/>
      <c r="T2618" s="17"/>
      <c r="U2618" s="11"/>
      <c r="V2618" s="16"/>
      <c r="W2618" s="11"/>
      <c r="X2618" s="11"/>
      <c r="Y2618" s="15"/>
      <c r="Z2618" s="11"/>
    </row>
    <row r="2619" spans="1:26" x14ac:dyDescent="0.25">
      <c r="A2619" s="11"/>
      <c r="B2619" s="11"/>
      <c r="C2619" s="11"/>
      <c r="D2619" s="11"/>
      <c r="E2619" s="12"/>
      <c r="F2619" s="13"/>
      <c r="G2619" s="14"/>
      <c r="H2619" s="13"/>
      <c r="I2619" s="11"/>
      <c r="J2619" s="11"/>
      <c r="K2619" s="11"/>
      <c r="L2619" s="11"/>
      <c r="M2619" s="15"/>
      <c r="N2619" s="15"/>
      <c r="O2619" s="15"/>
      <c r="P2619" s="15"/>
      <c r="Q2619" s="16"/>
      <c r="R2619" s="16"/>
      <c r="S2619" s="16"/>
      <c r="T2619" s="17"/>
      <c r="U2619" s="11"/>
      <c r="V2619" s="16"/>
      <c r="W2619" s="11"/>
      <c r="X2619" s="11"/>
      <c r="Y2619" s="15"/>
      <c r="Z2619" s="11"/>
    </row>
    <row r="2620" spans="1:26" x14ac:dyDescent="0.25">
      <c r="A2620" s="11"/>
      <c r="B2620" s="11"/>
      <c r="C2620" s="11"/>
      <c r="D2620" s="11"/>
      <c r="E2620" s="12"/>
      <c r="F2620" s="13"/>
      <c r="G2620" s="14"/>
      <c r="H2620" s="13"/>
      <c r="I2620" s="11"/>
      <c r="J2620" s="11"/>
      <c r="K2620" s="11"/>
      <c r="L2620" s="11"/>
      <c r="M2620" s="15"/>
      <c r="N2620" s="15"/>
      <c r="O2620" s="15"/>
      <c r="P2620" s="15"/>
      <c r="Q2620" s="16"/>
      <c r="R2620" s="16"/>
      <c r="S2620" s="16"/>
      <c r="T2620" s="17"/>
      <c r="U2620" s="11"/>
      <c r="V2620" s="16"/>
      <c r="W2620" s="11"/>
      <c r="X2620" s="11"/>
      <c r="Y2620" s="15"/>
      <c r="Z2620" s="11"/>
    </row>
    <row r="2621" spans="1:26" x14ac:dyDescent="0.25">
      <c r="A2621" s="11"/>
      <c r="B2621" s="11"/>
      <c r="C2621" s="11"/>
      <c r="D2621" s="11"/>
      <c r="E2621" s="12"/>
      <c r="F2621" s="13"/>
      <c r="G2621" s="14"/>
      <c r="H2621" s="13"/>
      <c r="I2621" s="11"/>
      <c r="J2621" s="11"/>
      <c r="K2621" s="11"/>
      <c r="L2621" s="11"/>
      <c r="M2621" s="15"/>
      <c r="N2621" s="15"/>
      <c r="O2621" s="15"/>
      <c r="P2621" s="15"/>
      <c r="Q2621" s="16"/>
      <c r="R2621" s="16"/>
      <c r="S2621" s="16"/>
      <c r="T2621" s="17"/>
      <c r="U2621" s="11"/>
      <c r="V2621" s="16"/>
      <c r="W2621" s="11"/>
      <c r="X2621" s="11"/>
      <c r="Y2621" s="15"/>
      <c r="Z2621" s="11"/>
    </row>
    <row r="2622" spans="1:26" x14ac:dyDescent="0.25">
      <c r="A2622" s="11"/>
      <c r="B2622" s="11"/>
      <c r="C2622" s="11"/>
      <c r="D2622" s="11"/>
      <c r="E2622" s="12"/>
      <c r="F2622" s="13"/>
      <c r="G2622" s="14"/>
      <c r="H2622" s="13"/>
      <c r="I2622" s="11"/>
      <c r="J2622" s="11"/>
      <c r="K2622" s="11"/>
      <c r="L2622" s="11"/>
      <c r="M2622" s="15"/>
      <c r="N2622" s="15"/>
      <c r="O2622" s="15"/>
      <c r="P2622" s="15"/>
      <c r="Q2622" s="16"/>
      <c r="R2622" s="16"/>
      <c r="S2622" s="16"/>
      <c r="T2622" s="17"/>
      <c r="U2622" s="11"/>
      <c r="V2622" s="16"/>
      <c r="W2622" s="11"/>
      <c r="X2622" s="11"/>
      <c r="Y2622" s="15"/>
      <c r="Z2622" s="11"/>
    </row>
    <row r="2623" spans="1:26" x14ac:dyDescent="0.25">
      <c r="A2623" s="11"/>
      <c r="B2623" s="11"/>
      <c r="C2623" s="11"/>
      <c r="D2623" s="11"/>
      <c r="E2623" s="12"/>
      <c r="F2623" s="13"/>
      <c r="G2623" s="14"/>
      <c r="H2623" s="13"/>
      <c r="I2623" s="11"/>
      <c r="J2623" s="11"/>
      <c r="K2623" s="11"/>
      <c r="L2623" s="11"/>
      <c r="M2623" s="15"/>
      <c r="N2623" s="15"/>
      <c r="O2623" s="15"/>
      <c r="P2623" s="15"/>
      <c r="Q2623" s="16"/>
      <c r="R2623" s="16"/>
      <c r="S2623" s="16"/>
      <c r="T2623" s="17"/>
      <c r="U2623" s="11"/>
      <c r="V2623" s="16"/>
      <c r="W2623" s="11"/>
      <c r="X2623" s="11"/>
      <c r="Y2623" s="15"/>
      <c r="Z2623" s="11"/>
    </row>
    <row r="2624" spans="1:26" x14ac:dyDescent="0.25">
      <c r="A2624" s="18"/>
      <c r="B2624" s="18"/>
      <c r="C2624" s="18"/>
      <c r="D2624" s="18"/>
      <c r="E2624" s="19"/>
      <c r="F2624" s="20"/>
      <c r="G2624" s="14"/>
      <c r="H2624" s="20"/>
      <c r="I2624" s="18"/>
      <c r="J2624" s="18"/>
      <c r="K2624" s="18"/>
      <c r="L2624" s="18"/>
      <c r="M2624" s="21"/>
      <c r="N2624" s="21"/>
      <c r="O2624" s="21"/>
      <c r="P2624" s="21"/>
      <c r="Q2624" s="22"/>
      <c r="R2624" s="19"/>
      <c r="S2624" s="22"/>
      <c r="T2624" s="23"/>
      <c r="U2624" s="18"/>
      <c r="V2624" s="22"/>
      <c r="W2624" s="18"/>
      <c r="X2624" s="18"/>
      <c r="Y2624" s="21"/>
      <c r="Z2624" s="18"/>
    </row>
    <row r="2625" spans="1:26" x14ac:dyDescent="0.25">
      <c r="A2625" s="11"/>
      <c r="B2625" s="11"/>
      <c r="C2625" s="11"/>
      <c r="D2625" s="11"/>
      <c r="E2625" s="12"/>
      <c r="F2625" s="13"/>
      <c r="G2625" s="14"/>
      <c r="H2625" s="13"/>
      <c r="I2625" s="11"/>
      <c r="J2625" s="11"/>
      <c r="K2625" s="11"/>
      <c r="L2625" s="11"/>
      <c r="M2625" s="15"/>
      <c r="N2625" s="15"/>
      <c r="O2625" s="15"/>
      <c r="P2625" s="15"/>
      <c r="Q2625" s="16"/>
      <c r="R2625" s="16"/>
      <c r="S2625" s="16"/>
      <c r="T2625" s="17"/>
      <c r="U2625" s="11"/>
      <c r="V2625" s="16"/>
      <c r="W2625" s="11"/>
      <c r="X2625" s="11"/>
      <c r="Y2625" s="15"/>
      <c r="Z2625" s="11"/>
    </row>
    <row r="2626" spans="1:26" x14ac:dyDescent="0.25">
      <c r="A2626" s="11"/>
      <c r="B2626" s="11"/>
      <c r="C2626" s="11"/>
      <c r="D2626" s="11"/>
      <c r="E2626" s="12"/>
      <c r="F2626" s="13"/>
      <c r="G2626" s="14"/>
      <c r="H2626" s="13"/>
      <c r="I2626" s="11"/>
      <c r="J2626" s="11"/>
      <c r="K2626" s="11"/>
      <c r="L2626" s="11"/>
      <c r="M2626" s="15"/>
      <c r="N2626" s="15"/>
      <c r="O2626" s="15"/>
      <c r="P2626" s="15"/>
      <c r="Q2626" s="16"/>
      <c r="R2626" s="16"/>
      <c r="S2626" s="16"/>
      <c r="T2626" s="17"/>
      <c r="U2626" s="11"/>
      <c r="V2626" s="16"/>
      <c r="W2626" s="11"/>
      <c r="X2626" s="11"/>
      <c r="Y2626" s="15"/>
      <c r="Z2626" s="11"/>
    </row>
    <row r="2627" spans="1:26" x14ac:dyDescent="0.25">
      <c r="A2627" s="11"/>
      <c r="B2627" s="11"/>
      <c r="C2627" s="11"/>
      <c r="D2627" s="11"/>
      <c r="E2627" s="12"/>
      <c r="F2627" s="13"/>
      <c r="G2627" s="14"/>
      <c r="H2627" s="13"/>
      <c r="I2627" s="11"/>
      <c r="J2627" s="11"/>
      <c r="K2627" s="11"/>
      <c r="L2627" s="11"/>
      <c r="M2627" s="15"/>
      <c r="N2627" s="15"/>
      <c r="O2627" s="15"/>
      <c r="P2627" s="15"/>
      <c r="Q2627" s="16"/>
      <c r="R2627" s="16"/>
      <c r="S2627" s="16"/>
      <c r="T2627" s="17"/>
      <c r="U2627" s="11"/>
      <c r="V2627" s="16"/>
      <c r="W2627" s="11"/>
      <c r="X2627" s="11"/>
      <c r="Y2627" s="15"/>
      <c r="Z2627" s="11"/>
    </row>
    <row r="2628" spans="1:26" x14ac:dyDescent="0.25">
      <c r="A2628" s="11"/>
      <c r="B2628" s="11"/>
      <c r="C2628" s="11"/>
      <c r="D2628" s="11"/>
      <c r="E2628" s="12"/>
      <c r="F2628" s="13"/>
      <c r="G2628" s="14"/>
      <c r="H2628" s="13"/>
      <c r="I2628" s="11"/>
      <c r="J2628" s="11"/>
      <c r="K2628" s="11"/>
      <c r="L2628" s="11"/>
      <c r="M2628" s="15"/>
      <c r="N2628" s="15"/>
      <c r="O2628" s="15"/>
      <c r="P2628" s="15"/>
      <c r="Q2628" s="16"/>
      <c r="R2628" s="16"/>
      <c r="S2628" s="16"/>
      <c r="T2628" s="17"/>
      <c r="U2628" s="11"/>
      <c r="V2628" s="16"/>
      <c r="W2628" s="11"/>
      <c r="X2628" s="11"/>
      <c r="Y2628" s="15"/>
      <c r="Z2628" s="11"/>
    </row>
    <row r="2629" spans="1:26" x14ac:dyDescent="0.25">
      <c r="A2629" s="11"/>
      <c r="B2629" s="11"/>
      <c r="C2629" s="11"/>
      <c r="D2629" s="11"/>
      <c r="E2629" s="12"/>
      <c r="F2629" s="13"/>
      <c r="G2629" s="14"/>
      <c r="H2629" s="13"/>
      <c r="I2629" s="11"/>
      <c r="J2629" s="11"/>
      <c r="K2629" s="11"/>
      <c r="L2629" s="11"/>
      <c r="M2629" s="15"/>
      <c r="N2629" s="15"/>
      <c r="O2629" s="15"/>
      <c r="P2629" s="15"/>
      <c r="Q2629" s="16"/>
      <c r="R2629" s="16"/>
      <c r="S2629" s="16"/>
      <c r="T2629" s="17"/>
      <c r="U2629" s="11"/>
      <c r="V2629" s="16"/>
      <c r="W2629" s="11"/>
      <c r="X2629" s="11"/>
      <c r="Y2629" s="15"/>
      <c r="Z2629" s="11"/>
    </row>
    <row r="2630" spans="1:26" x14ac:dyDescent="0.25">
      <c r="A2630" s="18"/>
      <c r="B2630" s="18"/>
      <c r="C2630" s="18"/>
      <c r="D2630" s="18"/>
      <c r="E2630" s="19"/>
      <c r="F2630" s="20"/>
      <c r="G2630" s="14"/>
      <c r="H2630" s="20"/>
      <c r="I2630" s="18"/>
      <c r="J2630" s="18"/>
      <c r="K2630" s="18"/>
      <c r="L2630" s="18"/>
      <c r="M2630" s="21"/>
      <c r="N2630" s="21"/>
      <c r="O2630" s="21"/>
      <c r="P2630" s="21"/>
      <c r="Q2630" s="22"/>
      <c r="R2630" s="19"/>
      <c r="S2630" s="22"/>
      <c r="T2630" s="23"/>
      <c r="U2630" s="18"/>
      <c r="V2630" s="22"/>
      <c r="W2630" s="18"/>
      <c r="X2630" s="18"/>
      <c r="Y2630" s="21"/>
      <c r="Z2630" s="18"/>
    </row>
    <row r="2631" spans="1:26" x14ac:dyDescent="0.25">
      <c r="A2631" s="11"/>
      <c r="B2631" s="11"/>
      <c r="C2631" s="11"/>
      <c r="D2631" s="11"/>
      <c r="E2631" s="12"/>
      <c r="F2631" s="13"/>
      <c r="G2631" s="14"/>
      <c r="H2631" s="13"/>
      <c r="I2631" s="11"/>
      <c r="J2631" s="11"/>
      <c r="K2631" s="11"/>
      <c r="L2631" s="11"/>
      <c r="M2631" s="15"/>
      <c r="N2631" s="15"/>
      <c r="O2631" s="15"/>
      <c r="P2631" s="15"/>
      <c r="Q2631" s="16"/>
      <c r="R2631" s="16"/>
      <c r="S2631" s="16"/>
      <c r="T2631" s="17"/>
      <c r="U2631" s="11"/>
      <c r="V2631" s="16"/>
      <c r="W2631" s="11"/>
      <c r="X2631" s="11"/>
      <c r="Y2631" s="15"/>
      <c r="Z2631" s="11"/>
    </row>
    <row r="2632" spans="1:26" x14ac:dyDescent="0.25">
      <c r="A2632" s="11"/>
      <c r="B2632" s="11"/>
      <c r="C2632" s="11"/>
      <c r="D2632" s="11"/>
      <c r="E2632" s="12"/>
      <c r="F2632" s="13"/>
      <c r="G2632" s="14"/>
      <c r="H2632" s="13"/>
      <c r="I2632" s="11"/>
      <c r="J2632" s="11"/>
      <c r="K2632" s="11"/>
      <c r="L2632" s="11"/>
      <c r="M2632" s="15"/>
      <c r="N2632" s="15"/>
      <c r="O2632" s="15"/>
      <c r="P2632" s="15"/>
      <c r="Q2632" s="16"/>
      <c r="R2632" s="16"/>
      <c r="S2632" s="16"/>
      <c r="T2632" s="17"/>
      <c r="U2632" s="11"/>
      <c r="V2632" s="16"/>
      <c r="W2632" s="11"/>
      <c r="X2632" s="11"/>
      <c r="Y2632" s="15"/>
      <c r="Z2632" s="11"/>
    </row>
    <row r="2633" spans="1:26" x14ac:dyDescent="0.25">
      <c r="A2633" s="11"/>
      <c r="B2633" s="11"/>
      <c r="C2633" s="11"/>
      <c r="D2633" s="11"/>
      <c r="E2633" s="12"/>
      <c r="F2633" s="13"/>
      <c r="G2633" s="14"/>
      <c r="H2633" s="13"/>
      <c r="I2633" s="11"/>
      <c r="J2633" s="11"/>
      <c r="K2633" s="11"/>
      <c r="L2633" s="11"/>
      <c r="M2633" s="15"/>
      <c r="N2633" s="15"/>
      <c r="O2633" s="15"/>
      <c r="P2633" s="15"/>
      <c r="Q2633" s="16"/>
      <c r="R2633" s="16"/>
      <c r="S2633" s="16"/>
      <c r="T2633" s="17"/>
      <c r="U2633" s="11"/>
      <c r="V2633" s="16"/>
      <c r="W2633" s="11"/>
      <c r="X2633" s="11"/>
      <c r="Y2633" s="15"/>
      <c r="Z2633" s="11"/>
    </row>
    <row r="2634" spans="1:26" x14ac:dyDescent="0.25">
      <c r="A2634" s="18"/>
      <c r="B2634" s="18"/>
      <c r="C2634" s="18"/>
      <c r="D2634" s="18"/>
      <c r="E2634" s="19"/>
      <c r="F2634" s="20"/>
      <c r="G2634" s="14"/>
      <c r="H2634" s="20"/>
      <c r="I2634" s="18"/>
      <c r="J2634" s="18"/>
      <c r="K2634" s="18"/>
      <c r="L2634" s="18"/>
      <c r="M2634" s="21"/>
      <c r="N2634" s="21"/>
      <c r="O2634" s="21"/>
      <c r="P2634" s="21"/>
      <c r="Q2634" s="22"/>
      <c r="R2634" s="19"/>
      <c r="S2634" s="22"/>
      <c r="T2634" s="23"/>
      <c r="U2634" s="18"/>
      <c r="V2634" s="22"/>
      <c r="W2634" s="18"/>
      <c r="X2634" s="18"/>
      <c r="Y2634" s="21"/>
      <c r="Z2634" s="18"/>
    </row>
    <row r="2635" spans="1:26" x14ac:dyDescent="0.25">
      <c r="A2635" s="11"/>
      <c r="B2635" s="11"/>
      <c r="C2635" s="11"/>
      <c r="D2635" s="11"/>
      <c r="E2635" s="12"/>
      <c r="F2635" s="13"/>
      <c r="G2635" s="14"/>
      <c r="H2635" s="13"/>
      <c r="I2635" s="11"/>
      <c r="J2635" s="11"/>
      <c r="K2635" s="11"/>
      <c r="L2635" s="11"/>
      <c r="M2635" s="15"/>
      <c r="N2635" s="15"/>
      <c r="O2635" s="15"/>
      <c r="P2635" s="15"/>
      <c r="Q2635" s="16"/>
      <c r="R2635" s="16"/>
      <c r="S2635" s="16"/>
      <c r="T2635" s="17"/>
      <c r="U2635" s="11"/>
      <c r="V2635" s="16"/>
      <c r="W2635" s="11"/>
      <c r="X2635" s="11"/>
      <c r="Y2635" s="15"/>
      <c r="Z2635" s="11"/>
    </row>
    <row r="2636" spans="1:26" x14ac:dyDescent="0.25">
      <c r="A2636" s="11"/>
      <c r="B2636" s="11"/>
      <c r="C2636" s="11"/>
      <c r="D2636" s="11"/>
      <c r="E2636" s="12"/>
      <c r="F2636" s="13"/>
      <c r="G2636" s="14"/>
      <c r="H2636" s="13"/>
      <c r="I2636" s="11"/>
      <c r="J2636" s="11"/>
      <c r="K2636" s="11"/>
      <c r="L2636" s="11"/>
      <c r="M2636" s="15"/>
      <c r="N2636" s="15"/>
      <c r="O2636" s="15"/>
      <c r="P2636" s="15"/>
      <c r="Q2636" s="16"/>
      <c r="R2636" s="16"/>
      <c r="S2636" s="16"/>
      <c r="T2636" s="17"/>
      <c r="U2636" s="11"/>
      <c r="V2636" s="16"/>
      <c r="W2636" s="11"/>
      <c r="X2636" s="11"/>
      <c r="Y2636" s="15"/>
      <c r="Z2636" s="11"/>
    </row>
    <row r="2637" spans="1:26" x14ac:dyDescent="0.25">
      <c r="A2637" s="11"/>
      <c r="B2637" s="11"/>
      <c r="C2637" s="11"/>
      <c r="D2637" s="11"/>
      <c r="E2637" s="12"/>
      <c r="F2637" s="13"/>
      <c r="G2637" s="14"/>
      <c r="H2637" s="13"/>
      <c r="I2637" s="11"/>
      <c r="J2637" s="11"/>
      <c r="K2637" s="11"/>
      <c r="L2637" s="11"/>
      <c r="M2637" s="15"/>
      <c r="N2637" s="15"/>
      <c r="O2637" s="15"/>
      <c r="P2637" s="15"/>
      <c r="Q2637" s="16"/>
      <c r="R2637" s="16"/>
      <c r="S2637" s="16"/>
      <c r="T2637" s="17"/>
      <c r="U2637" s="11"/>
      <c r="V2637" s="16"/>
      <c r="W2637" s="11"/>
      <c r="X2637" s="11"/>
      <c r="Y2637" s="15"/>
      <c r="Z2637" s="11"/>
    </row>
    <row r="2638" spans="1:26" x14ac:dyDescent="0.25">
      <c r="A2638" s="11"/>
      <c r="B2638" s="11"/>
      <c r="C2638" s="11"/>
      <c r="D2638" s="11"/>
      <c r="E2638" s="12"/>
      <c r="F2638" s="13"/>
      <c r="G2638" s="14"/>
      <c r="H2638" s="13"/>
      <c r="I2638" s="11"/>
      <c r="J2638" s="11"/>
      <c r="K2638" s="11"/>
      <c r="L2638" s="11"/>
      <c r="M2638" s="15"/>
      <c r="N2638" s="15"/>
      <c r="O2638" s="15"/>
      <c r="P2638" s="15"/>
      <c r="Q2638" s="16"/>
      <c r="R2638" s="16"/>
      <c r="S2638" s="16"/>
      <c r="T2638" s="17"/>
      <c r="U2638" s="11"/>
      <c r="V2638" s="16"/>
      <c r="W2638" s="11"/>
      <c r="X2638" s="11"/>
      <c r="Y2638" s="15"/>
      <c r="Z2638" s="11"/>
    </row>
    <row r="2639" spans="1:26" x14ac:dyDescent="0.25">
      <c r="A2639" s="18"/>
      <c r="B2639" s="18"/>
      <c r="C2639" s="18"/>
      <c r="D2639" s="18"/>
      <c r="E2639" s="19"/>
      <c r="F2639" s="20"/>
      <c r="G2639" s="14"/>
      <c r="H2639" s="20"/>
      <c r="I2639" s="18"/>
      <c r="J2639" s="18"/>
      <c r="K2639" s="18"/>
      <c r="L2639" s="18"/>
      <c r="M2639" s="21"/>
      <c r="N2639" s="21"/>
      <c r="O2639" s="21"/>
      <c r="P2639" s="21"/>
      <c r="Q2639" s="22"/>
      <c r="R2639" s="19"/>
      <c r="S2639" s="22"/>
      <c r="T2639" s="23"/>
      <c r="U2639" s="18"/>
      <c r="V2639" s="22"/>
      <c r="W2639" s="18"/>
      <c r="X2639" s="18"/>
      <c r="Y2639" s="21"/>
      <c r="Z2639" s="18"/>
    </row>
    <row r="2640" spans="1:26" x14ac:dyDescent="0.25">
      <c r="A2640" s="11"/>
      <c r="B2640" s="11"/>
      <c r="C2640" s="11"/>
      <c r="D2640" s="11"/>
      <c r="E2640" s="12"/>
      <c r="F2640" s="13"/>
      <c r="G2640" s="14"/>
      <c r="H2640" s="13"/>
      <c r="I2640" s="11"/>
      <c r="J2640" s="11"/>
      <c r="K2640" s="11"/>
      <c r="L2640" s="11"/>
      <c r="M2640" s="15"/>
      <c r="N2640" s="15"/>
      <c r="O2640" s="15"/>
      <c r="P2640" s="15"/>
      <c r="Q2640" s="16"/>
      <c r="R2640" s="16"/>
      <c r="S2640" s="16"/>
      <c r="T2640" s="17"/>
      <c r="U2640" s="11"/>
      <c r="V2640" s="16"/>
      <c r="W2640" s="11"/>
      <c r="X2640" s="11"/>
      <c r="Y2640" s="15"/>
      <c r="Z2640" s="11"/>
    </row>
    <row r="2641" spans="1:26" x14ac:dyDescent="0.25">
      <c r="A2641" s="18"/>
      <c r="B2641" s="18"/>
      <c r="C2641" s="18"/>
      <c r="D2641" s="18"/>
      <c r="E2641" s="19"/>
      <c r="F2641" s="20"/>
      <c r="G2641" s="14"/>
      <c r="H2641" s="20"/>
      <c r="I2641" s="18"/>
      <c r="J2641" s="18"/>
      <c r="K2641" s="18"/>
      <c r="L2641" s="18"/>
      <c r="M2641" s="21"/>
      <c r="N2641" s="21"/>
      <c r="O2641" s="21"/>
      <c r="P2641" s="21"/>
      <c r="Q2641" s="22"/>
      <c r="R2641" s="19"/>
      <c r="S2641" s="22"/>
      <c r="T2641" s="23"/>
      <c r="U2641" s="18"/>
      <c r="V2641" s="22"/>
      <c r="W2641" s="18"/>
      <c r="X2641" s="18"/>
      <c r="Y2641" s="21"/>
      <c r="Z2641" s="18"/>
    </row>
    <row r="2642" spans="1:26" x14ac:dyDescent="0.25">
      <c r="A2642" s="11"/>
      <c r="B2642" s="11"/>
      <c r="C2642" s="11"/>
      <c r="D2642" s="11"/>
      <c r="E2642" s="12"/>
      <c r="F2642" s="13"/>
      <c r="G2642" s="14"/>
      <c r="H2642" s="13"/>
      <c r="I2642" s="11"/>
      <c r="J2642" s="11"/>
      <c r="K2642" s="11"/>
      <c r="L2642" s="11"/>
      <c r="M2642" s="15"/>
      <c r="N2642" s="15"/>
      <c r="O2642" s="15"/>
      <c r="P2642" s="15"/>
      <c r="Q2642" s="16"/>
      <c r="R2642" s="16"/>
      <c r="S2642" s="16"/>
      <c r="T2642" s="17"/>
      <c r="U2642" s="11"/>
      <c r="V2642" s="16"/>
      <c r="W2642" s="11"/>
      <c r="X2642" s="11"/>
      <c r="Y2642" s="15"/>
      <c r="Z2642" s="11"/>
    </row>
    <row r="2643" spans="1:26" x14ac:dyDescent="0.25">
      <c r="A2643" s="11"/>
      <c r="B2643" s="11"/>
      <c r="C2643" s="11"/>
      <c r="D2643" s="11"/>
      <c r="E2643" s="12"/>
      <c r="F2643" s="13"/>
      <c r="G2643" s="14"/>
      <c r="H2643" s="13"/>
      <c r="I2643" s="11"/>
      <c r="J2643" s="11"/>
      <c r="K2643" s="11"/>
      <c r="L2643" s="11"/>
      <c r="M2643" s="15"/>
      <c r="N2643" s="15"/>
      <c r="O2643" s="15"/>
      <c r="P2643" s="15"/>
      <c r="Q2643" s="16"/>
      <c r="R2643" s="16"/>
      <c r="S2643" s="16"/>
      <c r="T2643" s="17"/>
      <c r="U2643" s="11"/>
      <c r="V2643" s="16"/>
      <c r="W2643" s="11"/>
      <c r="X2643" s="11"/>
      <c r="Y2643" s="15"/>
      <c r="Z2643" s="11"/>
    </row>
    <row r="2644" spans="1:26" x14ac:dyDescent="0.25">
      <c r="A2644" s="18"/>
      <c r="B2644" s="18"/>
      <c r="C2644" s="18"/>
      <c r="D2644" s="18"/>
      <c r="E2644" s="19"/>
      <c r="F2644" s="20"/>
      <c r="G2644" s="14"/>
      <c r="H2644" s="20"/>
      <c r="I2644" s="18"/>
      <c r="J2644" s="18"/>
      <c r="K2644" s="18"/>
      <c r="L2644" s="18"/>
      <c r="M2644" s="21"/>
      <c r="N2644" s="21"/>
      <c r="O2644" s="21"/>
      <c r="P2644" s="21"/>
      <c r="Q2644" s="22"/>
      <c r="R2644" s="19"/>
      <c r="S2644" s="22"/>
      <c r="T2644" s="23"/>
      <c r="U2644" s="18"/>
      <c r="V2644" s="22"/>
      <c r="W2644" s="18"/>
      <c r="X2644" s="18"/>
      <c r="Y2644" s="21"/>
      <c r="Z2644" s="18"/>
    </row>
    <row r="2645" spans="1:26" x14ac:dyDescent="0.25">
      <c r="A2645" s="11"/>
      <c r="B2645" s="11"/>
      <c r="C2645" s="11"/>
      <c r="D2645" s="11"/>
      <c r="E2645" s="12"/>
      <c r="F2645" s="13"/>
      <c r="G2645" s="14"/>
      <c r="H2645" s="13"/>
      <c r="I2645" s="11"/>
      <c r="J2645" s="11"/>
      <c r="K2645" s="11"/>
      <c r="L2645" s="11"/>
      <c r="M2645" s="15"/>
      <c r="N2645" s="15"/>
      <c r="O2645" s="15"/>
      <c r="P2645" s="15"/>
      <c r="Q2645" s="16"/>
      <c r="R2645" s="16"/>
      <c r="S2645" s="16"/>
      <c r="T2645" s="17"/>
      <c r="U2645" s="11"/>
      <c r="V2645" s="16"/>
      <c r="W2645" s="11"/>
      <c r="X2645" s="11"/>
      <c r="Y2645" s="15"/>
      <c r="Z2645" s="11"/>
    </row>
    <row r="2646" spans="1:26" x14ac:dyDescent="0.25">
      <c r="A2646" s="11"/>
      <c r="B2646" s="11"/>
      <c r="C2646" s="11"/>
      <c r="D2646" s="11"/>
      <c r="E2646" s="12"/>
      <c r="F2646" s="13"/>
      <c r="G2646" s="14"/>
      <c r="H2646" s="13"/>
      <c r="I2646" s="11"/>
      <c r="J2646" s="11"/>
      <c r="K2646" s="11"/>
      <c r="L2646" s="11"/>
      <c r="M2646" s="15"/>
      <c r="N2646" s="15"/>
      <c r="O2646" s="15"/>
      <c r="P2646" s="15"/>
      <c r="Q2646" s="16"/>
      <c r="R2646" s="16"/>
      <c r="S2646" s="16"/>
      <c r="T2646" s="17"/>
      <c r="U2646" s="11"/>
      <c r="V2646" s="16"/>
      <c r="W2646" s="11"/>
      <c r="X2646" s="11"/>
      <c r="Y2646" s="15"/>
      <c r="Z2646" s="11"/>
    </row>
    <row r="2647" spans="1:26" x14ac:dyDescent="0.25">
      <c r="A2647" s="18"/>
      <c r="B2647" s="18"/>
      <c r="C2647" s="18"/>
      <c r="D2647" s="18"/>
      <c r="E2647" s="19"/>
      <c r="F2647" s="20"/>
      <c r="G2647" s="14"/>
      <c r="H2647" s="20"/>
      <c r="I2647" s="18"/>
      <c r="J2647" s="18"/>
      <c r="K2647" s="18"/>
      <c r="L2647" s="18"/>
      <c r="M2647" s="21"/>
      <c r="N2647" s="21"/>
      <c r="O2647" s="21"/>
      <c r="P2647" s="21"/>
      <c r="Q2647" s="22"/>
      <c r="R2647" s="19"/>
      <c r="S2647" s="22"/>
      <c r="T2647" s="23"/>
      <c r="U2647" s="18"/>
      <c r="V2647" s="22"/>
      <c r="W2647" s="18"/>
      <c r="X2647" s="18"/>
      <c r="Y2647" s="21"/>
      <c r="Z2647" s="18"/>
    </row>
    <row r="2648" spans="1:26" x14ac:dyDescent="0.25">
      <c r="A2648" s="18"/>
      <c r="B2648" s="18"/>
      <c r="C2648" s="18"/>
      <c r="D2648" s="18"/>
      <c r="E2648" s="19"/>
      <c r="F2648" s="20"/>
      <c r="G2648" s="14"/>
      <c r="H2648" s="20"/>
      <c r="I2648" s="18"/>
      <c r="J2648" s="18"/>
      <c r="K2648" s="18"/>
      <c r="L2648" s="18"/>
      <c r="M2648" s="21"/>
      <c r="N2648" s="21"/>
      <c r="O2648" s="21"/>
      <c r="P2648" s="21"/>
      <c r="Q2648" s="22"/>
      <c r="R2648" s="19"/>
      <c r="S2648" s="22"/>
      <c r="T2648" s="23"/>
      <c r="U2648" s="18"/>
      <c r="V2648" s="22"/>
      <c r="W2648" s="18"/>
      <c r="X2648" s="18"/>
      <c r="Y2648" s="21"/>
      <c r="Z2648" s="18"/>
    </row>
    <row r="2649" spans="1:26" x14ac:dyDescent="0.25">
      <c r="A2649" s="11"/>
      <c r="B2649" s="11"/>
      <c r="C2649" s="11"/>
      <c r="D2649" s="11"/>
      <c r="E2649" s="12"/>
      <c r="F2649" s="13"/>
      <c r="G2649" s="14"/>
      <c r="H2649" s="13"/>
      <c r="I2649" s="11"/>
      <c r="J2649" s="11"/>
      <c r="K2649" s="11"/>
      <c r="L2649" s="11"/>
      <c r="M2649" s="15"/>
      <c r="N2649" s="15"/>
      <c r="O2649" s="15"/>
      <c r="P2649" s="15"/>
      <c r="Q2649" s="16"/>
      <c r="R2649" s="16"/>
      <c r="S2649" s="16"/>
      <c r="T2649" s="17"/>
      <c r="U2649" s="11"/>
      <c r="V2649" s="16"/>
      <c r="W2649" s="11"/>
      <c r="X2649" s="11"/>
      <c r="Y2649" s="15"/>
      <c r="Z2649" s="11"/>
    </row>
    <row r="2650" spans="1:26" x14ac:dyDescent="0.25">
      <c r="A2650" s="11"/>
      <c r="B2650" s="11"/>
      <c r="C2650" s="11"/>
      <c r="D2650" s="11"/>
      <c r="E2650" s="12"/>
      <c r="F2650" s="13"/>
      <c r="G2650" s="14"/>
      <c r="H2650" s="13"/>
      <c r="I2650" s="11"/>
      <c r="J2650" s="11"/>
      <c r="K2650" s="11"/>
      <c r="L2650" s="11"/>
      <c r="M2650" s="15"/>
      <c r="N2650" s="15"/>
      <c r="O2650" s="15"/>
      <c r="P2650" s="15"/>
      <c r="Q2650" s="16"/>
      <c r="R2650" s="16"/>
      <c r="S2650" s="16"/>
      <c r="T2650" s="17"/>
      <c r="U2650" s="11"/>
      <c r="V2650" s="16"/>
      <c r="W2650" s="11"/>
      <c r="X2650" s="11"/>
      <c r="Y2650" s="15"/>
      <c r="Z2650" s="11"/>
    </row>
    <row r="2651" spans="1:26" x14ac:dyDescent="0.25">
      <c r="A2651" s="11"/>
      <c r="B2651" s="11"/>
      <c r="C2651" s="11"/>
      <c r="D2651" s="11"/>
      <c r="E2651" s="12"/>
      <c r="F2651" s="13"/>
      <c r="G2651" s="14"/>
      <c r="H2651" s="13"/>
      <c r="I2651" s="11"/>
      <c r="J2651" s="11"/>
      <c r="K2651" s="11"/>
      <c r="L2651" s="11"/>
      <c r="M2651" s="15"/>
      <c r="N2651" s="15"/>
      <c r="O2651" s="15"/>
      <c r="P2651" s="15"/>
      <c r="Q2651" s="16"/>
      <c r="R2651" s="16"/>
      <c r="S2651" s="16"/>
      <c r="T2651" s="17"/>
      <c r="U2651" s="11"/>
      <c r="V2651" s="16"/>
      <c r="W2651" s="11"/>
      <c r="X2651" s="11"/>
      <c r="Y2651" s="15"/>
      <c r="Z2651" s="11"/>
    </row>
    <row r="2652" spans="1:26" x14ac:dyDescent="0.25">
      <c r="A2652" s="11"/>
      <c r="B2652" s="11"/>
      <c r="C2652" s="11"/>
      <c r="D2652" s="11"/>
      <c r="E2652" s="12"/>
      <c r="F2652" s="13"/>
      <c r="G2652" s="14"/>
      <c r="H2652" s="13"/>
      <c r="I2652" s="11"/>
      <c r="J2652" s="11"/>
      <c r="K2652" s="11"/>
      <c r="L2652" s="11"/>
      <c r="M2652" s="15"/>
      <c r="N2652" s="15"/>
      <c r="O2652" s="15"/>
      <c r="P2652" s="15"/>
      <c r="Q2652" s="16"/>
      <c r="R2652" s="16"/>
      <c r="S2652" s="16"/>
      <c r="T2652" s="17"/>
      <c r="U2652" s="11"/>
      <c r="V2652" s="16"/>
      <c r="W2652" s="11"/>
      <c r="X2652" s="11"/>
      <c r="Y2652" s="15"/>
      <c r="Z2652" s="11"/>
    </row>
    <row r="2653" spans="1:26" x14ac:dyDescent="0.25">
      <c r="A2653" s="11"/>
      <c r="B2653" s="11"/>
      <c r="C2653" s="11"/>
      <c r="D2653" s="11"/>
      <c r="E2653" s="12"/>
      <c r="F2653" s="13"/>
      <c r="G2653" s="14"/>
      <c r="H2653" s="13"/>
      <c r="I2653" s="11"/>
      <c r="J2653" s="11"/>
      <c r="K2653" s="11"/>
      <c r="L2653" s="11"/>
      <c r="M2653" s="15"/>
      <c r="N2653" s="15"/>
      <c r="O2653" s="15"/>
      <c r="P2653" s="15"/>
      <c r="Q2653" s="16"/>
      <c r="R2653" s="16"/>
      <c r="S2653" s="16"/>
      <c r="T2653" s="17"/>
      <c r="U2653" s="11"/>
      <c r="V2653" s="16"/>
      <c r="W2653" s="11"/>
      <c r="X2653" s="11"/>
      <c r="Y2653" s="15"/>
      <c r="Z2653" s="11"/>
    </row>
    <row r="2654" spans="1:26" x14ac:dyDescent="0.25">
      <c r="A2654" s="11"/>
      <c r="B2654" s="11"/>
      <c r="C2654" s="11"/>
      <c r="D2654" s="11"/>
      <c r="E2654" s="12"/>
      <c r="F2654" s="13"/>
      <c r="G2654" s="14"/>
      <c r="H2654" s="13"/>
      <c r="I2654" s="11"/>
      <c r="J2654" s="11"/>
      <c r="K2654" s="11"/>
      <c r="L2654" s="11"/>
      <c r="M2654" s="15"/>
      <c r="N2654" s="15"/>
      <c r="O2654" s="15"/>
      <c r="P2654" s="15"/>
      <c r="Q2654" s="16"/>
      <c r="R2654" s="16"/>
      <c r="S2654" s="16"/>
      <c r="T2654" s="17"/>
      <c r="U2654" s="11"/>
      <c r="V2654" s="16"/>
      <c r="W2654" s="11"/>
      <c r="X2654" s="11"/>
      <c r="Y2654" s="15"/>
      <c r="Z2654" s="11"/>
    </row>
    <row r="2655" spans="1:26" x14ac:dyDescent="0.25">
      <c r="A2655" s="11"/>
      <c r="B2655" s="11"/>
      <c r="C2655" s="11"/>
      <c r="D2655" s="11"/>
      <c r="E2655" s="12"/>
      <c r="F2655" s="13"/>
      <c r="G2655" s="14"/>
      <c r="H2655" s="13"/>
      <c r="I2655" s="11"/>
      <c r="J2655" s="11"/>
      <c r="K2655" s="11"/>
      <c r="L2655" s="11"/>
      <c r="M2655" s="15"/>
      <c r="N2655" s="15"/>
      <c r="O2655" s="15"/>
      <c r="P2655" s="15"/>
      <c r="Q2655" s="16"/>
      <c r="R2655" s="16"/>
      <c r="S2655" s="16"/>
      <c r="T2655" s="17"/>
      <c r="U2655" s="11"/>
      <c r="V2655" s="16"/>
      <c r="W2655" s="11"/>
      <c r="X2655" s="11"/>
      <c r="Y2655" s="15"/>
      <c r="Z2655" s="11"/>
    </row>
    <row r="2656" spans="1:26" x14ac:dyDescent="0.25">
      <c r="A2656" s="11"/>
      <c r="B2656" s="11"/>
      <c r="C2656" s="11"/>
      <c r="D2656" s="11"/>
      <c r="E2656" s="12"/>
      <c r="F2656" s="13"/>
      <c r="G2656" s="14"/>
      <c r="H2656" s="13"/>
      <c r="I2656" s="11"/>
      <c r="J2656" s="11"/>
      <c r="K2656" s="11"/>
      <c r="L2656" s="11"/>
      <c r="M2656" s="15"/>
      <c r="N2656" s="15"/>
      <c r="O2656" s="15"/>
      <c r="P2656" s="15"/>
      <c r="Q2656" s="16"/>
      <c r="R2656" s="16"/>
      <c r="S2656" s="16"/>
      <c r="T2656" s="17"/>
      <c r="U2656" s="11"/>
      <c r="V2656" s="16"/>
      <c r="W2656" s="11"/>
      <c r="X2656" s="11"/>
      <c r="Y2656" s="15"/>
      <c r="Z2656" s="11"/>
    </row>
    <row r="2657" spans="1:26" x14ac:dyDescent="0.25">
      <c r="A2657" s="11"/>
      <c r="B2657" s="11"/>
      <c r="C2657" s="11"/>
      <c r="D2657" s="11"/>
      <c r="E2657" s="12"/>
      <c r="F2657" s="13"/>
      <c r="G2657" s="14"/>
      <c r="H2657" s="13"/>
      <c r="I2657" s="11"/>
      <c r="J2657" s="11"/>
      <c r="K2657" s="11"/>
      <c r="L2657" s="11"/>
      <c r="M2657" s="15"/>
      <c r="N2657" s="15"/>
      <c r="O2657" s="15"/>
      <c r="P2657" s="15"/>
      <c r="Q2657" s="16"/>
      <c r="R2657" s="16"/>
      <c r="S2657" s="16"/>
      <c r="T2657" s="17"/>
      <c r="U2657" s="11"/>
      <c r="V2657" s="16"/>
      <c r="W2657" s="11"/>
      <c r="X2657" s="11"/>
      <c r="Y2657" s="15"/>
      <c r="Z2657" s="11"/>
    </row>
    <row r="2658" spans="1:26" x14ac:dyDescent="0.25">
      <c r="A2658" s="11"/>
      <c r="B2658" s="11"/>
      <c r="C2658" s="11"/>
      <c r="D2658" s="11"/>
      <c r="E2658" s="12"/>
      <c r="F2658" s="13"/>
      <c r="G2658" s="14"/>
      <c r="H2658" s="13"/>
      <c r="I2658" s="11"/>
      <c r="J2658" s="11"/>
      <c r="K2658" s="11"/>
      <c r="L2658" s="11"/>
      <c r="M2658" s="15"/>
      <c r="N2658" s="15"/>
      <c r="O2658" s="15"/>
      <c r="P2658" s="15"/>
      <c r="Q2658" s="16"/>
      <c r="R2658" s="16"/>
      <c r="S2658" s="16"/>
      <c r="T2658" s="17"/>
      <c r="U2658" s="11"/>
      <c r="V2658" s="16"/>
      <c r="W2658" s="11"/>
      <c r="X2658" s="11"/>
      <c r="Y2658" s="15"/>
      <c r="Z2658" s="11"/>
    </row>
    <row r="2659" spans="1:26" x14ac:dyDescent="0.25">
      <c r="A2659" s="11"/>
      <c r="B2659" s="11"/>
      <c r="C2659" s="11"/>
      <c r="D2659" s="11"/>
      <c r="E2659" s="12"/>
      <c r="F2659" s="13"/>
      <c r="G2659" s="14"/>
      <c r="H2659" s="13"/>
      <c r="I2659" s="11"/>
      <c r="J2659" s="11"/>
      <c r="K2659" s="11"/>
      <c r="L2659" s="11"/>
      <c r="M2659" s="15"/>
      <c r="N2659" s="15"/>
      <c r="O2659" s="15"/>
      <c r="P2659" s="15"/>
      <c r="Q2659" s="16"/>
      <c r="R2659" s="16"/>
      <c r="S2659" s="16"/>
      <c r="T2659" s="17"/>
      <c r="U2659" s="11"/>
      <c r="V2659" s="16"/>
      <c r="W2659" s="11"/>
      <c r="X2659" s="11"/>
      <c r="Y2659" s="15"/>
      <c r="Z2659" s="11"/>
    </row>
    <row r="2660" spans="1:26" x14ac:dyDescent="0.25">
      <c r="A2660" s="11"/>
      <c r="B2660" s="11"/>
      <c r="C2660" s="11"/>
      <c r="D2660" s="11"/>
      <c r="E2660" s="12"/>
      <c r="F2660" s="13"/>
      <c r="G2660" s="14"/>
      <c r="H2660" s="13"/>
      <c r="I2660" s="11"/>
      <c r="J2660" s="11"/>
      <c r="K2660" s="11"/>
      <c r="L2660" s="11"/>
      <c r="M2660" s="15"/>
      <c r="N2660" s="15"/>
      <c r="O2660" s="15"/>
      <c r="P2660" s="15"/>
      <c r="Q2660" s="16"/>
      <c r="R2660" s="16"/>
      <c r="S2660" s="16"/>
      <c r="T2660" s="17"/>
      <c r="U2660" s="11"/>
      <c r="V2660" s="16"/>
      <c r="W2660" s="11"/>
      <c r="X2660" s="11"/>
      <c r="Y2660" s="15"/>
      <c r="Z2660" s="11"/>
    </row>
    <row r="2661" spans="1:26" x14ac:dyDescent="0.25">
      <c r="A2661" s="11"/>
      <c r="B2661" s="11"/>
      <c r="C2661" s="11"/>
      <c r="D2661" s="11"/>
      <c r="E2661" s="12"/>
      <c r="F2661" s="13"/>
      <c r="G2661" s="14"/>
      <c r="H2661" s="13"/>
      <c r="I2661" s="11"/>
      <c r="J2661" s="11"/>
      <c r="K2661" s="11"/>
      <c r="L2661" s="11"/>
      <c r="M2661" s="15"/>
      <c r="N2661" s="15"/>
      <c r="O2661" s="15"/>
      <c r="P2661" s="15"/>
      <c r="Q2661" s="16"/>
      <c r="R2661" s="16"/>
      <c r="S2661" s="16"/>
      <c r="T2661" s="17"/>
      <c r="U2661" s="11"/>
      <c r="V2661" s="16"/>
      <c r="W2661" s="11"/>
      <c r="X2661" s="11"/>
      <c r="Y2661" s="15"/>
      <c r="Z2661" s="11"/>
    </row>
    <row r="2662" spans="1:26" x14ac:dyDescent="0.25">
      <c r="A2662" s="11"/>
      <c r="B2662" s="11"/>
      <c r="C2662" s="11"/>
      <c r="D2662" s="11"/>
      <c r="E2662" s="12"/>
      <c r="F2662" s="13"/>
      <c r="G2662" s="14"/>
      <c r="H2662" s="13"/>
      <c r="I2662" s="11"/>
      <c r="J2662" s="11"/>
      <c r="K2662" s="11"/>
      <c r="L2662" s="11"/>
      <c r="M2662" s="15"/>
      <c r="N2662" s="15"/>
      <c r="O2662" s="15"/>
      <c r="P2662" s="15"/>
      <c r="Q2662" s="16"/>
      <c r="R2662" s="16"/>
      <c r="S2662" s="16"/>
      <c r="T2662" s="17"/>
      <c r="U2662" s="11"/>
      <c r="V2662" s="16"/>
      <c r="W2662" s="11"/>
      <c r="X2662" s="11"/>
      <c r="Y2662" s="15"/>
      <c r="Z2662" s="11"/>
    </row>
    <row r="2663" spans="1:26" x14ac:dyDescent="0.25">
      <c r="A2663" s="18"/>
      <c r="B2663" s="18"/>
      <c r="C2663" s="18"/>
      <c r="D2663" s="18"/>
      <c r="E2663" s="19"/>
      <c r="F2663" s="20"/>
      <c r="G2663" s="14"/>
      <c r="H2663" s="20"/>
      <c r="I2663" s="18"/>
      <c r="J2663" s="18"/>
      <c r="K2663" s="18"/>
      <c r="L2663" s="18"/>
      <c r="M2663" s="21"/>
      <c r="N2663" s="21"/>
      <c r="O2663" s="21"/>
      <c r="P2663" s="21"/>
      <c r="Q2663" s="22"/>
      <c r="R2663" s="19"/>
      <c r="S2663" s="22"/>
      <c r="T2663" s="23"/>
      <c r="U2663" s="18"/>
      <c r="V2663" s="22"/>
      <c r="W2663" s="18"/>
      <c r="X2663" s="18"/>
      <c r="Y2663" s="21"/>
      <c r="Z2663" s="18"/>
    </row>
    <row r="2664" spans="1:26" x14ac:dyDescent="0.25">
      <c r="A2664" s="18"/>
      <c r="B2664" s="18"/>
      <c r="C2664" s="18"/>
      <c r="D2664" s="18"/>
      <c r="E2664" s="19"/>
      <c r="F2664" s="20"/>
      <c r="G2664" s="14"/>
      <c r="H2664" s="20"/>
      <c r="I2664" s="18"/>
      <c r="J2664" s="18"/>
      <c r="K2664" s="18"/>
      <c r="L2664" s="18"/>
      <c r="M2664" s="21"/>
      <c r="N2664" s="21"/>
      <c r="O2664" s="21"/>
      <c r="P2664" s="21"/>
      <c r="Q2664" s="22"/>
      <c r="R2664" s="19"/>
      <c r="S2664" s="22"/>
      <c r="T2664" s="23"/>
      <c r="U2664" s="18"/>
      <c r="V2664" s="22"/>
      <c r="W2664" s="18"/>
      <c r="X2664" s="18"/>
      <c r="Y2664" s="21"/>
      <c r="Z2664" s="18"/>
    </row>
    <row r="2665" spans="1:26" x14ac:dyDescent="0.25">
      <c r="A2665" s="18"/>
      <c r="B2665" s="18"/>
      <c r="C2665" s="18"/>
      <c r="D2665" s="18"/>
      <c r="E2665" s="19"/>
      <c r="F2665" s="20"/>
      <c r="G2665" s="14"/>
      <c r="H2665" s="20"/>
      <c r="I2665" s="18"/>
      <c r="J2665" s="18"/>
      <c r="K2665" s="18"/>
      <c r="L2665" s="18"/>
      <c r="M2665" s="21"/>
      <c r="N2665" s="21"/>
      <c r="O2665" s="21"/>
      <c r="P2665" s="21"/>
      <c r="Q2665" s="22"/>
      <c r="R2665" s="19"/>
      <c r="S2665" s="22"/>
      <c r="T2665" s="23"/>
      <c r="U2665" s="18"/>
      <c r="V2665" s="22"/>
      <c r="W2665" s="18"/>
      <c r="X2665" s="18"/>
      <c r="Y2665" s="21"/>
      <c r="Z2665" s="18"/>
    </row>
    <row r="2666" spans="1:26" x14ac:dyDescent="0.25">
      <c r="A2666" s="11"/>
      <c r="B2666" s="11"/>
      <c r="C2666" s="11"/>
      <c r="D2666" s="11"/>
      <c r="E2666" s="12"/>
      <c r="F2666" s="13"/>
      <c r="G2666" s="14"/>
      <c r="H2666" s="13"/>
      <c r="I2666" s="11"/>
      <c r="J2666" s="11"/>
      <c r="K2666" s="11"/>
      <c r="L2666" s="11"/>
      <c r="M2666" s="15"/>
      <c r="N2666" s="15"/>
      <c r="O2666" s="15"/>
      <c r="P2666" s="15"/>
      <c r="Q2666" s="16"/>
      <c r="R2666" s="16"/>
      <c r="S2666" s="16"/>
      <c r="T2666" s="17"/>
      <c r="U2666" s="11"/>
      <c r="V2666" s="16"/>
      <c r="W2666" s="11"/>
      <c r="X2666" s="11"/>
      <c r="Y2666" s="15"/>
      <c r="Z2666" s="11"/>
    </row>
    <row r="2667" spans="1:26" x14ac:dyDescent="0.25">
      <c r="A2667" s="11"/>
      <c r="B2667" s="11"/>
      <c r="C2667" s="11"/>
      <c r="D2667" s="11"/>
      <c r="E2667" s="12"/>
      <c r="F2667" s="13"/>
      <c r="G2667" s="14"/>
      <c r="H2667" s="13"/>
      <c r="I2667" s="11"/>
      <c r="J2667" s="11"/>
      <c r="K2667" s="11"/>
      <c r="L2667" s="11"/>
      <c r="M2667" s="15"/>
      <c r="N2667" s="15"/>
      <c r="O2667" s="15"/>
      <c r="P2667" s="15"/>
      <c r="Q2667" s="16"/>
      <c r="R2667" s="16"/>
      <c r="S2667" s="16"/>
      <c r="T2667" s="17"/>
      <c r="U2667" s="11"/>
      <c r="V2667" s="16"/>
      <c r="W2667" s="11"/>
      <c r="X2667" s="11"/>
      <c r="Y2667" s="15"/>
      <c r="Z2667" s="11"/>
    </row>
    <row r="2668" spans="1:26" x14ac:dyDescent="0.25">
      <c r="A2668" s="11"/>
      <c r="B2668" s="11"/>
      <c r="C2668" s="11"/>
      <c r="D2668" s="11"/>
      <c r="E2668" s="12"/>
      <c r="F2668" s="13"/>
      <c r="G2668" s="14"/>
      <c r="H2668" s="13"/>
      <c r="I2668" s="11"/>
      <c r="J2668" s="11"/>
      <c r="K2668" s="11"/>
      <c r="L2668" s="11"/>
      <c r="M2668" s="15"/>
      <c r="N2668" s="15"/>
      <c r="O2668" s="15"/>
      <c r="P2668" s="15"/>
      <c r="Q2668" s="16"/>
      <c r="R2668" s="16"/>
      <c r="S2668" s="16"/>
      <c r="T2668" s="17"/>
      <c r="U2668" s="11"/>
      <c r="V2668" s="16"/>
      <c r="W2668" s="11"/>
      <c r="X2668" s="11"/>
      <c r="Y2668" s="15"/>
      <c r="Z2668" s="11"/>
    </row>
    <row r="2669" spans="1:26" x14ac:dyDescent="0.25">
      <c r="A2669" s="11"/>
      <c r="B2669" s="11"/>
      <c r="C2669" s="11"/>
      <c r="D2669" s="11"/>
      <c r="E2669" s="12"/>
      <c r="F2669" s="13"/>
      <c r="G2669" s="14"/>
      <c r="H2669" s="13"/>
      <c r="I2669" s="11"/>
      <c r="J2669" s="11"/>
      <c r="K2669" s="11"/>
      <c r="L2669" s="11"/>
      <c r="M2669" s="15"/>
      <c r="N2669" s="15"/>
      <c r="O2669" s="15"/>
      <c r="P2669" s="15"/>
      <c r="Q2669" s="16"/>
      <c r="R2669" s="16"/>
      <c r="S2669" s="16"/>
      <c r="T2669" s="17"/>
      <c r="U2669" s="11"/>
      <c r="V2669" s="16"/>
      <c r="W2669" s="11"/>
      <c r="X2669" s="11"/>
      <c r="Y2669" s="15"/>
      <c r="Z2669" s="11"/>
    </row>
    <row r="2670" spans="1:26" x14ac:dyDescent="0.25">
      <c r="A2670" s="11"/>
      <c r="B2670" s="11"/>
      <c r="C2670" s="11"/>
      <c r="D2670" s="11"/>
      <c r="E2670" s="12"/>
      <c r="F2670" s="13"/>
      <c r="G2670" s="14"/>
      <c r="H2670" s="13"/>
      <c r="I2670" s="11"/>
      <c r="J2670" s="11"/>
      <c r="K2670" s="11"/>
      <c r="L2670" s="11"/>
      <c r="M2670" s="15"/>
      <c r="N2670" s="15"/>
      <c r="O2670" s="15"/>
      <c r="P2670" s="15"/>
      <c r="Q2670" s="16"/>
      <c r="R2670" s="16"/>
      <c r="S2670" s="16"/>
      <c r="T2670" s="17"/>
      <c r="U2670" s="11"/>
      <c r="V2670" s="16"/>
      <c r="W2670" s="11"/>
      <c r="X2670" s="11"/>
      <c r="Y2670" s="15"/>
      <c r="Z2670" s="11"/>
    </row>
    <row r="2671" spans="1:26" x14ac:dyDescent="0.25">
      <c r="A2671" s="11"/>
      <c r="B2671" s="11"/>
      <c r="C2671" s="11"/>
      <c r="D2671" s="11"/>
      <c r="E2671" s="12"/>
      <c r="F2671" s="13"/>
      <c r="G2671" s="14"/>
      <c r="H2671" s="13"/>
      <c r="I2671" s="11"/>
      <c r="J2671" s="11"/>
      <c r="K2671" s="11"/>
      <c r="L2671" s="11"/>
      <c r="M2671" s="15"/>
      <c r="N2671" s="15"/>
      <c r="O2671" s="15"/>
      <c r="P2671" s="15"/>
      <c r="Q2671" s="16"/>
      <c r="R2671" s="16"/>
      <c r="S2671" s="16"/>
      <c r="T2671" s="17"/>
      <c r="U2671" s="11"/>
      <c r="V2671" s="16"/>
      <c r="W2671" s="11"/>
      <c r="X2671" s="11"/>
      <c r="Y2671" s="15"/>
      <c r="Z2671" s="11"/>
    </row>
    <row r="2672" spans="1:26" x14ac:dyDescent="0.25">
      <c r="A2672" s="11"/>
      <c r="B2672" s="11"/>
      <c r="C2672" s="11"/>
      <c r="D2672" s="11"/>
      <c r="E2672" s="12"/>
      <c r="F2672" s="13"/>
      <c r="G2672" s="14"/>
      <c r="H2672" s="13"/>
      <c r="I2672" s="11"/>
      <c r="J2672" s="11"/>
      <c r="K2672" s="11"/>
      <c r="L2672" s="11"/>
      <c r="M2672" s="15"/>
      <c r="N2672" s="15"/>
      <c r="O2672" s="15"/>
      <c r="P2672" s="15"/>
      <c r="Q2672" s="16"/>
      <c r="R2672" s="16"/>
      <c r="S2672" s="16"/>
      <c r="T2672" s="17"/>
      <c r="U2672" s="11"/>
      <c r="V2672" s="16"/>
      <c r="W2672" s="11"/>
      <c r="X2672" s="11"/>
      <c r="Y2672" s="15"/>
      <c r="Z2672" s="11"/>
    </row>
    <row r="2673" spans="1:26" x14ac:dyDescent="0.25">
      <c r="A2673" s="11"/>
      <c r="B2673" s="11"/>
      <c r="C2673" s="11"/>
      <c r="D2673" s="11"/>
      <c r="E2673" s="12"/>
      <c r="F2673" s="13"/>
      <c r="G2673" s="14"/>
      <c r="H2673" s="13"/>
      <c r="I2673" s="11"/>
      <c r="J2673" s="11"/>
      <c r="K2673" s="11"/>
      <c r="L2673" s="11"/>
      <c r="M2673" s="15"/>
      <c r="N2673" s="15"/>
      <c r="O2673" s="15"/>
      <c r="P2673" s="15"/>
      <c r="Q2673" s="16"/>
      <c r="R2673" s="16"/>
      <c r="S2673" s="16"/>
      <c r="T2673" s="17"/>
      <c r="U2673" s="11"/>
      <c r="V2673" s="16"/>
      <c r="W2673" s="11"/>
      <c r="X2673" s="11"/>
      <c r="Y2673" s="15"/>
      <c r="Z2673" s="11"/>
    </row>
    <row r="2674" spans="1:26" x14ac:dyDescent="0.25">
      <c r="A2674" s="11"/>
      <c r="B2674" s="11"/>
      <c r="C2674" s="11"/>
      <c r="D2674" s="11"/>
      <c r="E2674" s="12"/>
      <c r="F2674" s="13"/>
      <c r="G2674" s="14"/>
      <c r="H2674" s="13"/>
      <c r="I2674" s="11"/>
      <c r="J2674" s="11"/>
      <c r="K2674" s="11"/>
      <c r="L2674" s="11"/>
      <c r="M2674" s="15"/>
      <c r="N2674" s="15"/>
      <c r="O2674" s="15"/>
      <c r="P2674" s="15"/>
      <c r="Q2674" s="16"/>
      <c r="R2674" s="16"/>
      <c r="S2674" s="16"/>
      <c r="T2674" s="17"/>
      <c r="U2674" s="11"/>
      <c r="V2674" s="16"/>
      <c r="W2674" s="11"/>
      <c r="X2674" s="11"/>
      <c r="Y2674" s="15"/>
      <c r="Z2674" s="11"/>
    </row>
    <row r="2675" spans="1:26" x14ac:dyDescent="0.25">
      <c r="A2675" s="18"/>
      <c r="B2675" s="18"/>
      <c r="C2675" s="18"/>
      <c r="D2675" s="18"/>
      <c r="E2675" s="19"/>
      <c r="F2675" s="20"/>
      <c r="G2675" s="14"/>
      <c r="H2675" s="20"/>
      <c r="I2675" s="18"/>
      <c r="J2675" s="18"/>
      <c r="K2675" s="18"/>
      <c r="L2675" s="18"/>
      <c r="M2675" s="21"/>
      <c r="N2675" s="21"/>
      <c r="O2675" s="21"/>
      <c r="P2675" s="21"/>
      <c r="Q2675" s="22"/>
      <c r="R2675" s="19"/>
      <c r="S2675" s="22"/>
      <c r="T2675" s="23"/>
      <c r="U2675" s="18"/>
      <c r="V2675" s="22"/>
      <c r="W2675" s="18"/>
      <c r="X2675" s="18"/>
      <c r="Y2675" s="21"/>
      <c r="Z2675" s="18"/>
    </row>
    <row r="2676" spans="1:26" x14ac:dyDescent="0.25">
      <c r="A2676" s="11"/>
      <c r="B2676" s="11"/>
      <c r="C2676" s="11"/>
      <c r="D2676" s="11"/>
      <c r="E2676" s="12"/>
      <c r="F2676" s="13"/>
      <c r="G2676" s="14"/>
      <c r="H2676" s="13"/>
      <c r="I2676" s="11"/>
      <c r="J2676" s="11"/>
      <c r="K2676" s="11"/>
      <c r="L2676" s="11"/>
      <c r="M2676" s="15"/>
      <c r="N2676" s="15"/>
      <c r="O2676" s="15"/>
      <c r="P2676" s="15"/>
      <c r="Q2676" s="16"/>
      <c r="R2676" s="16"/>
      <c r="S2676" s="16"/>
      <c r="T2676" s="17"/>
      <c r="U2676" s="11"/>
      <c r="V2676" s="16"/>
      <c r="W2676" s="11"/>
      <c r="X2676" s="11"/>
      <c r="Y2676" s="15"/>
      <c r="Z2676" s="11"/>
    </row>
    <row r="2677" spans="1:26" x14ac:dyDescent="0.25">
      <c r="A2677" s="11"/>
      <c r="B2677" s="11"/>
      <c r="C2677" s="11"/>
      <c r="D2677" s="11"/>
      <c r="E2677" s="12"/>
      <c r="F2677" s="13"/>
      <c r="G2677" s="14"/>
      <c r="H2677" s="13"/>
      <c r="I2677" s="11"/>
      <c r="J2677" s="11"/>
      <c r="K2677" s="11"/>
      <c r="L2677" s="11"/>
      <c r="M2677" s="15"/>
      <c r="N2677" s="15"/>
      <c r="O2677" s="15"/>
      <c r="P2677" s="15"/>
      <c r="Q2677" s="16"/>
      <c r="R2677" s="16"/>
      <c r="S2677" s="16"/>
      <c r="T2677" s="17"/>
      <c r="U2677" s="11"/>
      <c r="V2677" s="16"/>
      <c r="W2677" s="11"/>
      <c r="X2677" s="11"/>
      <c r="Y2677" s="15"/>
      <c r="Z2677" s="11"/>
    </row>
    <row r="2678" spans="1:26" x14ac:dyDescent="0.25">
      <c r="A2678" s="11"/>
      <c r="B2678" s="11"/>
      <c r="C2678" s="11"/>
      <c r="D2678" s="11"/>
      <c r="E2678" s="12"/>
      <c r="F2678" s="13"/>
      <c r="G2678" s="14"/>
      <c r="H2678" s="13"/>
      <c r="I2678" s="11"/>
      <c r="J2678" s="11"/>
      <c r="K2678" s="11"/>
      <c r="L2678" s="11"/>
      <c r="M2678" s="15"/>
      <c r="N2678" s="15"/>
      <c r="O2678" s="15"/>
      <c r="P2678" s="15"/>
      <c r="Q2678" s="16"/>
      <c r="R2678" s="16"/>
      <c r="S2678" s="16"/>
      <c r="T2678" s="17"/>
      <c r="U2678" s="11"/>
      <c r="V2678" s="16"/>
      <c r="W2678" s="11"/>
      <c r="X2678" s="11"/>
      <c r="Y2678" s="15"/>
      <c r="Z2678" s="11"/>
    </row>
    <row r="2679" spans="1:26" x14ac:dyDescent="0.25">
      <c r="A2679" s="11"/>
      <c r="B2679" s="11"/>
      <c r="C2679" s="11"/>
      <c r="D2679" s="11"/>
      <c r="E2679" s="12"/>
      <c r="F2679" s="13"/>
      <c r="G2679" s="14"/>
      <c r="H2679" s="13"/>
      <c r="I2679" s="11"/>
      <c r="J2679" s="11"/>
      <c r="K2679" s="11"/>
      <c r="L2679" s="11"/>
      <c r="M2679" s="15"/>
      <c r="N2679" s="15"/>
      <c r="O2679" s="15"/>
      <c r="P2679" s="15"/>
      <c r="Q2679" s="16"/>
      <c r="R2679" s="16"/>
      <c r="S2679" s="16"/>
      <c r="T2679" s="17"/>
      <c r="U2679" s="11"/>
      <c r="V2679" s="16"/>
      <c r="W2679" s="11"/>
      <c r="X2679" s="11"/>
      <c r="Y2679" s="15"/>
      <c r="Z2679" s="11"/>
    </row>
    <row r="2680" spans="1:26" x14ac:dyDescent="0.25">
      <c r="A2680" s="11"/>
      <c r="B2680" s="11"/>
      <c r="C2680" s="11"/>
      <c r="D2680" s="11"/>
      <c r="E2680" s="12"/>
      <c r="F2680" s="13"/>
      <c r="G2680" s="14"/>
      <c r="H2680" s="13"/>
      <c r="I2680" s="11"/>
      <c r="J2680" s="11"/>
      <c r="K2680" s="11"/>
      <c r="L2680" s="11"/>
      <c r="M2680" s="15"/>
      <c r="N2680" s="15"/>
      <c r="O2680" s="15"/>
      <c r="P2680" s="15"/>
      <c r="Q2680" s="16"/>
      <c r="R2680" s="16"/>
      <c r="S2680" s="16"/>
      <c r="T2680" s="17"/>
      <c r="U2680" s="11"/>
      <c r="V2680" s="16"/>
      <c r="W2680" s="11"/>
      <c r="X2680" s="11"/>
      <c r="Y2680" s="15"/>
      <c r="Z2680" s="11"/>
    </row>
    <row r="2681" spans="1:26" x14ac:dyDescent="0.25">
      <c r="A2681" s="11"/>
      <c r="B2681" s="11"/>
      <c r="C2681" s="11"/>
      <c r="D2681" s="11"/>
      <c r="E2681" s="12"/>
      <c r="F2681" s="13"/>
      <c r="G2681" s="14"/>
      <c r="H2681" s="13"/>
      <c r="I2681" s="11"/>
      <c r="J2681" s="11"/>
      <c r="K2681" s="11"/>
      <c r="L2681" s="11"/>
      <c r="M2681" s="15"/>
      <c r="N2681" s="15"/>
      <c r="O2681" s="15"/>
      <c r="P2681" s="15"/>
      <c r="Q2681" s="16"/>
      <c r="R2681" s="16"/>
      <c r="S2681" s="16"/>
      <c r="T2681" s="17"/>
      <c r="U2681" s="11"/>
      <c r="V2681" s="16"/>
      <c r="W2681" s="11"/>
      <c r="X2681" s="11"/>
      <c r="Y2681" s="15"/>
      <c r="Z2681" s="11"/>
    </row>
    <row r="2682" spans="1:26" x14ac:dyDescent="0.25">
      <c r="A2682" s="18"/>
      <c r="B2682" s="18"/>
      <c r="C2682" s="18"/>
      <c r="D2682" s="18"/>
      <c r="E2682" s="19"/>
      <c r="F2682" s="20"/>
      <c r="G2682" s="14"/>
      <c r="H2682" s="20"/>
      <c r="I2682" s="18"/>
      <c r="J2682" s="18"/>
      <c r="K2682" s="18"/>
      <c r="L2682" s="18"/>
      <c r="M2682" s="21"/>
      <c r="N2682" s="21"/>
      <c r="O2682" s="21"/>
      <c r="P2682" s="21"/>
      <c r="Q2682" s="22"/>
      <c r="R2682" s="19"/>
      <c r="S2682" s="22"/>
      <c r="T2682" s="23"/>
      <c r="U2682" s="18"/>
      <c r="V2682" s="22"/>
      <c r="W2682" s="18"/>
      <c r="X2682" s="18"/>
      <c r="Y2682" s="21"/>
      <c r="Z2682" s="18"/>
    </row>
    <row r="2683" spans="1:26" x14ac:dyDescent="0.25">
      <c r="A2683" s="11"/>
      <c r="B2683" s="11"/>
      <c r="C2683" s="11"/>
      <c r="D2683" s="11"/>
      <c r="E2683" s="12"/>
      <c r="F2683" s="13"/>
      <c r="G2683" s="14"/>
      <c r="H2683" s="13"/>
      <c r="I2683" s="11"/>
      <c r="J2683" s="11"/>
      <c r="K2683" s="11"/>
      <c r="L2683" s="11"/>
      <c r="M2683" s="15"/>
      <c r="N2683" s="15"/>
      <c r="O2683" s="15"/>
      <c r="P2683" s="15"/>
      <c r="Q2683" s="16"/>
      <c r="R2683" s="16"/>
      <c r="S2683" s="16"/>
      <c r="T2683" s="17"/>
      <c r="U2683" s="11"/>
      <c r="V2683" s="16"/>
      <c r="W2683" s="11"/>
      <c r="X2683" s="11"/>
      <c r="Y2683" s="15"/>
      <c r="Z2683" s="11"/>
    </row>
    <row r="2684" spans="1:26" x14ac:dyDescent="0.25">
      <c r="A2684" s="11"/>
      <c r="B2684" s="11"/>
      <c r="C2684" s="11"/>
      <c r="D2684" s="11"/>
      <c r="E2684" s="12"/>
      <c r="F2684" s="13"/>
      <c r="G2684" s="14"/>
      <c r="H2684" s="13"/>
      <c r="I2684" s="11"/>
      <c r="J2684" s="11"/>
      <c r="K2684" s="11"/>
      <c r="L2684" s="11"/>
      <c r="M2684" s="15"/>
      <c r="N2684" s="15"/>
      <c r="O2684" s="15"/>
      <c r="P2684" s="15"/>
      <c r="Q2684" s="16"/>
      <c r="R2684" s="16"/>
      <c r="S2684" s="16"/>
      <c r="T2684" s="17"/>
      <c r="U2684" s="11"/>
      <c r="V2684" s="16"/>
      <c r="W2684" s="11"/>
      <c r="X2684" s="11"/>
      <c r="Y2684" s="15"/>
      <c r="Z2684" s="11"/>
    </row>
    <row r="2685" spans="1:26" x14ac:dyDescent="0.25">
      <c r="A2685" s="18"/>
      <c r="B2685" s="18"/>
      <c r="C2685" s="18"/>
      <c r="D2685" s="18"/>
      <c r="E2685" s="19"/>
      <c r="F2685" s="20"/>
      <c r="G2685" s="14"/>
      <c r="H2685" s="20"/>
      <c r="I2685" s="18"/>
      <c r="J2685" s="18"/>
      <c r="K2685" s="18"/>
      <c r="L2685" s="18"/>
      <c r="M2685" s="21"/>
      <c r="N2685" s="21"/>
      <c r="O2685" s="21"/>
      <c r="P2685" s="21"/>
      <c r="Q2685" s="22"/>
      <c r="R2685" s="19"/>
      <c r="S2685" s="22"/>
      <c r="T2685" s="23"/>
      <c r="U2685" s="18"/>
      <c r="V2685" s="22"/>
      <c r="W2685" s="18"/>
      <c r="X2685" s="18"/>
      <c r="Y2685" s="21"/>
      <c r="Z2685" s="18"/>
    </row>
    <row r="2686" spans="1:26" x14ac:dyDescent="0.25">
      <c r="A2686" s="11"/>
      <c r="B2686" s="11"/>
      <c r="C2686" s="11"/>
      <c r="D2686" s="11"/>
      <c r="E2686" s="12"/>
      <c r="F2686" s="13"/>
      <c r="G2686" s="14"/>
      <c r="H2686" s="13"/>
      <c r="I2686" s="11"/>
      <c r="J2686" s="11"/>
      <c r="K2686" s="11"/>
      <c r="L2686" s="11"/>
      <c r="M2686" s="15"/>
      <c r="N2686" s="15"/>
      <c r="O2686" s="15"/>
      <c r="P2686" s="15"/>
      <c r="Q2686" s="16"/>
      <c r="R2686" s="16"/>
      <c r="S2686" s="16"/>
      <c r="T2686" s="17"/>
      <c r="U2686" s="11"/>
      <c r="V2686" s="16"/>
      <c r="W2686" s="11"/>
      <c r="X2686" s="11"/>
      <c r="Y2686" s="15"/>
      <c r="Z2686" s="11"/>
    </row>
    <row r="2687" spans="1:26" x14ac:dyDescent="0.25">
      <c r="A2687" s="11"/>
      <c r="B2687" s="11"/>
      <c r="C2687" s="11"/>
      <c r="D2687" s="11"/>
      <c r="E2687" s="12"/>
      <c r="F2687" s="13"/>
      <c r="G2687" s="14"/>
      <c r="H2687" s="13"/>
      <c r="I2687" s="11"/>
      <c r="J2687" s="11"/>
      <c r="K2687" s="11"/>
      <c r="L2687" s="11"/>
      <c r="M2687" s="15"/>
      <c r="N2687" s="15"/>
      <c r="O2687" s="15"/>
      <c r="P2687" s="15"/>
      <c r="Q2687" s="16"/>
      <c r="R2687" s="16"/>
      <c r="S2687" s="16"/>
      <c r="T2687" s="17"/>
      <c r="U2687" s="11"/>
      <c r="V2687" s="16"/>
      <c r="W2687" s="11"/>
      <c r="X2687" s="11"/>
      <c r="Y2687" s="15"/>
      <c r="Z2687" s="11"/>
    </row>
    <row r="2688" spans="1:26" x14ac:dyDescent="0.25">
      <c r="A2688" s="11"/>
      <c r="B2688" s="11"/>
      <c r="C2688" s="11"/>
      <c r="D2688" s="11"/>
      <c r="E2688" s="12"/>
      <c r="F2688" s="13"/>
      <c r="G2688" s="14"/>
      <c r="H2688" s="13"/>
      <c r="I2688" s="11"/>
      <c r="J2688" s="11"/>
      <c r="K2688" s="11"/>
      <c r="L2688" s="11"/>
      <c r="M2688" s="15"/>
      <c r="N2688" s="15"/>
      <c r="O2688" s="15"/>
      <c r="P2688" s="15"/>
      <c r="Q2688" s="16"/>
      <c r="R2688" s="16"/>
      <c r="S2688" s="16"/>
      <c r="T2688" s="17"/>
      <c r="U2688" s="11"/>
      <c r="V2688" s="16"/>
      <c r="W2688" s="11"/>
      <c r="X2688" s="11"/>
      <c r="Y2688" s="15"/>
      <c r="Z2688" s="11"/>
    </row>
    <row r="2689" spans="1:26" x14ac:dyDescent="0.25">
      <c r="A2689" s="11"/>
      <c r="B2689" s="11"/>
      <c r="C2689" s="11"/>
      <c r="D2689" s="11"/>
      <c r="E2689" s="12"/>
      <c r="F2689" s="13"/>
      <c r="G2689" s="14"/>
      <c r="H2689" s="13"/>
      <c r="I2689" s="11"/>
      <c r="J2689" s="11"/>
      <c r="K2689" s="11"/>
      <c r="L2689" s="11"/>
      <c r="M2689" s="15"/>
      <c r="N2689" s="15"/>
      <c r="O2689" s="15"/>
      <c r="P2689" s="15"/>
      <c r="Q2689" s="16"/>
      <c r="R2689" s="16"/>
      <c r="S2689" s="16"/>
      <c r="T2689" s="17"/>
      <c r="U2689" s="11"/>
      <c r="V2689" s="16"/>
      <c r="W2689" s="11"/>
      <c r="X2689" s="11"/>
      <c r="Y2689" s="15"/>
      <c r="Z2689" s="11"/>
    </row>
    <row r="2690" spans="1:26" x14ac:dyDescent="0.25">
      <c r="A2690" s="11"/>
      <c r="B2690" s="11"/>
      <c r="C2690" s="11"/>
      <c r="D2690" s="11"/>
      <c r="E2690" s="12"/>
      <c r="F2690" s="13"/>
      <c r="G2690" s="14"/>
      <c r="H2690" s="13"/>
      <c r="I2690" s="11"/>
      <c r="J2690" s="11"/>
      <c r="K2690" s="11"/>
      <c r="L2690" s="11"/>
      <c r="M2690" s="15"/>
      <c r="N2690" s="15"/>
      <c r="O2690" s="15"/>
      <c r="P2690" s="15"/>
      <c r="Q2690" s="16"/>
      <c r="R2690" s="16"/>
      <c r="S2690" s="16"/>
      <c r="T2690" s="17"/>
      <c r="U2690" s="11"/>
      <c r="V2690" s="16"/>
      <c r="W2690" s="11"/>
      <c r="X2690" s="11"/>
      <c r="Y2690" s="15"/>
      <c r="Z2690" s="11"/>
    </row>
    <row r="2691" spans="1:26" x14ac:dyDescent="0.25">
      <c r="A2691" s="11"/>
      <c r="B2691" s="11"/>
      <c r="C2691" s="11"/>
      <c r="D2691" s="11"/>
      <c r="E2691" s="12"/>
      <c r="F2691" s="13"/>
      <c r="G2691" s="14"/>
      <c r="H2691" s="13"/>
      <c r="I2691" s="11"/>
      <c r="J2691" s="11"/>
      <c r="K2691" s="11"/>
      <c r="L2691" s="11"/>
      <c r="M2691" s="15"/>
      <c r="N2691" s="15"/>
      <c r="O2691" s="15"/>
      <c r="P2691" s="15"/>
      <c r="Q2691" s="16"/>
      <c r="R2691" s="16"/>
      <c r="S2691" s="16"/>
      <c r="T2691" s="17"/>
      <c r="U2691" s="11"/>
      <c r="V2691" s="16"/>
      <c r="W2691" s="11"/>
      <c r="X2691" s="11"/>
      <c r="Y2691" s="15"/>
      <c r="Z2691" s="11"/>
    </row>
    <row r="2692" spans="1:26" x14ac:dyDescent="0.25">
      <c r="A2692" s="11"/>
      <c r="B2692" s="11"/>
      <c r="C2692" s="11"/>
      <c r="D2692" s="11"/>
      <c r="E2692" s="12"/>
      <c r="F2692" s="13"/>
      <c r="G2692" s="14"/>
      <c r="H2692" s="13"/>
      <c r="I2692" s="11"/>
      <c r="J2692" s="11"/>
      <c r="K2692" s="11"/>
      <c r="L2692" s="11"/>
      <c r="M2692" s="15"/>
      <c r="N2692" s="15"/>
      <c r="O2692" s="15"/>
      <c r="P2692" s="15"/>
      <c r="Q2692" s="16"/>
      <c r="R2692" s="16"/>
      <c r="S2692" s="16"/>
      <c r="T2692" s="17"/>
      <c r="U2692" s="11"/>
      <c r="V2692" s="16"/>
      <c r="W2692" s="11"/>
      <c r="X2692" s="11"/>
      <c r="Y2692" s="15"/>
      <c r="Z2692" s="11"/>
    </row>
    <row r="2693" spans="1:26" x14ac:dyDescent="0.25">
      <c r="A2693" s="11"/>
      <c r="B2693" s="11"/>
      <c r="C2693" s="11"/>
      <c r="D2693" s="11"/>
      <c r="E2693" s="12"/>
      <c r="F2693" s="13"/>
      <c r="G2693" s="14"/>
      <c r="H2693" s="13"/>
      <c r="I2693" s="11"/>
      <c r="J2693" s="11"/>
      <c r="K2693" s="11"/>
      <c r="L2693" s="11"/>
      <c r="M2693" s="15"/>
      <c r="N2693" s="15"/>
      <c r="O2693" s="15"/>
      <c r="P2693" s="15"/>
      <c r="Q2693" s="16"/>
      <c r="R2693" s="16"/>
      <c r="S2693" s="16"/>
      <c r="T2693" s="17"/>
      <c r="U2693" s="11"/>
      <c r="V2693" s="16"/>
      <c r="W2693" s="11"/>
      <c r="X2693" s="11"/>
      <c r="Y2693" s="15"/>
      <c r="Z2693" s="11"/>
    </row>
    <row r="2694" spans="1:26" x14ac:dyDescent="0.25">
      <c r="A2694" s="11"/>
      <c r="B2694" s="11"/>
      <c r="C2694" s="11"/>
      <c r="D2694" s="11"/>
      <c r="E2694" s="12"/>
      <c r="F2694" s="13"/>
      <c r="G2694" s="14"/>
      <c r="H2694" s="13"/>
      <c r="I2694" s="11"/>
      <c r="J2694" s="11"/>
      <c r="K2694" s="11"/>
      <c r="L2694" s="11"/>
      <c r="M2694" s="15"/>
      <c r="N2694" s="15"/>
      <c r="O2694" s="15"/>
      <c r="P2694" s="15"/>
      <c r="Q2694" s="16"/>
      <c r="R2694" s="16"/>
      <c r="S2694" s="16"/>
      <c r="T2694" s="17"/>
      <c r="U2694" s="11"/>
      <c r="V2694" s="16"/>
      <c r="W2694" s="11"/>
      <c r="X2694" s="11"/>
      <c r="Y2694" s="15"/>
      <c r="Z2694" s="11"/>
    </row>
    <row r="2695" spans="1:26" x14ac:dyDescent="0.25">
      <c r="A2695" s="11"/>
      <c r="B2695" s="11"/>
      <c r="C2695" s="11"/>
      <c r="D2695" s="11"/>
      <c r="E2695" s="12"/>
      <c r="F2695" s="13"/>
      <c r="G2695" s="14"/>
      <c r="H2695" s="13"/>
      <c r="I2695" s="11"/>
      <c r="J2695" s="11"/>
      <c r="K2695" s="11"/>
      <c r="L2695" s="11"/>
      <c r="M2695" s="15"/>
      <c r="N2695" s="15"/>
      <c r="O2695" s="15"/>
      <c r="P2695" s="15"/>
      <c r="Q2695" s="16"/>
      <c r="R2695" s="16"/>
      <c r="S2695" s="16"/>
      <c r="T2695" s="17"/>
      <c r="U2695" s="11"/>
      <c r="V2695" s="16"/>
      <c r="W2695" s="11"/>
      <c r="X2695" s="11"/>
      <c r="Y2695" s="15"/>
      <c r="Z2695" s="11"/>
    </row>
    <row r="2696" spans="1:26" x14ac:dyDescent="0.25">
      <c r="A2696" s="11"/>
      <c r="B2696" s="11"/>
      <c r="C2696" s="11"/>
      <c r="D2696" s="11"/>
      <c r="E2696" s="12"/>
      <c r="F2696" s="13"/>
      <c r="G2696" s="14"/>
      <c r="H2696" s="13"/>
      <c r="I2696" s="11"/>
      <c r="J2696" s="11"/>
      <c r="K2696" s="11"/>
      <c r="L2696" s="11"/>
      <c r="M2696" s="15"/>
      <c r="N2696" s="15"/>
      <c r="O2696" s="15"/>
      <c r="P2696" s="15"/>
      <c r="Q2696" s="16"/>
      <c r="R2696" s="16"/>
      <c r="S2696" s="16"/>
      <c r="T2696" s="17"/>
      <c r="U2696" s="11"/>
      <c r="V2696" s="16"/>
      <c r="W2696" s="11"/>
      <c r="X2696" s="11"/>
      <c r="Y2696" s="15"/>
      <c r="Z2696" s="11"/>
    </row>
    <row r="2697" spans="1:26" x14ac:dyDescent="0.25">
      <c r="A2697" s="11"/>
      <c r="B2697" s="11"/>
      <c r="C2697" s="11"/>
      <c r="D2697" s="11"/>
      <c r="E2697" s="12"/>
      <c r="F2697" s="13"/>
      <c r="G2697" s="13"/>
      <c r="H2697" s="13"/>
      <c r="I2697" s="11"/>
      <c r="J2697" s="11"/>
      <c r="K2697" s="11"/>
      <c r="L2697" s="11"/>
      <c r="M2697" s="15"/>
      <c r="N2697" s="15"/>
      <c r="O2697" s="15"/>
      <c r="P2697" s="15"/>
      <c r="Q2697" s="16"/>
      <c r="R2697" s="16"/>
      <c r="S2697" s="16"/>
      <c r="T2697" s="17"/>
      <c r="U2697" s="11"/>
      <c r="V2697" s="16"/>
      <c r="W2697" s="11"/>
      <c r="X2697" s="11"/>
      <c r="Y2697" s="15"/>
      <c r="Z2697" s="11"/>
    </row>
    <row r="2698" spans="1:26" x14ac:dyDescent="0.25">
      <c r="A2698" s="11"/>
      <c r="B2698" s="11"/>
      <c r="C2698" s="11"/>
      <c r="D2698" s="11"/>
      <c r="E2698" s="12"/>
      <c r="F2698" s="13"/>
      <c r="G2698" s="13"/>
      <c r="H2698" s="13"/>
      <c r="I2698" s="11"/>
      <c r="J2698" s="11"/>
      <c r="K2698" s="11"/>
      <c r="L2698" s="11"/>
      <c r="M2698" s="15"/>
      <c r="N2698" s="15"/>
      <c r="O2698" s="15"/>
      <c r="P2698" s="15"/>
      <c r="Q2698" s="16"/>
      <c r="R2698" s="16"/>
      <c r="S2698" s="16"/>
      <c r="T2698" s="17"/>
      <c r="U2698" s="11"/>
      <c r="V2698" s="16"/>
      <c r="W2698" s="11"/>
      <c r="X2698" s="11"/>
      <c r="Y2698" s="15"/>
      <c r="Z2698" s="11"/>
    </row>
    <row r="2699" spans="1:26" x14ac:dyDescent="0.25">
      <c r="A2699" s="11"/>
      <c r="B2699" s="11"/>
      <c r="C2699" s="11"/>
      <c r="D2699" s="11"/>
      <c r="E2699" s="12"/>
      <c r="F2699" s="13"/>
      <c r="G2699" s="13"/>
      <c r="H2699" s="13"/>
      <c r="I2699" s="11"/>
      <c r="J2699" s="11"/>
      <c r="K2699" s="11"/>
      <c r="L2699" s="11"/>
      <c r="M2699" s="15"/>
      <c r="N2699" s="15"/>
      <c r="O2699" s="15"/>
      <c r="P2699" s="15"/>
      <c r="Q2699" s="16"/>
      <c r="R2699" s="16"/>
      <c r="S2699" s="16"/>
      <c r="T2699" s="17"/>
      <c r="U2699" s="11"/>
      <c r="V2699" s="16"/>
      <c r="W2699" s="11"/>
      <c r="X2699" s="11"/>
      <c r="Y2699" s="15"/>
      <c r="Z2699" s="11"/>
    </row>
    <row r="2700" spans="1:26" x14ac:dyDescent="0.25">
      <c r="A2700" s="11"/>
      <c r="B2700" s="11"/>
      <c r="C2700" s="11"/>
      <c r="D2700" s="11"/>
      <c r="E2700" s="12"/>
      <c r="F2700" s="13"/>
      <c r="G2700" s="13"/>
      <c r="H2700" s="13"/>
      <c r="I2700" s="11"/>
      <c r="J2700" s="11"/>
      <c r="K2700" s="11"/>
      <c r="L2700" s="11"/>
      <c r="M2700" s="15"/>
      <c r="N2700" s="15"/>
      <c r="O2700" s="15"/>
      <c r="P2700" s="15"/>
      <c r="Q2700" s="16"/>
      <c r="R2700" s="16"/>
      <c r="S2700" s="16"/>
      <c r="T2700" s="17"/>
      <c r="U2700" s="11"/>
      <c r="V2700" s="16"/>
      <c r="W2700" s="11"/>
      <c r="X2700" s="11"/>
      <c r="Y2700" s="15"/>
      <c r="Z2700" s="11"/>
    </row>
    <row r="2701" spans="1:26" x14ac:dyDescent="0.25">
      <c r="A2701" s="11"/>
      <c r="B2701" s="11"/>
      <c r="C2701" s="11"/>
      <c r="D2701" s="11"/>
      <c r="E2701" s="12"/>
      <c r="F2701" s="13"/>
      <c r="G2701" s="13"/>
      <c r="H2701" s="13"/>
      <c r="I2701" s="11"/>
      <c r="J2701" s="11"/>
      <c r="K2701" s="11"/>
      <c r="L2701" s="11"/>
      <c r="M2701" s="15"/>
      <c r="N2701" s="15"/>
      <c r="O2701" s="15"/>
      <c r="P2701" s="15"/>
      <c r="Q2701" s="16"/>
      <c r="R2701" s="16"/>
      <c r="S2701" s="16"/>
      <c r="T2701" s="17"/>
      <c r="U2701" s="11"/>
      <c r="V2701" s="16"/>
      <c r="W2701" s="11"/>
      <c r="X2701" s="11"/>
      <c r="Y2701" s="15"/>
      <c r="Z2701" s="11"/>
    </row>
    <row r="2702" spans="1:26" x14ac:dyDescent="0.25">
      <c r="A2702" s="11"/>
      <c r="B2702" s="11"/>
      <c r="C2702" s="11"/>
      <c r="D2702" s="11"/>
      <c r="E2702" s="12"/>
      <c r="F2702" s="13"/>
      <c r="G2702" s="13"/>
      <c r="H2702" s="13"/>
      <c r="I2702" s="11"/>
      <c r="J2702" s="11"/>
      <c r="K2702" s="11"/>
      <c r="L2702" s="11"/>
      <c r="M2702" s="15"/>
      <c r="N2702" s="15"/>
      <c r="O2702" s="15"/>
      <c r="P2702" s="15"/>
      <c r="Q2702" s="16"/>
      <c r="R2702" s="16"/>
      <c r="S2702" s="16"/>
      <c r="T2702" s="17"/>
      <c r="U2702" s="11"/>
      <c r="V2702" s="16"/>
      <c r="W2702" s="11"/>
      <c r="X2702" s="11"/>
      <c r="Y2702" s="15"/>
      <c r="Z2702" s="11"/>
    </row>
    <row r="2703" spans="1:26" x14ac:dyDescent="0.25">
      <c r="A2703" s="11"/>
      <c r="B2703" s="11"/>
      <c r="C2703" s="11"/>
      <c r="D2703" s="11"/>
      <c r="E2703" s="12"/>
      <c r="F2703" s="13"/>
      <c r="G2703" s="13"/>
      <c r="H2703" s="13"/>
      <c r="I2703" s="11"/>
      <c r="J2703" s="11"/>
      <c r="K2703" s="11"/>
      <c r="L2703" s="11"/>
      <c r="M2703" s="15"/>
      <c r="N2703" s="15"/>
      <c r="O2703" s="15"/>
      <c r="P2703" s="15"/>
      <c r="Q2703" s="16"/>
      <c r="R2703" s="16"/>
      <c r="S2703" s="16"/>
      <c r="T2703" s="17"/>
      <c r="U2703" s="11"/>
      <c r="V2703" s="16"/>
      <c r="W2703" s="11"/>
      <c r="X2703" s="11"/>
      <c r="Y2703" s="15"/>
      <c r="Z2703" s="11"/>
    </row>
    <row r="2704" spans="1:26" x14ac:dyDescent="0.25">
      <c r="A2704" s="11"/>
      <c r="B2704" s="11"/>
      <c r="C2704" s="11"/>
      <c r="D2704" s="11"/>
      <c r="E2704" s="12"/>
      <c r="F2704" s="13"/>
      <c r="G2704" s="13"/>
      <c r="H2704" s="13"/>
      <c r="I2704" s="11"/>
      <c r="J2704" s="11"/>
      <c r="K2704" s="11"/>
      <c r="L2704" s="11"/>
      <c r="M2704" s="15"/>
      <c r="N2704" s="15"/>
      <c r="O2704" s="15"/>
      <c r="P2704" s="15"/>
      <c r="Q2704" s="16"/>
      <c r="R2704" s="16"/>
      <c r="S2704" s="16"/>
      <c r="T2704" s="17"/>
      <c r="U2704" s="11"/>
      <c r="V2704" s="16"/>
      <c r="W2704" s="11"/>
      <c r="X2704" s="11"/>
      <c r="Y2704" s="15"/>
      <c r="Z2704" s="11"/>
    </row>
    <row r="2705" spans="1:26" x14ac:dyDescent="0.25">
      <c r="A2705" s="11"/>
      <c r="B2705" s="11"/>
      <c r="C2705" s="11"/>
      <c r="D2705" s="11"/>
      <c r="E2705" s="12"/>
      <c r="F2705" s="13"/>
      <c r="G2705" s="13"/>
      <c r="H2705" s="13"/>
      <c r="I2705" s="11"/>
      <c r="J2705" s="11"/>
      <c r="K2705" s="11"/>
      <c r="L2705" s="11"/>
      <c r="M2705" s="15"/>
      <c r="N2705" s="15"/>
      <c r="O2705" s="15"/>
      <c r="P2705" s="15"/>
      <c r="Q2705" s="16"/>
      <c r="R2705" s="16"/>
      <c r="S2705" s="16"/>
      <c r="T2705" s="17"/>
      <c r="U2705" s="11"/>
      <c r="V2705" s="16"/>
      <c r="W2705" s="11"/>
      <c r="X2705" s="11"/>
      <c r="Y2705" s="15"/>
      <c r="Z2705" s="11"/>
    </row>
    <row r="2706" spans="1:26" x14ac:dyDescent="0.25">
      <c r="A2706" s="18"/>
      <c r="B2706" s="18"/>
      <c r="C2706" s="18"/>
      <c r="D2706" s="18"/>
      <c r="E2706" s="19"/>
      <c r="F2706" s="20"/>
      <c r="G2706" s="13"/>
      <c r="H2706" s="20"/>
      <c r="I2706" s="18"/>
      <c r="J2706" s="18"/>
      <c r="K2706" s="18"/>
      <c r="L2706" s="18"/>
      <c r="M2706" s="21"/>
      <c r="N2706" s="21"/>
      <c r="O2706" s="21"/>
      <c r="P2706" s="21"/>
      <c r="Q2706" s="22"/>
      <c r="R2706" s="19"/>
      <c r="S2706" s="22"/>
      <c r="T2706" s="23"/>
      <c r="U2706" s="18"/>
      <c r="V2706" s="22"/>
      <c r="W2706" s="18"/>
      <c r="X2706" s="18"/>
      <c r="Y2706" s="21"/>
      <c r="Z2706" s="18"/>
    </row>
    <row r="2707" spans="1:26" x14ac:dyDescent="0.25">
      <c r="A2707" s="11"/>
      <c r="B2707" s="11"/>
      <c r="C2707" s="11"/>
      <c r="D2707" s="11"/>
      <c r="E2707" s="12"/>
      <c r="F2707" s="13"/>
      <c r="G2707" s="13"/>
      <c r="H2707" s="13"/>
      <c r="I2707" s="11"/>
      <c r="J2707" s="11"/>
      <c r="K2707" s="11"/>
      <c r="L2707" s="11"/>
      <c r="M2707" s="15"/>
      <c r="N2707" s="15"/>
      <c r="O2707" s="15"/>
      <c r="P2707" s="15"/>
      <c r="Q2707" s="16"/>
      <c r="R2707" s="16"/>
      <c r="S2707" s="16"/>
      <c r="T2707" s="17"/>
      <c r="U2707" s="11"/>
      <c r="V2707" s="16"/>
      <c r="W2707" s="11"/>
      <c r="X2707" s="11"/>
      <c r="Y2707" s="15"/>
      <c r="Z2707" s="11"/>
    </row>
    <row r="2708" spans="1:26" x14ac:dyDescent="0.25">
      <c r="A2708" s="11"/>
      <c r="B2708" s="11"/>
      <c r="C2708" s="11"/>
      <c r="D2708" s="11"/>
      <c r="E2708" s="12"/>
      <c r="F2708" s="13"/>
      <c r="G2708" s="13"/>
      <c r="H2708" s="13"/>
      <c r="I2708" s="11"/>
      <c r="J2708" s="11"/>
      <c r="K2708" s="11"/>
      <c r="L2708" s="11"/>
      <c r="M2708" s="15"/>
      <c r="N2708" s="15"/>
      <c r="O2708" s="15"/>
      <c r="P2708" s="15"/>
      <c r="Q2708" s="16"/>
      <c r="R2708" s="16"/>
      <c r="S2708" s="16"/>
      <c r="T2708" s="17"/>
      <c r="U2708" s="11"/>
      <c r="V2708" s="16"/>
      <c r="W2708" s="11"/>
      <c r="X2708" s="11"/>
      <c r="Y2708" s="15"/>
      <c r="Z2708" s="11"/>
    </row>
    <row r="2709" spans="1:26" x14ac:dyDescent="0.25">
      <c r="A2709" s="11"/>
      <c r="B2709" s="11"/>
      <c r="C2709" s="11"/>
      <c r="D2709" s="11"/>
      <c r="E2709" s="12"/>
      <c r="F2709" s="13"/>
      <c r="G2709" s="13"/>
      <c r="H2709" s="13"/>
      <c r="I2709" s="11"/>
      <c r="J2709" s="11"/>
      <c r="K2709" s="11"/>
      <c r="L2709" s="11"/>
      <c r="M2709" s="15"/>
      <c r="N2709" s="15"/>
      <c r="O2709" s="15"/>
      <c r="P2709" s="15"/>
      <c r="Q2709" s="16"/>
      <c r="R2709" s="16"/>
      <c r="S2709" s="16"/>
      <c r="T2709" s="17"/>
      <c r="U2709" s="11"/>
      <c r="V2709" s="16"/>
      <c r="W2709" s="11"/>
      <c r="X2709" s="11"/>
      <c r="Y2709" s="15"/>
      <c r="Z2709" s="11"/>
    </row>
    <row r="2710" spans="1:26" x14ac:dyDescent="0.25">
      <c r="A2710" s="11"/>
      <c r="B2710" s="11"/>
      <c r="C2710" s="11"/>
      <c r="D2710" s="11"/>
      <c r="E2710" s="12"/>
      <c r="F2710" s="13"/>
      <c r="G2710" s="13"/>
      <c r="H2710" s="13"/>
      <c r="I2710" s="11"/>
      <c r="J2710" s="11"/>
      <c r="K2710" s="11"/>
      <c r="L2710" s="11"/>
      <c r="M2710" s="15"/>
      <c r="N2710" s="15"/>
      <c r="O2710" s="15"/>
      <c r="P2710" s="15"/>
      <c r="Q2710" s="16"/>
      <c r="R2710" s="16"/>
      <c r="S2710" s="16"/>
      <c r="T2710" s="17"/>
      <c r="U2710" s="11"/>
      <c r="V2710" s="16"/>
      <c r="W2710" s="11"/>
      <c r="X2710" s="11"/>
      <c r="Y2710" s="15"/>
      <c r="Z2710" s="11"/>
    </row>
    <row r="2711" spans="1:26" x14ac:dyDescent="0.25">
      <c r="A2711" s="19"/>
      <c r="B2711" s="19"/>
      <c r="C2711" s="19"/>
      <c r="D2711" s="19"/>
      <c r="E2711" s="19"/>
      <c r="F2711" s="20"/>
      <c r="G2711" s="13"/>
      <c r="H2711" s="20"/>
      <c r="I2711" s="19"/>
      <c r="J2711" s="19"/>
      <c r="K2711" s="19"/>
      <c r="L2711" s="19"/>
      <c r="M2711" s="21"/>
      <c r="N2711" s="21"/>
      <c r="O2711" s="21"/>
      <c r="P2711" s="21"/>
      <c r="Q2711" s="22"/>
      <c r="R2711" s="19"/>
      <c r="S2711" s="22"/>
      <c r="T2711" s="23"/>
      <c r="U2711" s="19"/>
      <c r="V2711" s="22"/>
      <c r="W2711" s="19"/>
      <c r="X2711" s="19"/>
      <c r="Y2711" s="21"/>
      <c r="Z2711" s="19"/>
    </row>
    <row r="2712" spans="1:26" x14ac:dyDescent="0.25">
      <c r="A2712" s="11"/>
      <c r="B2712" s="11"/>
      <c r="C2712" s="11"/>
      <c r="D2712" s="11"/>
      <c r="E2712" s="12"/>
      <c r="F2712" s="13"/>
      <c r="G2712" s="13"/>
      <c r="H2712" s="13"/>
      <c r="I2712" s="11"/>
      <c r="J2712" s="11"/>
      <c r="K2712" s="11"/>
      <c r="L2712" s="11"/>
      <c r="M2712" s="15"/>
      <c r="N2712" s="15"/>
      <c r="O2712" s="15"/>
      <c r="P2712" s="15"/>
      <c r="Q2712" s="16"/>
      <c r="R2712" s="16"/>
      <c r="S2712" s="16"/>
      <c r="T2712" s="17"/>
      <c r="U2712" s="11"/>
      <c r="V2712" s="16"/>
      <c r="W2712" s="11"/>
      <c r="X2712" s="11"/>
      <c r="Y2712" s="15"/>
      <c r="Z2712" s="11"/>
    </row>
    <row r="2713" spans="1:26" x14ac:dyDescent="0.25">
      <c r="A2713" s="11"/>
      <c r="B2713" s="11"/>
      <c r="C2713" s="11"/>
      <c r="D2713" s="11"/>
      <c r="E2713" s="12"/>
      <c r="F2713" s="13"/>
      <c r="G2713" s="13"/>
      <c r="H2713" s="13"/>
      <c r="I2713" s="11"/>
      <c r="J2713" s="11"/>
      <c r="K2713" s="11"/>
      <c r="L2713" s="11"/>
      <c r="M2713" s="15"/>
      <c r="N2713" s="15"/>
      <c r="O2713" s="15"/>
      <c r="P2713" s="15"/>
      <c r="Q2713" s="16"/>
      <c r="R2713" s="16"/>
      <c r="S2713" s="16"/>
      <c r="T2713" s="17"/>
      <c r="U2713" s="11"/>
      <c r="V2713" s="16"/>
      <c r="W2713" s="11"/>
      <c r="X2713" s="11"/>
      <c r="Y2713" s="15"/>
      <c r="Z2713" s="11"/>
    </row>
    <row r="2714" spans="1:26" x14ac:dyDescent="0.25">
      <c r="A2714" s="18"/>
      <c r="B2714" s="18"/>
      <c r="C2714" s="18"/>
      <c r="D2714" s="18"/>
      <c r="E2714" s="19"/>
      <c r="F2714" s="20"/>
      <c r="G2714" s="13"/>
      <c r="H2714" s="20"/>
      <c r="I2714" s="18"/>
      <c r="J2714" s="18"/>
      <c r="K2714" s="18"/>
      <c r="L2714" s="18"/>
      <c r="M2714" s="21"/>
      <c r="N2714" s="21"/>
      <c r="O2714" s="21"/>
      <c r="P2714" s="21"/>
      <c r="Q2714" s="22"/>
      <c r="R2714" s="19"/>
      <c r="S2714" s="22"/>
      <c r="T2714" s="23"/>
      <c r="U2714" s="18"/>
      <c r="V2714" s="22"/>
      <c r="W2714" s="18"/>
      <c r="X2714" s="18"/>
      <c r="Y2714" s="21"/>
      <c r="Z2714" s="18"/>
    </row>
    <row r="2715" spans="1:26" x14ac:dyDescent="0.25">
      <c r="A2715" s="11"/>
      <c r="B2715" s="11"/>
      <c r="C2715" s="11"/>
      <c r="D2715" s="11"/>
      <c r="E2715" s="12"/>
      <c r="F2715" s="13"/>
      <c r="G2715" s="13"/>
      <c r="H2715" s="13"/>
      <c r="I2715" s="11"/>
      <c r="J2715" s="11"/>
      <c r="K2715" s="11"/>
      <c r="L2715" s="11"/>
      <c r="M2715" s="15"/>
      <c r="N2715" s="15"/>
      <c r="O2715" s="15"/>
      <c r="P2715" s="15"/>
      <c r="Q2715" s="16"/>
      <c r="R2715" s="16"/>
      <c r="S2715" s="16"/>
      <c r="T2715" s="17"/>
      <c r="U2715" s="11"/>
      <c r="V2715" s="16"/>
      <c r="W2715" s="11"/>
      <c r="X2715" s="11"/>
      <c r="Y2715" s="15"/>
      <c r="Z2715" s="11"/>
    </row>
    <row r="2716" spans="1:26" x14ac:dyDescent="0.25">
      <c r="A2716" s="11"/>
      <c r="B2716" s="11"/>
      <c r="C2716" s="11"/>
      <c r="D2716" s="11"/>
      <c r="E2716" s="12"/>
      <c r="F2716" s="13"/>
      <c r="G2716" s="13"/>
      <c r="H2716" s="13"/>
      <c r="I2716" s="11"/>
      <c r="J2716" s="11"/>
      <c r="K2716" s="11"/>
      <c r="L2716" s="11"/>
      <c r="M2716" s="15"/>
      <c r="N2716" s="15"/>
      <c r="O2716" s="15"/>
      <c r="P2716" s="15"/>
      <c r="Q2716" s="16"/>
      <c r="R2716" s="16"/>
      <c r="S2716" s="16"/>
      <c r="T2716" s="17"/>
      <c r="U2716" s="11"/>
      <c r="V2716" s="16"/>
      <c r="W2716" s="11"/>
      <c r="X2716" s="11"/>
      <c r="Y2716" s="15"/>
      <c r="Z2716" s="11"/>
    </row>
    <row r="2717" spans="1:26" x14ac:dyDescent="0.25">
      <c r="A2717" s="18"/>
      <c r="B2717" s="18"/>
      <c r="C2717" s="18"/>
      <c r="D2717" s="18"/>
      <c r="E2717" s="19"/>
      <c r="F2717" s="20"/>
      <c r="G2717" s="13"/>
      <c r="H2717" s="20"/>
      <c r="I2717" s="18"/>
      <c r="J2717" s="18"/>
      <c r="K2717" s="18"/>
      <c r="L2717" s="18"/>
      <c r="M2717" s="21"/>
      <c r="N2717" s="21"/>
      <c r="O2717" s="21"/>
      <c r="P2717" s="21"/>
      <c r="Q2717" s="22"/>
      <c r="R2717" s="19"/>
      <c r="S2717" s="22"/>
      <c r="T2717" s="23"/>
      <c r="U2717" s="18"/>
      <c r="V2717" s="22"/>
      <c r="W2717" s="18"/>
      <c r="X2717" s="18"/>
      <c r="Y2717" s="21"/>
      <c r="Z2717" s="18"/>
    </row>
    <row r="2718" spans="1:26" x14ac:dyDescent="0.25">
      <c r="A2718" s="19"/>
      <c r="B2718" s="19"/>
      <c r="C2718" s="19"/>
      <c r="D2718" s="19"/>
      <c r="E2718" s="19"/>
      <c r="F2718" s="20"/>
      <c r="G2718" s="13"/>
      <c r="H2718" s="20"/>
      <c r="I2718" s="19"/>
      <c r="J2718" s="19"/>
      <c r="K2718" s="19"/>
      <c r="L2718" s="19"/>
      <c r="M2718" s="21"/>
      <c r="N2718" s="21"/>
      <c r="O2718" s="21"/>
      <c r="P2718" s="21"/>
      <c r="Q2718" s="22"/>
      <c r="R2718" s="19"/>
      <c r="S2718" s="22"/>
      <c r="T2718" s="23"/>
      <c r="U2718" s="19"/>
      <c r="V2718" s="22"/>
      <c r="W2718" s="19"/>
      <c r="X2718" s="19"/>
      <c r="Y2718" s="21"/>
      <c r="Z2718" s="19"/>
    </row>
    <row r="2719" spans="1:26" x14ac:dyDescent="0.25">
      <c r="A2719" s="11"/>
      <c r="B2719" s="11"/>
      <c r="C2719" s="11"/>
      <c r="D2719" s="11"/>
      <c r="E2719" s="12"/>
      <c r="F2719" s="13"/>
      <c r="G2719" s="13"/>
      <c r="H2719" s="13"/>
      <c r="I2719" s="11"/>
      <c r="J2719" s="11"/>
      <c r="K2719" s="11"/>
      <c r="L2719" s="11"/>
      <c r="M2719" s="15"/>
      <c r="N2719" s="15"/>
      <c r="O2719" s="15"/>
      <c r="P2719" s="15"/>
      <c r="Q2719" s="16"/>
      <c r="R2719" s="16"/>
      <c r="S2719" s="16"/>
      <c r="T2719" s="17"/>
      <c r="U2719" s="11"/>
      <c r="V2719" s="16"/>
      <c r="W2719" s="11"/>
      <c r="X2719" s="11"/>
      <c r="Y2719" s="15"/>
      <c r="Z2719" s="11"/>
    </row>
    <row r="2720" spans="1:26" x14ac:dyDescent="0.25">
      <c r="A2720" s="11"/>
      <c r="B2720" s="11"/>
      <c r="C2720" s="11"/>
      <c r="D2720" s="11"/>
      <c r="E2720" s="12"/>
      <c r="F2720" s="13"/>
      <c r="G2720" s="13"/>
      <c r="H2720" s="13"/>
      <c r="I2720" s="11"/>
      <c r="J2720" s="11"/>
      <c r="K2720" s="11"/>
      <c r="L2720" s="11"/>
      <c r="M2720" s="15"/>
      <c r="N2720" s="15"/>
      <c r="O2720" s="15"/>
      <c r="P2720" s="15"/>
      <c r="Q2720" s="16"/>
      <c r="R2720" s="16"/>
      <c r="S2720" s="16"/>
      <c r="T2720" s="17"/>
      <c r="U2720" s="11"/>
      <c r="V2720" s="16"/>
      <c r="W2720" s="11"/>
      <c r="X2720" s="11"/>
      <c r="Y2720" s="15"/>
      <c r="Z2720" s="11"/>
    </row>
    <row r="2721" spans="1:26" x14ac:dyDescent="0.25">
      <c r="A2721" s="11"/>
      <c r="B2721" s="11"/>
      <c r="C2721" s="11"/>
      <c r="D2721" s="11"/>
      <c r="E2721" s="12"/>
      <c r="F2721" s="13"/>
      <c r="G2721" s="13"/>
      <c r="H2721" s="13"/>
      <c r="I2721" s="11"/>
      <c r="J2721" s="11"/>
      <c r="K2721" s="11"/>
      <c r="L2721" s="11"/>
      <c r="M2721" s="15"/>
      <c r="N2721" s="15"/>
      <c r="O2721" s="15"/>
      <c r="P2721" s="15"/>
      <c r="Q2721" s="16"/>
      <c r="R2721" s="16"/>
      <c r="S2721" s="16"/>
      <c r="T2721" s="17"/>
      <c r="U2721" s="11"/>
      <c r="V2721" s="16"/>
      <c r="W2721" s="11"/>
      <c r="X2721" s="11"/>
      <c r="Y2721" s="15"/>
      <c r="Z2721" s="11"/>
    </row>
    <row r="2722" spans="1:26" x14ac:dyDescent="0.25">
      <c r="A2722" s="11"/>
      <c r="B2722" s="11"/>
      <c r="C2722" s="11"/>
      <c r="D2722" s="11"/>
      <c r="E2722" s="12"/>
      <c r="F2722" s="13"/>
      <c r="G2722" s="13"/>
      <c r="H2722" s="13"/>
      <c r="I2722" s="11"/>
      <c r="J2722" s="11"/>
      <c r="K2722" s="11"/>
      <c r="L2722" s="11"/>
      <c r="M2722" s="15"/>
      <c r="N2722" s="15"/>
      <c r="O2722" s="15"/>
      <c r="P2722" s="15"/>
      <c r="Q2722" s="16"/>
      <c r="R2722" s="16"/>
      <c r="S2722" s="16"/>
      <c r="T2722" s="17"/>
      <c r="U2722" s="11"/>
      <c r="V2722" s="16"/>
      <c r="W2722" s="11"/>
      <c r="X2722" s="11"/>
      <c r="Y2722" s="15"/>
      <c r="Z2722" s="11"/>
    </row>
    <row r="2723" spans="1:26" x14ac:dyDescent="0.25">
      <c r="A2723" s="11"/>
      <c r="B2723" s="11"/>
      <c r="C2723" s="11"/>
      <c r="D2723" s="11"/>
      <c r="E2723" s="12"/>
      <c r="F2723" s="13"/>
      <c r="G2723" s="13"/>
      <c r="H2723" s="13"/>
      <c r="I2723" s="11"/>
      <c r="J2723" s="11"/>
      <c r="K2723" s="11"/>
      <c r="L2723" s="11"/>
      <c r="M2723" s="15"/>
      <c r="N2723" s="15"/>
      <c r="O2723" s="15"/>
      <c r="P2723" s="15"/>
      <c r="Q2723" s="16"/>
      <c r="R2723" s="16"/>
      <c r="S2723" s="16"/>
      <c r="T2723" s="17"/>
      <c r="U2723" s="11"/>
      <c r="V2723" s="16"/>
      <c r="W2723" s="11"/>
      <c r="X2723" s="11"/>
      <c r="Y2723" s="15"/>
      <c r="Z2723" s="11"/>
    </row>
    <row r="2724" spans="1:26" x14ac:dyDescent="0.25">
      <c r="A2724" s="11"/>
      <c r="B2724" s="11"/>
      <c r="C2724" s="11"/>
      <c r="D2724" s="11"/>
      <c r="E2724" s="12"/>
      <c r="F2724" s="13"/>
      <c r="G2724" s="13"/>
      <c r="H2724" s="13"/>
      <c r="I2724" s="11"/>
      <c r="J2724" s="11"/>
      <c r="K2724" s="11"/>
      <c r="L2724" s="11"/>
      <c r="M2724" s="15"/>
      <c r="N2724" s="15"/>
      <c r="O2724" s="15"/>
      <c r="P2724" s="15"/>
      <c r="Q2724" s="16"/>
      <c r="R2724" s="16"/>
      <c r="S2724" s="16"/>
      <c r="T2724" s="17"/>
      <c r="U2724" s="11"/>
      <c r="V2724" s="16"/>
      <c r="W2724" s="11"/>
      <c r="X2724" s="11"/>
      <c r="Y2724" s="15"/>
      <c r="Z2724" s="11"/>
    </row>
    <row r="2725" spans="1:26" x14ac:dyDescent="0.25">
      <c r="A2725" s="11"/>
      <c r="B2725" s="11"/>
      <c r="C2725" s="11"/>
      <c r="D2725" s="11"/>
      <c r="E2725" s="12"/>
      <c r="F2725" s="13"/>
      <c r="G2725" s="13"/>
      <c r="H2725" s="13"/>
      <c r="I2725" s="11"/>
      <c r="J2725" s="11"/>
      <c r="K2725" s="11"/>
      <c r="L2725" s="11"/>
      <c r="M2725" s="15"/>
      <c r="N2725" s="15"/>
      <c r="O2725" s="15"/>
      <c r="P2725" s="15"/>
      <c r="Q2725" s="16"/>
      <c r="R2725" s="16"/>
      <c r="S2725" s="16"/>
      <c r="T2725" s="17"/>
      <c r="U2725" s="11"/>
      <c r="V2725" s="16"/>
      <c r="W2725" s="11"/>
      <c r="X2725" s="11"/>
      <c r="Y2725" s="15"/>
      <c r="Z2725" s="11"/>
    </row>
    <row r="2726" spans="1:26" x14ac:dyDescent="0.25">
      <c r="A2726" s="11"/>
      <c r="B2726" s="11"/>
      <c r="C2726" s="11"/>
      <c r="D2726" s="11"/>
      <c r="E2726" s="12"/>
      <c r="F2726" s="13"/>
      <c r="G2726" s="13"/>
      <c r="H2726" s="13"/>
      <c r="I2726" s="11"/>
      <c r="J2726" s="11"/>
      <c r="K2726" s="11"/>
      <c r="L2726" s="11"/>
      <c r="M2726" s="15"/>
      <c r="N2726" s="15"/>
      <c r="O2726" s="15"/>
      <c r="P2726" s="15"/>
      <c r="Q2726" s="16"/>
      <c r="R2726" s="16"/>
      <c r="S2726" s="16"/>
      <c r="T2726" s="17"/>
      <c r="U2726" s="11"/>
      <c r="V2726" s="16"/>
      <c r="W2726" s="11"/>
      <c r="X2726" s="11"/>
      <c r="Y2726" s="15"/>
      <c r="Z2726" s="11"/>
    </row>
    <row r="2727" spans="1:26" x14ac:dyDescent="0.25">
      <c r="A2727" s="11"/>
      <c r="B2727" s="11"/>
      <c r="C2727" s="11"/>
      <c r="D2727" s="11"/>
      <c r="E2727" s="12"/>
      <c r="F2727" s="13"/>
      <c r="G2727" s="13"/>
      <c r="H2727" s="13"/>
      <c r="I2727" s="11"/>
      <c r="J2727" s="11"/>
      <c r="K2727" s="11"/>
      <c r="L2727" s="11"/>
      <c r="M2727" s="15"/>
      <c r="N2727" s="15"/>
      <c r="O2727" s="15"/>
      <c r="P2727" s="15"/>
      <c r="Q2727" s="16"/>
      <c r="R2727" s="16"/>
      <c r="S2727" s="16"/>
      <c r="T2727" s="17"/>
      <c r="U2727" s="11"/>
      <c r="V2727" s="16"/>
      <c r="W2727" s="11"/>
      <c r="X2727" s="11"/>
      <c r="Y2727" s="15"/>
      <c r="Z2727" s="11"/>
    </row>
    <row r="2728" spans="1:26" x14ac:dyDescent="0.25">
      <c r="A2728" s="11"/>
      <c r="B2728" s="11"/>
      <c r="C2728" s="11"/>
      <c r="D2728" s="11"/>
      <c r="E2728" s="12"/>
      <c r="F2728" s="13"/>
      <c r="G2728" s="13"/>
      <c r="H2728" s="13"/>
      <c r="I2728" s="11"/>
      <c r="J2728" s="11"/>
      <c r="K2728" s="11"/>
      <c r="L2728" s="11"/>
      <c r="M2728" s="15"/>
      <c r="N2728" s="15"/>
      <c r="O2728" s="15"/>
      <c r="P2728" s="15"/>
      <c r="Q2728" s="16"/>
      <c r="R2728" s="16"/>
      <c r="S2728" s="16"/>
      <c r="T2728" s="17"/>
      <c r="U2728" s="11"/>
      <c r="V2728" s="16"/>
      <c r="W2728" s="11"/>
      <c r="X2728" s="11"/>
      <c r="Y2728" s="15"/>
      <c r="Z2728" s="11"/>
    </row>
    <row r="2729" spans="1:26" x14ac:dyDescent="0.25">
      <c r="A2729" s="19"/>
      <c r="B2729" s="19"/>
      <c r="C2729" s="19"/>
      <c r="D2729" s="19"/>
      <c r="E2729" s="19"/>
      <c r="F2729" s="20"/>
      <c r="G2729" s="13"/>
      <c r="H2729" s="20"/>
      <c r="I2729" s="19"/>
      <c r="J2729" s="19"/>
      <c r="K2729" s="19"/>
      <c r="L2729" s="19"/>
      <c r="M2729" s="21"/>
      <c r="N2729" s="21"/>
      <c r="O2729" s="21"/>
      <c r="P2729" s="21"/>
      <c r="Q2729" s="22"/>
      <c r="R2729" s="19"/>
      <c r="S2729" s="22"/>
      <c r="T2729" s="23"/>
      <c r="U2729" s="19"/>
      <c r="V2729" s="22"/>
      <c r="W2729" s="19"/>
      <c r="X2729" s="19"/>
      <c r="Y2729" s="21"/>
      <c r="Z2729" s="19"/>
    </row>
    <row r="2730" spans="1:26" x14ac:dyDescent="0.25">
      <c r="A2730" s="11"/>
      <c r="B2730" s="11"/>
      <c r="C2730" s="11"/>
      <c r="D2730" s="11"/>
      <c r="E2730" s="12"/>
      <c r="F2730" s="13"/>
      <c r="G2730" s="13"/>
      <c r="H2730" s="13"/>
      <c r="I2730" s="11"/>
      <c r="J2730" s="11"/>
      <c r="K2730" s="11"/>
      <c r="L2730" s="11"/>
      <c r="M2730" s="15"/>
      <c r="N2730" s="15"/>
      <c r="O2730" s="15"/>
      <c r="P2730" s="15"/>
      <c r="Q2730" s="16"/>
      <c r="R2730" s="16"/>
      <c r="S2730" s="16"/>
      <c r="T2730" s="17"/>
      <c r="U2730" s="11"/>
      <c r="V2730" s="16"/>
      <c r="W2730" s="11"/>
      <c r="X2730" s="11"/>
      <c r="Y2730" s="15"/>
      <c r="Z2730" s="11"/>
    </row>
    <row r="2731" spans="1:26" x14ac:dyDescent="0.25">
      <c r="A2731" s="11"/>
      <c r="B2731" s="11"/>
      <c r="C2731" s="11"/>
      <c r="D2731" s="11"/>
      <c r="E2731" s="12"/>
      <c r="F2731" s="13"/>
      <c r="G2731" s="13"/>
      <c r="H2731" s="13"/>
      <c r="I2731" s="11"/>
      <c r="J2731" s="11"/>
      <c r="K2731" s="11"/>
      <c r="L2731" s="11"/>
      <c r="M2731" s="15"/>
      <c r="N2731" s="15"/>
      <c r="O2731" s="15"/>
      <c r="P2731" s="15"/>
      <c r="Q2731" s="16"/>
      <c r="R2731" s="16"/>
      <c r="S2731" s="16"/>
      <c r="T2731" s="17"/>
      <c r="U2731" s="11"/>
      <c r="V2731" s="16"/>
      <c r="W2731" s="11"/>
      <c r="X2731" s="11"/>
      <c r="Y2731" s="15"/>
      <c r="Z2731" s="11"/>
    </row>
    <row r="2732" spans="1:26" x14ac:dyDescent="0.25">
      <c r="A2732" s="11"/>
      <c r="B2732" s="11"/>
      <c r="C2732" s="11"/>
      <c r="D2732" s="11"/>
      <c r="E2732" s="12"/>
      <c r="F2732" s="13"/>
      <c r="G2732" s="13"/>
      <c r="H2732" s="13"/>
      <c r="I2732" s="11"/>
      <c r="J2732" s="11"/>
      <c r="K2732" s="11"/>
      <c r="L2732" s="11"/>
      <c r="M2732" s="15"/>
      <c r="N2732" s="15"/>
      <c r="O2732" s="15"/>
      <c r="P2732" s="15"/>
      <c r="Q2732" s="16"/>
      <c r="R2732" s="16"/>
      <c r="S2732" s="16"/>
      <c r="T2732" s="17"/>
      <c r="U2732" s="11"/>
      <c r="V2732" s="16"/>
      <c r="W2732" s="11"/>
      <c r="X2732" s="11"/>
      <c r="Y2732" s="15"/>
      <c r="Z2732" s="11"/>
    </row>
    <row r="2733" spans="1:26" x14ac:dyDescent="0.25">
      <c r="A2733" s="19"/>
      <c r="B2733" s="19"/>
      <c r="C2733" s="19"/>
      <c r="D2733" s="19"/>
      <c r="E2733" s="19"/>
      <c r="F2733" s="20"/>
      <c r="G2733" s="13"/>
      <c r="H2733" s="20"/>
      <c r="I2733" s="19"/>
      <c r="J2733" s="19"/>
      <c r="K2733" s="19"/>
      <c r="L2733" s="19"/>
      <c r="M2733" s="21"/>
      <c r="N2733" s="21"/>
      <c r="O2733" s="21"/>
      <c r="P2733" s="21"/>
      <c r="Q2733" s="22"/>
      <c r="R2733" s="19"/>
      <c r="S2733" s="22"/>
      <c r="T2733" s="23"/>
      <c r="U2733" s="19"/>
      <c r="V2733" s="22"/>
      <c r="W2733" s="19"/>
      <c r="X2733" s="19"/>
      <c r="Y2733" s="21"/>
      <c r="Z2733" s="19"/>
    </row>
    <row r="2734" spans="1:26" x14ac:dyDescent="0.25">
      <c r="A2734" s="11"/>
      <c r="B2734" s="11"/>
      <c r="C2734" s="11"/>
      <c r="D2734" s="11"/>
      <c r="E2734" s="12"/>
      <c r="F2734" s="13"/>
      <c r="G2734" s="13"/>
      <c r="H2734" s="13"/>
      <c r="I2734" s="11"/>
      <c r="J2734" s="11"/>
      <c r="K2734" s="11"/>
      <c r="L2734" s="11"/>
      <c r="M2734" s="15"/>
      <c r="N2734" s="15"/>
      <c r="O2734" s="15"/>
      <c r="P2734" s="15"/>
      <c r="Q2734" s="16"/>
      <c r="R2734" s="16"/>
      <c r="S2734" s="16"/>
      <c r="T2734" s="17"/>
      <c r="U2734" s="11"/>
      <c r="V2734" s="16"/>
      <c r="W2734" s="11"/>
      <c r="X2734" s="11"/>
      <c r="Y2734" s="15"/>
      <c r="Z2734" s="11"/>
    </row>
    <row r="2735" spans="1:26" x14ac:dyDescent="0.25">
      <c r="A2735" s="11"/>
      <c r="B2735" s="11"/>
      <c r="C2735" s="11"/>
      <c r="D2735" s="11"/>
      <c r="E2735" s="12"/>
      <c r="F2735" s="13"/>
      <c r="G2735" s="13"/>
      <c r="H2735" s="13"/>
      <c r="I2735" s="11"/>
      <c r="J2735" s="11"/>
      <c r="K2735" s="11"/>
      <c r="L2735" s="11"/>
      <c r="M2735" s="15"/>
      <c r="N2735" s="15"/>
      <c r="O2735" s="15"/>
      <c r="P2735" s="15"/>
      <c r="Q2735" s="16"/>
      <c r="R2735" s="16"/>
      <c r="S2735" s="16"/>
      <c r="T2735" s="17"/>
      <c r="U2735" s="11"/>
      <c r="V2735" s="16"/>
      <c r="W2735" s="11"/>
      <c r="X2735" s="11"/>
      <c r="Y2735" s="15"/>
      <c r="Z2735" s="11"/>
    </row>
    <row r="2736" spans="1:26" x14ac:dyDescent="0.25">
      <c r="A2736" s="11"/>
      <c r="B2736" s="11"/>
      <c r="C2736" s="11"/>
      <c r="D2736" s="11"/>
      <c r="E2736" s="12"/>
      <c r="F2736" s="13"/>
      <c r="G2736" s="13"/>
      <c r="H2736" s="13"/>
      <c r="I2736" s="11"/>
      <c r="J2736" s="11"/>
      <c r="K2736" s="11"/>
      <c r="L2736" s="11"/>
      <c r="M2736" s="15"/>
      <c r="N2736" s="15"/>
      <c r="O2736" s="15"/>
      <c r="P2736" s="15"/>
      <c r="Q2736" s="16"/>
      <c r="R2736" s="16"/>
      <c r="S2736" s="16"/>
      <c r="T2736" s="17"/>
      <c r="U2736" s="11"/>
      <c r="V2736" s="16"/>
      <c r="W2736" s="11"/>
      <c r="X2736" s="11"/>
      <c r="Y2736" s="15"/>
      <c r="Z2736" s="11"/>
    </row>
    <row r="2737" spans="1:26" x14ac:dyDescent="0.25">
      <c r="A2737" s="11"/>
      <c r="B2737" s="11"/>
      <c r="C2737" s="11"/>
      <c r="D2737" s="11"/>
      <c r="E2737" s="12"/>
      <c r="F2737" s="13"/>
      <c r="G2737" s="13"/>
      <c r="H2737" s="13"/>
      <c r="I2737" s="11"/>
      <c r="J2737" s="11"/>
      <c r="K2737" s="11"/>
      <c r="L2737" s="11"/>
      <c r="M2737" s="15"/>
      <c r="N2737" s="15"/>
      <c r="O2737" s="15"/>
      <c r="P2737" s="15"/>
      <c r="Q2737" s="16"/>
      <c r="R2737" s="16"/>
      <c r="S2737" s="16"/>
      <c r="T2737" s="17"/>
      <c r="U2737" s="11"/>
      <c r="V2737" s="16"/>
      <c r="W2737" s="11"/>
      <c r="X2737" s="11"/>
      <c r="Y2737" s="15"/>
      <c r="Z2737" s="11"/>
    </row>
    <row r="2738" spans="1:26" x14ac:dyDescent="0.25">
      <c r="A2738" s="11"/>
      <c r="B2738" s="11"/>
      <c r="C2738" s="11"/>
      <c r="D2738" s="11"/>
      <c r="E2738" s="12"/>
      <c r="F2738" s="13"/>
      <c r="G2738" s="13"/>
      <c r="H2738" s="13"/>
      <c r="I2738" s="11"/>
      <c r="J2738" s="11"/>
      <c r="K2738" s="11"/>
      <c r="L2738" s="11"/>
      <c r="M2738" s="15"/>
      <c r="N2738" s="15"/>
      <c r="O2738" s="15"/>
      <c r="P2738" s="15"/>
      <c r="Q2738" s="16"/>
      <c r="R2738" s="16"/>
      <c r="S2738" s="16"/>
      <c r="T2738" s="17"/>
      <c r="U2738" s="11"/>
      <c r="V2738" s="16"/>
      <c r="W2738" s="11"/>
      <c r="X2738" s="11"/>
      <c r="Y2738" s="15"/>
      <c r="Z2738" s="11"/>
    </row>
    <row r="2739" spans="1:26" x14ac:dyDescent="0.25">
      <c r="A2739" s="11"/>
      <c r="B2739" s="11"/>
      <c r="C2739" s="11"/>
      <c r="D2739" s="11"/>
      <c r="E2739" s="12"/>
      <c r="F2739" s="13"/>
      <c r="G2739" s="13"/>
      <c r="H2739" s="13"/>
      <c r="I2739" s="11"/>
      <c r="J2739" s="11"/>
      <c r="K2739" s="11"/>
      <c r="L2739" s="11"/>
      <c r="M2739" s="15"/>
      <c r="N2739" s="15"/>
      <c r="O2739" s="15"/>
      <c r="P2739" s="15"/>
      <c r="Q2739" s="16"/>
      <c r="R2739" s="16"/>
      <c r="S2739" s="16"/>
      <c r="T2739" s="17"/>
      <c r="U2739" s="11"/>
      <c r="V2739" s="16"/>
      <c r="W2739" s="11"/>
      <c r="X2739" s="11"/>
      <c r="Y2739" s="15"/>
      <c r="Z2739" s="11"/>
    </row>
    <row r="2740" spans="1:26" x14ac:dyDescent="0.25">
      <c r="A2740" s="11"/>
      <c r="B2740" s="11"/>
      <c r="C2740" s="11"/>
      <c r="D2740" s="11"/>
      <c r="E2740" s="12"/>
      <c r="F2740" s="13"/>
      <c r="G2740" s="13"/>
      <c r="H2740" s="13"/>
      <c r="I2740" s="11"/>
      <c r="J2740" s="11"/>
      <c r="K2740" s="11"/>
      <c r="L2740" s="11"/>
      <c r="M2740" s="15"/>
      <c r="N2740" s="15"/>
      <c r="O2740" s="15"/>
      <c r="P2740" s="15"/>
      <c r="Q2740" s="16"/>
      <c r="R2740" s="16"/>
      <c r="S2740" s="16"/>
      <c r="T2740" s="17"/>
      <c r="U2740" s="11"/>
      <c r="V2740" s="16"/>
      <c r="W2740" s="11"/>
      <c r="X2740" s="11"/>
      <c r="Y2740" s="15"/>
      <c r="Z2740" s="11"/>
    </row>
    <row r="2741" spans="1:26" x14ac:dyDescent="0.25">
      <c r="A2741" s="11"/>
      <c r="B2741" s="11"/>
      <c r="C2741" s="11"/>
      <c r="D2741" s="11"/>
      <c r="E2741" s="12"/>
      <c r="F2741" s="13"/>
      <c r="G2741" s="13"/>
      <c r="H2741" s="13"/>
      <c r="I2741" s="11"/>
      <c r="J2741" s="11"/>
      <c r="K2741" s="11"/>
      <c r="L2741" s="11"/>
      <c r="M2741" s="15"/>
      <c r="N2741" s="15"/>
      <c r="O2741" s="15"/>
      <c r="P2741" s="15"/>
      <c r="Q2741" s="16"/>
      <c r="R2741" s="16"/>
      <c r="S2741" s="16"/>
      <c r="T2741" s="17"/>
      <c r="U2741" s="11"/>
      <c r="V2741" s="16"/>
      <c r="W2741" s="11"/>
      <c r="X2741" s="11"/>
      <c r="Y2741" s="15"/>
      <c r="Z2741" s="11"/>
    </row>
    <row r="2742" spans="1:26" x14ac:dyDescent="0.25">
      <c r="A2742" s="11"/>
      <c r="B2742" s="11"/>
      <c r="C2742" s="11"/>
      <c r="D2742" s="11"/>
      <c r="E2742" s="12"/>
      <c r="F2742" s="13"/>
      <c r="G2742" s="13"/>
      <c r="H2742" s="13"/>
      <c r="I2742" s="11"/>
      <c r="J2742" s="11"/>
      <c r="K2742" s="11"/>
      <c r="L2742" s="11"/>
      <c r="M2742" s="15"/>
      <c r="N2742" s="15"/>
      <c r="O2742" s="15"/>
      <c r="P2742" s="15"/>
      <c r="Q2742" s="16"/>
      <c r="R2742" s="16"/>
      <c r="S2742" s="16"/>
      <c r="T2742" s="17"/>
      <c r="U2742" s="11"/>
      <c r="V2742" s="16"/>
      <c r="W2742" s="11"/>
      <c r="X2742" s="11"/>
      <c r="Y2742" s="15"/>
      <c r="Z2742" s="11"/>
    </row>
    <row r="2743" spans="1:26" x14ac:dyDescent="0.25">
      <c r="A2743" s="11"/>
      <c r="B2743" s="11"/>
      <c r="C2743" s="11"/>
      <c r="D2743" s="11"/>
      <c r="E2743" s="12"/>
      <c r="F2743" s="13"/>
      <c r="G2743" s="13"/>
      <c r="H2743" s="13"/>
      <c r="I2743" s="11"/>
      <c r="J2743" s="11"/>
      <c r="K2743" s="11"/>
      <c r="L2743" s="11"/>
      <c r="M2743" s="15"/>
      <c r="N2743" s="15"/>
      <c r="O2743" s="15"/>
      <c r="P2743" s="15"/>
      <c r="Q2743" s="16"/>
      <c r="R2743" s="16"/>
      <c r="S2743" s="16"/>
      <c r="T2743" s="17"/>
      <c r="U2743" s="11"/>
      <c r="V2743" s="16"/>
      <c r="W2743" s="11"/>
      <c r="X2743" s="11"/>
      <c r="Y2743" s="15"/>
      <c r="Z2743" s="11"/>
    </row>
    <row r="2744" spans="1:26" x14ac:dyDescent="0.25">
      <c r="A2744" s="11"/>
      <c r="B2744" s="11"/>
      <c r="C2744" s="11"/>
      <c r="D2744" s="11"/>
      <c r="E2744" s="12"/>
      <c r="F2744" s="13"/>
      <c r="G2744" s="13"/>
      <c r="H2744" s="13"/>
      <c r="I2744" s="11"/>
      <c r="J2744" s="11"/>
      <c r="K2744" s="11"/>
      <c r="L2744" s="11"/>
      <c r="M2744" s="15"/>
      <c r="N2744" s="15"/>
      <c r="O2744" s="15"/>
      <c r="P2744" s="15"/>
      <c r="Q2744" s="16"/>
      <c r="R2744" s="16"/>
      <c r="S2744" s="16"/>
      <c r="T2744" s="17"/>
      <c r="U2744" s="11"/>
      <c r="V2744" s="16"/>
      <c r="W2744" s="11"/>
      <c r="X2744" s="11"/>
      <c r="Y2744" s="15"/>
      <c r="Z2744" s="11"/>
    </row>
    <row r="2745" spans="1:26" x14ac:dyDescent="0.25">
      <c r="A2745" s="11"/>
      <c r="B2745" s="11"/>
      <c r="C2745" s="11"/>
      <c r="D2745" s="11"/>
      <c r="E2745" s="12"/>
      <c r="F2745" s="13"/>
      <c r="G2745" s="13"/>
      <c r="H2745" s="13"/>
      <c r="I2745" s="11"/>
      <c r="J2745" s="11"/>
      <c r="K2745" s="11"/>
      <c r="L2745" s="11"/>
      <c r="M2745" s="15"/>
      <c r="N2745" s="15"/>
      <c r="O2745" s="15"/>
      <c r="P2745" s="15"/>
      <c r="Q2745" s="16"/>
      <c r="R2745" s="16"/>
      <c r="S2745" s="16"/>
      <c r="T2745" s="17"/>
      <c r="U2745" s="11"/>
      <c r="V2745" s="16"/>
      <c r="W2745" s="11"/>
      <c r="X2745" s="11"/>
      <c r="Y2745" s="15"/>
      <c r="Z2745" s="11"/>
    </row>
    <row r="2746" spans="1:26" x14ac:dyDescent="0.25">
      <c r="A2746" s="11"/>
      <c r="B2746" s="11"/>
      <c r="C2746" s="11"/>
      <c r="D2746" s="11"/>
      <c r="E2746" s="12"/>
      <c r="F2746" s="13"/>
      <c r="G2746" s="13"/>
      <c r="H2746" s="13"/>
      <c r="I2746" s="11"/>
      <c r="J2746" s="11"/>
      <c r="K2746" s="11"/>
      <c r="L2746" s="11"/>
      <c r="M2746" s="15"/>
      <c r="N2746" s="15"/>
      <c r="O2746" s="15"/>
      <c r="P2746" s="15"/>
      <c r="Q2746" s="16"/>
      <c r="R2746" s="16"/>
      <c r="S2746" s="16"/>
      <c r="T2746" s="17"/>
      <c r="U2746" s="11"/>
      <c r="V2746" s="16"/>
      <c r="W2746" s="11"/>
      <c r="X2746" s="11"/>
      <c r="Y2746" s="15"/>
      <c r="Z2746" s="11"/>
    </row>
    <row r="2747" spans="1:26" x14ac:dyDescent="0.25">
      <c r="A2747" s="11"/>
      <c r="B2747" s="11"/>
      <c r="C2747" s="11"/>
      <c r="D2747" s="11"/>
      <c r="E2747" s="12"/>
      <c r="F2747" s="13"/>
      <c r="G2747" s="13"/>
      <c r="H2747" s="13"/>
      <c r="I2747" s="11"/>
      <c r="J2747" s="11"/>
      <c r="K2747" s="11"/>
      <c r="L2747" s="11"/>
      <c r="M2747" s="15"/>
      <c r="N2747" s="15"/>
      <c r="O2747" s="15"/>
      <c r="P2747" s="15"/>
      <c r="Q2747" s="16"/>
      <c r="R2747" s="16"/>
      <c r="S2747" s="16"/>
      <c r="T2747" s="17"/>
      <c r="U2747" s="11"/>
      <c r="V2747" s="16"/>
      <c r="W2747" s="11"/>
      <c r="X2747" s="11"/>
      <c r="Y2747" s="15"/>
      <c r="Z2747" s="11"/>
    </row>
    <row r="2748" spans="1:26" x14ac:dyDescent="0.25">
      <c r="A2748" s="11"/>
      <c r="B2748" s="11"/>
      <c r="C2748" s="11"/>
      <c r="D2748" s="11"/>
      <c r="E2748" s="12"/>
      <c r="F2748" s="13"/>
      <c r="G2748" s="13"/>
      <c r="H2748" s="13"/>
      <c r="I2748" s="11"/>
      <c r="J2748" s="11"/>
      <c r="K2748" s="11"/>
      <c r="L2748" s="11"/>
      <c r="M2748" s="15"/>
      <c r="N2748" s="15"/>
      <c r="O2748" s="15"/>
      <c r="P2748" s="15"/>
      <c r="Q2748" s="16"/>
      <c r="R2748" s="16"/>
      <c r="S2748" s="16"/>
      <c r="T2748" s="17"/>
      <c r="U2748" s="11"/>
      <c r="V2748" s="16"/>
      <c r="W2748" s="11"/>
      <c r="X2748" s="11"/>
      <c r="Y2748" s="15"/>
      <c r="Z2748" s="11"/>
    </row>
    <row r="2749" spans="1:26" x14ac:dyDescent="0.25">
      <c r="A2749" s="18"/>
      <c r="B2749" s="18"/>
      <c r="C2749" s="18"/>
      <c r="D2749" s="18"/>
      <c r="E2749" s="19"/>
      <c r="F2749" s="20"/>
      <c r="G2749" s="13"/>
      <c r="H2749" s="20"/>
      <c r="I2749" s="18"/>
      <c r="J2749" s="18"/>
      <c r="K2749" s="18"/>
      <c r="L2749" s="18"/>
      <c r="M2749" s="21"/>
      <c r="N2749" s="21"/>
      <c r="O2749" s="21"/>
      <c r="P2749" s="21"/>
      <c r="Q2749" s="22"/>
      <c r="R2749" s="19"/>
      <c r="S2749" s="22"/>
      <c r="T2749" s="23"/>
      <c r="U2749" s="18"/>
      <c r="V2749" s="22"/>
      <c r="W2749" s="18"/>
      <c r="X2749" s="18"/>
      <c r="Y2749" s="21"/>
      <c r="Z2749" s="18"/>
    </row>
    <row r="2750" spans="1:26" x14ac:dyDescent="0.25">
      <c r="A2750" s="11"/>
      <c r="B2750" s="11"/>
      <c r="C2750" s="11"/>
      <c r="D2750" s="11"/>
      <c r="E2750" s="12"/>
      <c r="F2750" s="13"/>
      <c r="G2750" s="13"/>
      <c r="H2750" s="13"/>
      <c r="I2750" s="11"/>
      <c r="J2750" s="11"/>
      <c r="K2750" s="11"/>
      <c r="L2750" s="11"/>
      <c r="M2750" s="15"/>
      <c r="N2750" s="15"/>
      <c r="O2750" s="15"/>
      <c r="P2750" s="15"/>
      <c r="Q2750" s="16"/>
      <c r="R2750" s="16"/>
      <c r="S2750" s="16"/>
      <c r="T2750" s="17"/>
      <c r="U2750" s="11"/>
      <c r="V2750" s="16"/>
      <c r="W2750" s="11"/>
      <c r="X2750" s="11"/>
      <c r="Y2750" s="15"/>
      <c r="Z2750" s="11"/>
    </row>
    <row r="2751" spans="1:26" x14ac:dyDescent="0.25">
      <c r="A2751" s="11"/>
      <c r="B2751" s="11"/>
      <c r="C2751" s="11"/>
      <c r="D2751" s="11"/>
      <c r="E2751" s="12"/>
      <c r="F2751" s="13"/>
      <c r="G2751" s="13"/>
      <c r="H2751" s="13"/>
      <c r="I2751" s="11"/>
      <c r="J2751" s="11"/>
      <c r="K2751" s="11"/>
      <c r="L2751" s="11"/>
      <c r="M2751" s="15"/>
      <c r="N2751" s="15"/>
      <c r="O2751" s="15"/>
      <c r="P2751" s="15"/>
      <c r="Q2751" s="16"/>
      <c r="R2751" s="16"/>
      <c r="S2751" s="16"/>
      <c r="T2751" s="17"/>
      <c r="U2751" s="11"/>
      <c r="V2751" s="16"/>
      <c r="W2751" s="11"/>
      <c r="X2751" s="11"/>
      <c r="Y2751" s="15"/>
      <c r="Z2751" s="11"/>
    </row>
    <row r="2752" spans="1:26" x14ac:dyDescent="0.25">
      <c r="A2752" s="11"/>
      <c r="B2752" s="11"/>
      <c r="C2752" s="11"/>
      <c r="D2752" s="11"/>
      <c r="E2752" s="12"/>
      <c r="F2752" s="13"/>
      <c r="G2752" s="13"/>
      <c r="H2752" s="13"/>
      <c r="I2752" s="11"/>
      <c r="J2752" s="11"/>
      <c r="K2752" s="11"/>
      <c r="L2752" s="11"/>
      <c r="M2752" s="15"/>
      <c r="N2752" s="15"/>
      <c r="O2752" s="15"/>
      <c r="P2752" s="15"/>
      <c r="Q2752" s="16"/>
      <c r="R2752" s="16"/>
      <c r="S2752" s="16"/>
      <c r="T2752" s="17"/>
      <c r="U2752" s="11"/>
      <c r="V2752" s="16"/>
      <c r="W2752" s="11"/>
      <c r="X2752" s="11"/>
      <c r="Y2752" s="15"/>
      <c r="Z2752" s="11"/>
    </row>
    <row r="2753" spans="1:26" x14ac:dyDescent="0.25">
      <c r="A2753" s="19"/>
      <c r="B2753" s="19"/>
      <c r="C2753" s="19"/>
      <c r="D2753" s="19"/>
      <c r="E2753" s="19"/>
      <c r="F2753" s="20"/>
      <c r="G2753" s="13"/>
      <c r="H2753" s="20"/>
      <c r="I2753" s="19"/>
      <c r="J2753" s="19"/>
      <c r="K2753" s="19"/>
      <c r="L2753" s="19"/>
      <c r="M2753" s="21"/>
      <c r="N2753" s="21"/>
      <c r="O2753" s="21"/>
      <c r="P2753" s="21"/>
      <c r="Q2753" s="22"/>
      <c r="R2753" s="19"/>
      <c r="S2753" s="22"/>
      <c r="T2753" s="23"/>
      <c r="U2753" s="19"/>
      <c r="V2753" s="22"/>
      <c r="W2753" s="19"/>
      <c r="X2753" s="19"/>
      <c r="Y2753" s="21"/>
      <c r="Z2753" s="19"/>
    </row>
    <row r="2754" spans="1:26" x14ac:dyDescent="0.25">
      <c r="A2754" s="11"/>
      <c r="B2754" s="11"/>
      <c r="C2754" s="11"/>
      <c r="D2754" s="11"/>
      <c r="E2754" s="12"/>
      <c r="F2754" s="13"/>
      <c r="G2754" s="13"/>
      <c r="H2754" s="13"/>
      <c r="I2754" s="11"/>
      <c r="J2754" s="11"/>
      <c r="K2754" s="11"/>
      <c r="L2754" s="11"/>
      <c r="M2754" s="15"/>
      <c r="N2754" s="15"/>
      <c r="O2754" s="15"/>
      <c r="P2754" s="15"/>
      <c r="Q2754" s="16"/>
      <c r="R2754" s="16"/>
      <c r="S2754" s="16"/>
      <c r="T2754" s="17"/>
      <c r="U2754" s="11"/>
      <c r="V2754" s="16"/>
      <c r="W2754" s="11"/>
      <c r="X2754" s="11"/>
      <c r="Y2754" s="15"/>
      <c r="Z2754" s="11"/>
    </row>
    <row r="2755" spans="1:26" x14ac:dyDescent="0.25">
      <c r="A2755" s="18"/>
      <c r="B2755" s="18"/>
      <c r="C2755" s="18"/>
      <c r="D2755" s="18"/>
      <c r="E2755" s="19"/>
      <c r="F2755" s="20"/>
      <c r="G2755" s="13"/>
      <c r="H2755" s="20"/>
      <c r="I2755" s="18"/>
      <c r="J2755" s="18"/>
      <c r="K2755" s="18"/>
      <c r="L2755" s="18"/>
      <c r="M2755" s="21"/>
      <c r="N2755" s="21"/>
      <c r="O2755" s="21"/>
      <c r="P2755" s="21"/>
      <c r="Q2755" s="22"/>
      <c r="R2755" s="19"/>
      <c r="S2755" s="22"/>
      <c r="T2755" s="23"/>
      <c r="U2755" s="18"/>
      <c r="V2755" s="22"/>
      <c r="W2755" s="18"/>
      <c r="X2755" s="18"/>
      <c r="Y2755" s="21"/>
      <c r="Z2755" s="18"/>
    </row>
    <row r="2756" spans="1:26" x14ac:dyDescent="0.25">
      <c r="A2756" s="11"/>
      <c r="B2756" s="11"/>
      <c r="C2756" s="11"/>
      <c r="D2756" s="11"/>
      <c r="E2756" s="12"/>
      <c r="F2756" s="13"/>
      <c r="G2756" s="13"/>
      <c r="H2756" s="13"/>
      <c r="I2756" s="11"/>
      <c r="J2756" s="11"/>
      <c r="K2756" s="11"/>
      <c r="L2756" s="11"/>
      <c r="M2756" s="15"/>
      <c r="N2756" s="15"/>
      <c r="O2756" s="15"/>
      <c r="P2756" s="15"/>
      <c r="Q2756" s="16"/>
      <c r="R2756" s="16"/>
      <c r="S2756" s="16"/>
      <c r="T2756" s="17"/>
      <c r="U2756" s="11"/>
      <c r="V2756" s="16"/>
      <c r="W2756" s="11"/>
      <c r="X2756" s="11"/>
      <c r="Y2756" s="15"/>
      <c r="Z2756" s="11"/>
    </row>
    <row r="2757" spans="1:26" x14ac:dyDescent="0.25">
      <c r="A2757" s="11"/>
      <c r="B2757" s="11"/>
      <c r="C2757" s="11"/>
      <c r="D2757" s="11"/>
      <c r="E2757" s="12"/>
      <c r="F2757" s="13"/>
      <c r="G2757" s="13"/>
      <c r="H2757" s="13"/>
      <c r="I2757" s="11"/>
      <c r="J2757" s="11"/>
      <c r="K2757" s="11"/>
      <c r="L2757" s="11"/>
      <c r="M2757" s="15"/>
      <c r="N2757" s="15"/>
      <c r="O2757" s="15"/>
      <c r="P2757" s="15"/>
      <c r="Q2757" s="16"/>
      <c r="R2757" s="16"/>
      <c r="S2757" s="16"/>
      <c r="T2757" s="17"/>
      <c r="U2757" s="11"/>
      <c r="V2757" s="16"/>
      <c r="W2757" s="11"/>
      <c r="X2757" s="11"/>
      <c r="Y2757" s="15"/>
      <c r="Z2757" s="11"/>
    </row>
    <row r="2758" spans="1:26" x14ac:dyDescent="0.25">
      <c r="A2758" s="11"/>
      <c r="B2758" s="11"/>
      <c r="C2758" s="11"/>
      <c r="D2758" s="11"/>
      <c r="E2758" s="12"/>
      <c r="F2758" s="13"/>
      <c r="G2758" s="13"/>
      <c r="H2758" s="13"/>
      <c r="I2758" s="11"/>
      <c r="J2758" s="11"/>
      <c r="K2758" s="11"/>
      <c r="L2758" s="11"/>
      <c r="M2758" s="15"/>
      <c r="N2758" s="15"/>
      <c r="O2758" s="15"/>
      <c r="P2758" s="15"/>
      <c r="Q2758" s="16"/>
      <c r="R2758" s="16"/>
      <c r="S2758" s="16"/>
      <c r="T2758" s="17"/>
      <c r="U2758" s="11"/>
      <c r="V2758" s="16"/>
      <c r="W2758" s="11"/>
      <c r="X2758" s="11"/>
      <c r="Y2758" s="15"/>
      <c r="Z2758" s="11"/>
    </row>
    <row r="2759" spans="1:26" x14ac:dyDescent="0.25">
      <c r="A2759" s="11"/>
      <c r="B2759" s="11"/>
      <c r="C2759" s="11"/>
      <c r="D2759" s="11"/>
      <c r="E2759" s="12"/>
      <c r="F2759" s="13"/>
      <c r="G2759" s="13"/>
      <c r="H2759" s="13"/>
      <c r="I2759" s="11"/>
      <c r="J2759" s="11"/>
      <c r="K2759" s="11"/>
      <c r="L2759" s="11"/>
      <c r="M2759" s="15"/>
      <c r="N2759" s="15"/>
      <c r="O2759" s="15"/>
      <c r="P2759" s="15"/>
      <c r="Q2759" s="16"/>
      <c r="R2759" s="16"/>
      <c r="S2759" s="16"/>
      <c r="T2759" s="17"/>
      <c r="U2759" s="11"/>
      <c r="V2759" s="16"/>
      <c r="W2759" s="11"/>
      <c r="X2759" s="11"/>
      <c r="Y2759" s="15"/>
      <c r="Z2759" s="11"/>
    </row>
    <row r="2760" spans="1:26" x14ac:dyDescent="0.25">
      <c r="A2760" s="19"/>
      <c r="B2760" s="19"/>
      <c r="C2760" s="19"/>
      <c r="D2760" s="19"/>
      <c r="E2760" s="19"/>
      <c r="F2760" s="20"/>
      <c r="G2760" s="13"/>
      <c r="H2760" s="20"/>
      <c r="I2760" s="19"/>
      <c r="J2760" s="19"/>
      <c r="K2760" s="19"/>
      <c r="L2760" s="19"/>
      <c r="M2760" s="21"/>
      <c r="N2760" s="21"/>
      <c r="O2760" s="21"/>
      <c r="P2760" s="21"/>
      <c r="Q2760" s="22"/>
      <c r="R2760" s="19"/>
      <c r="S2760" s="22"/>
      <c r="T2760" s="23"/>
      <c r="U2760" s="19"/>
      <c r="V2760" s="22"/>
      <c r="W2760" s="19"/>
      <c r="X2760" s="19"/>
      <c r="Y2760" s="21"/>
      <c r="Z2760" s="19"/>
    </row>
    <row r="2761" spans="1:26" x14ac:dyDescent="0.25">
      <c r="A2761" s="11"/>
      <c r="B2761" s="11"/>
      <c r="C2761" s="11"/>
      <c r="D2761" s="11"/>
      <c r="E2761" s="12"/>
      <c r="F2761" s="13"/>
      <c r="G2761" s="13"/>
      <c r="H2761" s="13"/>
      <c r="I2761" s="11"/>
      <c r="J2761" s="11"/>
      <c r="K2761" s="11"/>
      <c r="L2761" s="11"/>
      <c r="M2761" s="15"/>
      <c r="N2761" s="15"/>
      <c r="O2761" s="15"/>
      <c r="P2761" s="15"/>
      <c r="Q2761" s="16"/>
      <c r="R2761" s="16"/>
      <c r="S2761" s="16"/>
      <c r="T2761" s="17"/>
      <c r="U2761" s="11"/>
      <c r="V2761" s="16"/>
      <c r="W2761" s="11"/>
      <c r="X2761" s="11"/>
      <c r="Y2761" s="15"/>
      <c r="Z2761" s="11"/>
    </row>
    <row r="2762" spans="1:26" x14ac:dyDescent="0.25">
      <c r="A2762" s="11"/>
      <c r="B2762" s="11"/>
      <c r="C2762" s="11"/>
      <c r="D2762" s="11"/>
      <c r="E2762" s="12"/>
      <c r="F2762" s="13"/>
      <c r="G2762" s="13"/>
      <c r="H2762" s="13"/>
      <c r="I2762" s="11"/>
      <c r="J2762" s="11"/>
      <c r="K2762" s="11"/>
      <c r="L2762" s="11"/>
      <c r="M2762" s="15"/>
      <c r="N2762" s="15"/>
      <c r="O2762" s="15"/>
      <c r="P2762" s="15"/>
      <c r="Q2762" s="16"/>
      <c r="R2762" s="16"/>
      <c r="S2762" s="16"/>
      <c r="T2762" s="17"/>
      <c r="U2762" s="11"/>
      <c r="V2762" s="16"/>
      <c r="W2762" s="11"/>
      <c r="X2762" s="11"/>
      <c r="Y2762" s="15"/>
      <c r="Z2762" s="11"/>
    </row>
    <row r="2763" spans="1:26" x14ac:dyDescent="0.25">
      <c r="A2763" s="11"/>
      <c r="B2763" s="11"/>
      <c r="C2763" s="11"/>
      <c r="D2763" s="11"/>
      <c r="E2763" s="12"/>
      <c r="F2763" s="13"/>
      <c r="G2763" s="13"/>
      <c r="H2763" s="13"/>
      <c r="I2763" s="11"/>
      <c r="J2763" s="11"/>
      <c r="K2763" s="11"/>
      <c r="L2763" s="11"/>
      <c r="M2763" s="15"/>
      <c r="N2763" s="15"/>
      <c r="O2763" s="15"/>
      <c r="P2763" s="15"/>
      <c r="Q2763" s="16"/>
      <c r="R2763" s="16"/>
      <c r="S2763" s="16"/>
      <c r="T2763" s="17"/>
      <c r="U2763" s="11"/>
      <c r="V2763" s="16"/>
      <c r="W2763" s="11"/>
      <c r="X2763" s="11"/>
      <c r="Y2763" s="15"/>
      <c r="Z2763" s="11"/>
    </row>
    <row r="2764" spans="1:26" x14ac:dyDescent="0.25">
      <c r="A2764" s="19"/>
      <c r="B2764" s="19"/>
      <c r="C2764" s="19"/>
      <c r="D2764" s="19"/>
      <c r="E2764" s="19"/>
      <c r="F2764" s="20"/>
      <c r="G2764" s="13"/>
      <c r="H2764" s="20"/>
      <c r="I2764" s="19"/>
      <c r="J2764" s="19"/>
      <c r="K2764" s="19"/>
      <c r="L2764" s="19"/>
      <c r="M2764" s="21"/>
      <c r="N2764" s="21"/>
      <c r="O2764" s="21"/>
      <c r="P2764" s="21"/>
      <c r="Q2764" s="22"/>
      <c r="R2764" s="19"/>
      <c r="S2764" s="22"/>
      <c r="T2764" s="23"/>
      <c r="U2764" s="19"/>
      <c r="V2764" s="22"/>
      <c r="W2764" s="19"/>
      <c r="X2764" s="19"/>
      <c r="Y2764" s="21"/>
      <c r="Z2764" s="19"/>
    </row>
    <row r="2765" spans="1:26" x14ac:dyDescent="0.25">
      <c r="A2765" s="11"/>
      <c r="B2765" s="11"/>
      <c r="C2765" s="11"/>
      <c r="D2765" s="11"/>
      <c r="E2765" s="12"/>
      <c r="F2765" s="13"/>
      <c r="G2765" s="13"/>
      <c r="H2765" s="13"/>
      <c r="I2765" s="11"/>
      <c r="J2765" s="11"/>
      <c r="K2765" s="11"/>
      <c r="L2765" s="11"/>
      <c r="M2765" s="15"/>
      <c r="N2765" s="15"/>
      <c r="O2765" s="15"/>
      <c r="P2765" s="15"/>
      <c r="Q2765" s="16"/>
      <c r="R2765" s="16"/>
      <c r="S2765" s="16"/>
      <c r="T2765" s="17"/>
      <c r="U2765" s="11"/>
      <c r="V2765" s="16"/>
      <c r="W2765" s="11"/>
      <c r="X2765" s="11"/>
      <c r="Y2765" s="15"/>
      <c r="Z2765" s="11"/>
    </row>
    <row r="2766" spans="1:26" x14ac:dyDescent="0.25">
      <c r="A2766" s="11"/>
      <c r="B2766" s="11"/>
      <c r="C2766" s="11"/>
      <c r="D2766" s="11"/>
      <c r="E2766" s="12"/>
      <c r="F2766" s="13"/>
      <c r="G2766" s="13"/>
      <c r="H2766" s="13"/>
      <c r="I2766" s="11"/>
      <c r="J2766" s="11"/>
      <c r="K2766" s="11"/>
      <c r="L2766" s="11"/>
      <c r="M2766" s="15"/>
      <c r="N2766" s="15"/>
      <c r="O2766" s="15"/>
      <c r="P2766" s="15"/>
      <c r="Q2766" s="16"/>
      <c r="R2766" s="16"/>
      <c r="S2766" s="16"/>
      <c r="T2766" s="17"/>
      <c r="U2766" s="11"/>
      <c r="V2766" s="16"/>
      <c r="W2766" s="11"/>
      <c r="X2766" s="11"/>
      <c r="Y2766" s="15"/>
      <c r="Z2766" s="11"/>
    </row>
    <row r="2767" spans="1:26" x14ac:dyDescent="0.25">
      <c r="A2767" s="11"/>
      <c r="B2767" s="11"/>
      <c r="C2767" s="11"/>
      <c r="D2767" s="11"/>
      <c r="E2767" s="12"/>
      <c r="F2767" s="13"/>
      <c r="G2767" s="13"/>
      <c r="H2767" s="13"/>
      <c r="I2767" s="11"/>
      <c r="J2767" s="11"/>
      <c r="K2767" s="11"/>
      <c r="L2767" s="11"/>
      <c r="M2767" s="15"/>
      <c r="N2767" s="15"/>
      <c r="O2767" s="15"/>
      <c r="P2767" s="15"/>
      <c r="Q2767" s="16"/>
      <c r="R2767" s="16"/>
      <c r="S2767" s="16"/>
      <c r="T2767" s="17"/>
      <c r="U2767" s="11"/>
      <c r="V2767" s="16"/>
      <c r="W2767" s="11"/>
      <c r="X2767" s="11"/>
      <c r="Y2767" s="15"/>
      <c r="Z2767" s="11"/>
    </row>
    <row r="2768" spans="1:26" x14ac:dyDescent="0.25">
      <c r="A2768" s="11"/>
      <c r="B2768" s="11"/>
      <c r="C2768" s="11"/>
      <c r="D2768" s="11"/>
      <c r="E2768" s="12"/>
      <c r="F2768" s="13"/>
      <c r="G2768" s="13"/>
      <c r="H2768" s="13"/>
      <c r="I2768" s="11"/>
      <c r="J2768" s="11"/>
      <c r="K2768" s="11"/>
      <c r="L2768" s="11"/>
      <c r="M2768" s="15"/>
      <c r="N2768" s="15"/>
      <c r="O2768" s="15"/>
      <c r="P2768" s="15"/>
      <c r="Q2768" s="16"/>
      <c r="R2768" s="16"/>
      <c r="S2768" s="16"/>
      <c r="T2768" s="17"/>
      <c r="U2768" s="11"/>
      <c r="V2768" s="16"/>
      <c r="W2768" s="11"/>
      <c r="X2768" s="11"/>
      <c r="Y2768" s="15"/>
      <c r="Z2768" s="11"/>
    </row>
    <row r="2769" spans="1:26" x14ac:dyDescent="0.25">
      <c r="A2769" s="18"/>
      <c r="B2769" s="18"/>
      <c r="C2769" s="18"/>
      <c r="D2769" s="18"/>
      <c r="E2769" s="19"/>
      <c r="F2769" s="20"/>
      <c r="G2769" s="13"/>
      <c r="H2769" s="20"/>
      <c r="I2769" s="18"/>
      <c r="J2769" s="18"/>
      <c r="K2769" s="18"/>
      <c r="L2769" s="18"/>
      <c r="M2769" s="21"/>
      <c r="N2769" s="21"/>
      <c r="O2769" s="21"/>
      <c r="P2769" s="21"/>
      <c r="Q2769" s="22"/>
      <c r="R2769" s="19"/>
      <c r="S2769" s="22"/>
      <c r="T2769" s="23"/>
      <c r="U2769" s="18"/>
      <c r="V2769" s="22"/>
      <c r="W2769" s="18"/>
      <c r="X2769" s="18"/>
      <c r="Y2769" s="21"/>
      <c r="Z2769" s="18"/>
    </row>
    <row r="2770" spans="1:26" x14ac:dyDescent="0.25">
      <c r="A2770" s="18"/>
      <c r="B2770" s="18"/>
      <c r="C2770" s="18"/>
      <c r="D2770" s="18"/>
      <c r="E2770" s="19"/>
      <c r="F2770" s="20"/>
      <c r="G2770" s="13"/>
      <c r="H2770" s="20"/>
      <c r="I2770" s="18"/>
      <c r="J2770" s="18"/>
      <c r="K2770" s="18"/>
      <c r="L2770" s="18"/>
      <c r="M2770" s="21"/>
      <c r="N2770" s="21"/>
      <c r="O2770" s="21"/>
      <c r="P2770" s="21"/>
      <c r="Q2770" s="22"/>
      <c r="R2770" s="19"/>
      <c r="S2770" s="22"/>
      <c r="T2770" s="23"/>
      <c r="U2770" s="18"/>
      <c r="V2770" s="22"/>
      <c r="W2770" s="18"/>
      <c r="X2770" s="18"/>
      <c r="Y2770" s="21"/>
      <c r="Z2770" s="18"/>
    </row>
    <row r="2771" spans="1:26" x14ac:dyDescent="0.25">
      <c r="A2771" s="19"/>
      <c r="B2771" s="19"/>
      <c r="C2771" s="19"/>
      <c r="D2771" s="19"/>
      <c r="E2771" s="19"/>
      <c r="F2771" s="20"/>
      <c r="G2771" s="13"/>
      <c r="H2771" s="20"/>
      <c r="I2771" s="19"/>
      <c r="J2771" s="19"/>
      <c r="K2771" s="19"/>
      <c r="L2771" s="19"/>
      <c r="M2771" s="21"/>
      <c r="N2771" s="21"/>
      <c r="O2771" s="21"/>
      <c r="P2771" s="21"/>
      <c r="Q2771" s="22"/>
      <c r="R2771" s="19"/>
      <c r="S2771" s="22"/>
      <c r="T2771" s="23"/>
      <c r="U2771" s="19"/>
      <c r="V2771" s="22"/>
      <c r="W2771" s="19"/>
      <c r="X2771" s="19"/>
      <c r="Y2771" s="21"/>
      <c r="Z2771" s="19"/>
    </row>
    <row r="2772" spans="1:26" x14ac:dyDescent="0.25">
      <c r="A2772" s="11"/>
      <c r="B2772" s="11"/>
      <c r="C2772" s="11"/>
      <c r="D2772" s="11"/>
      <c r="E2772" s="12"/>
      <c r="F2772" s="13"/>
      <c r="G2772" s="13"/>
      <c r="H2772" s="13"/>
      <c r="I2772" s="11"/>
      <c r="J2772" s="11"/>
      <c r="K2772" s="11"/>
      <c r="L2772" s="11"/>
      <c r="M2772" s="15"/>
      <c r="N2772" s="15"/>
      <c r="O2772" s="15"/>
      <c r="P2772" s="15"/>
      <c r="Q2772" s="16"/>
      <c r="R2772" s="16"/>
      <c r="S2772" s="16"/>
      <c r="T2772" s="17"/>
      <c r="U2772" s="11"/>
      <c r="V2772" s="16"/>
      <c r="W2772" s="11"/>
      <c r="X2772" s="11"/>
      <c r="Y2772" s="15"/>
      <c r="Z2772" s="11"/>
    </row>
    <row r="2773" spans="1:26" x14ac:dyDescent="0.25">
      <c r="A2773" s="11"/>
      <c r="B2773" s="11"/>
      <c r="C2773" s="11"/>
      <c r="D2773" s="11"/>
      <c r="E2773" s="12"/>
      <c r="F2773" s="13"/>
      <c r="G2773" s="13"/>
      <c r="H2773" s="13"/>
      <c r="I2773" s="11"/>
      <c r="J2773" s="11"/>
      <c r="K2773" s="11"/>
      <c r="L2773" s="11"/>
      <c r="M2773" s="15"/>
      <c r="N2773" s="15"/>
      <c r="O2773" s="15"/>
      <c r="P2773" s="15"/>
      <c r="Q2773" s="16"/>
      <c r="R2773" s="16"/>
      <c r="S2773" s="16"/>
      <c r="T2773" s="17"/>
      <c r="U2773" s="11"/>
      <c r="V2773" s="16"/>
      <c r="W2773" s="11"/>
      <c r="X2773" s="11"/>
      <c r="Y2773" s="15"/>
      <c r="Z2773" s="11"/>
    </row>
    <row r="2774" spans="1:26" x14ac:dyDescent="0.25">
      <c r="A2774" s="11"/>
      <c r="B2774" s="11"/>
      <c r="C2774" s="11"/>
      <c r="D2774" s="11"/>
      <c r="E2774" s="12"/>
      <c r="F2774" s="13"/>
      <c r="G2774" s="13"/>
      <c r="H2774" s="13"/>
      <c r="I2774" s="11"/>
      <c r="J2774" s="11"/>
      <c r="K2774" s="11"/>
      <c r="L2774" s="11"/>
      <c r="M2774" s="15"/>
      <c r="N2774" s="15"/>
      <c r="O2774" s="15"/>
      <c r="P2774" s="15"/>
      <c r="Q2774" s="16"/>
      <c r="R2774" s="16"/>
      <c r="S2774" s="16"/>
      <c r="T2774" s="17"/>
      <c r="U2774" s="11"/>
      <c r="V2774" s="16"/>
      <c r="W2774" s="11"/>
      <c r="X2774" s="11"/>
      <c r="Y2774" s="15"/>
      <c r="Z2774" s="11"/>
    </row>
    <row r="2775" spans="1:26" x14ac:dyDescent="0.25">
      <c r="A2775" s="11"/>
      <c r="B2775" s="11"/>
      <c r="C2775" s="11"/>
      <c r="D2775" s="11"/>
      <c r="E2775" s="12"/>
      <c r="F2775" s="13"/>
      <c r="G2775" s="13"/>
      <c r="H2775" s="13"/>
      <c r="I2775" s="11"/>
      <c r="J2775" s="11"/>
      <c r="K2775" s="11"/>
      <c r="L2775" s="11"/>
      <c r="M2775" s="15"/>
      <c r="N2775" s="15"/>
      <c r="O2775" s="15"/>
      <c r="P2775" s="15"/>
      <c r="Q2775" s="16"/>
      <c r="R2775" s="16"/>
      <c r="S2775" s="16"/>
      <c r="T2775" s="17"/>
      <c r="U2775" s="11"/>
      <c r="V2775" s="16"/>
      <c r="W2775" s="11"/>
      <c r="X2775" s="11"/>
      <c r="Y2775" s="15"/>
      <c r="Z2775" s="11"/>
    </row>
    <row r="2776" spans="1:26" x14ac:dyDescent="0.25">
      <c r="A2776" s="11"/>
      <c r="B2776" s="11"/>
      <c r="C2776" s="11"/>
      <c r="D2776" s="11"/>
      <c r="E2776" s="12"/>
      <c r="F2776" s="13"/>
      <c r="G2776" s="13"/>
      <c r="H2776" s="13"/>
      <c r="I2776" s="11"/>
      <c r="J2776" s="11"/>
      <c r="K2776" s="11"/>
      <c r="L2776" s="11"/>
      <c r="M2776" s="15"/>
      <c r="N2776" s="15"/>
      <c r="O2776" s="15"/>
      <c r="P2776" s="15"/>
      <c r="Q2776" s="16"/>
      <c r="R2776" s="16"/>
      <c r="S2776" s="16"/>
      <c r="T2776" s="17"/>
      <c r="U2776" s="11"/>
      <c r="V2776" s="16"/>
      <c r="W2776" s="11"/>
      <c r="X2776" s="11"/>
      <c r="Y2776" s="15"/>
      <c r="Z2776" s="11"/>
    </row>
    <row r="2777" spans="1:26" x14ac:dyDescent="0.25">
      <c r="A2777" s="18"/>
      <c r="B2777" s="18"/>
      <c r="C2777" s="18"/>
      <c r="D2777" s="18"/>
      <c r="E2777" s="19"/>
      <c r="F2777" s="20"/>
      <c r="G2777" s="13"/>
      <c r="H2777" s="20"/>
      <c r="I2777" s="18"/>
      <c r="J2777" s="18"/>
      <c r="K2777" s="18"/>
      <c r="L2777" s="18"/>
      <c r="M2777" s="21"/>
      <c r="N2777" s="21"/>
      <c r="O2777" s="21"/>
      <c r="P2777" s="21"/>
      <c r="Q2777" s="22"/>
      <c r="R2777" s="19"/>
      <c r="S2777" s="22"/>
      <c r="T2777" s="23"/>
      <c r="U2777" s="18"/>
      <c r="V2777" s="22"/>
      <c r="W2777" s="18"/>
      <c r="X2777" s="18"/>
      <c r="Y2777" s="21"/>
      <c r="Z2777" s="18"/>
    </row>
    <row r="2778" spans="1:26" x14ac:dyDescent="0.25">
      <c r="A2778" s="11"/>
      <c r="B2778" s="11"/>
      <c r="C2778" s="11"/>
      <c r="D2778" s="11"/>
      <c r="E2778" s="12"/>
      <c r="F2778" s="13"/>
      <c r="G2778" s="13"/>
      <c r="H2778" s="13"/>
      <c r="I2778" s="11"/>
      <c r="J2778" s="11"/>
      <c r="K2778" s="11"/>
      <c r="L2778" s="11"/>
      <c r="M2778" s="15"/>
      <c r="N2778" s="15"/>
      <c r="O2778" s="15"/>
      <c r="P2778" s="15"/>
      <c r="Q2778" s="16"/>
      <c r="R2778" s="16"/>
      <c r="S2778" s="16"/>
      <c r="T2778" s="17"/>
      <c r="U2778" s="11"/>
      <c r="V2778" s="16"/>
      <c r="W2778" s="11"/>
      <c r="X2778" s="11"/>
      <c r="Y2778" s="15"/>
      <c r="Z2778" s="11"/>
    </row>
    <row r="2779" spans="1:26" x14ac:dyDescent="0.25">
      <c r="A2779" s="18"/>
      <c r="B2779" s="18"/>
      <c r="C2779" s="18"/>
      <c r="D2779" s="18"/>
      <c r="E2779" s="19"/>
      <c r="F2779" s="20"/>
      <c r="G2779" s="13"/>
      <c r="H2779" s="20"/>
      <c r="I2779" s="18"/>
      <c r="J2779" s="18"/>
      <c r="K2779" s="18"/>
      <c r="L2779" s="18"/>
      <c r="M2779" s="21"/>
      <c r="N2779" s="21"/>
      <c r="O2779" s="21"/>
      <c r="P2779" s="21"/>
      <c r="Q2779" s="22"/>
      <c r="R2779" s="19"/>
      <c r="S2779" s="22"/>
      <c r="T2779" s="23"/>
      <c r="U2779" s="18"/>
      <c r="V2779" s="22"/>
      <c r="W2779" s="18"/>
      <c r="X2779" s="18"/>
      <c r="Y2779" s="21"/>
      <c r="Z2779" s="18"/>
    </row>
    <row r="2780" spans="1:26" x14ac:dyDescent="0.25">
      <c r="A2780" s="11"/>
      <c r="B2780" s="11"/>
      <c r="C2780" s="11"/>
      <c r="D2780" s="11"/>
      <c r="E2780" s="12"/>
      <c r="F2780" s="13"/>
      <c r="G2780" s="13"/>
      <c r="H2780" s="13"/>
      <c r="I2780" s="11"/>
      <c r="J2780" s="11"/>
      <c r="K2780" s="11"/>
      <c r="L2780" s="11"/>
      <c r="M2780" s="15"/>
      <c r="N2780" s="15"/>
      <c r="O2780" s="15"/>
      <c r="P2780" s="15"/>
      <c r="Q2780" s="16"/>
      <c r="R2780" s="16"/>
      <c r="S2780" s="16"/>
      <c r="T2780" s="17"/>
      <c r="U2780" s="11"/>
      <c r="V2780" s="16"/>
      <c r="W2780" s="11"/>
      <c r="X2780" s="11"/>
      <c r="Y2780" s="15"/>
      <c r="Z2780" s="11"/>
    </row>
    <row r="2781" spans="1:26" x14ac:dyDescent="0.25">
      <c r="A2781" s="18"/>
      <c r="B2781" s="18"/>
      <c r="C2781" s="18"/>
      <c r="D2781" s="18"/>
      <c r="E2781" s="19"/>
      <c r="F2781" s="20"/>
      <c r="G2781" s="13"/>
      <c r="H2781" s="20"/>
      <c r="I2781" s="18"/>
      <c r="J2781" s="18"/>
      <c r="K2781" s="18"/>
      <c r="L2781" s="18"/>
      <c r="M2781" s="21"/>
      <c r="N2781" s="21"/>
      <c r="O2781" s="21"/>
      <c r="P2781" s="21"/>
      <c r="Q2781" s="22"/>
      <c r="R2781" s="19"/>
      <c r="S2781" s="22"/>
      <c r="T2781" s="23"/>
      <c r="U2781" s="18"/>
      <c r="V2781" s="22"/>
      <c r="W2781" s="18"/>
      <c r="X2781" s="18"/>
      <c r="Y2781" s="21"/>
      <c r="Z2781" s="18"/>
    </row>
    <row r="2782" spans="1:26" x14ac:dyDescent="0.25">
      <c r="A2782" s="11"/>
      <c r="B2782" s="11"/>
      <c r="C2782" s="11"/>
      <c r="D2782" s="11"/>
      <c r="E2782" s="12"/>
      <c r="F2782" s="13"/>
      <c r="G2782" s="13"/>
      <c r="H2782" s="13"/>
      <c r="I2782" s="11"/>
      <c r="J2782" s="11"/>
      <c r="K2782" s="11"/>
      <c r="L2782" s="11"/>
      <c r="M2782" s="15"/>
      <c r="N2782" s="15"/>
      <c r="O2782" s="15"/>
      <c r="P2782" s="15"/>
      <c r="Q2782" s="16"/>
      <c r="R2782" s="16"/>
      <c r="S2782" s="16"/>
      <c r="T2782" s="17"/>
      <c r="U2782" s="11"/>
      <c r="V2782" s="16"/>
      <c r="W2782" s="11"/>
      <c r="X2782" s="11"/>
      <c r="Y2782" s="15"/>
      <c r="Z2782" s="11"/>
    </row>
    <row r="2783" spans="1:26" x14ac:dyDescent="0.25">
      <c r="A2783" s="11"/>
      <c r="B2783" s="11"/>
      <c r="C2783" s="11"/>
      <c r="D2783" s="11"/>
      <c r="E2783" s="12"/>
      <c r="F2783" s="13"/>
      <c r="G2783" s="13"/>
      <c r="H2783" s="13"/>
      <c r="I2783" s="11"/>
      <c r="J2783" s="11"/>
      <c r="K2783" s="11"/>
      <c r="L2783" s="11"/>
      <c r="M2783" s="15"/>
      <c r="N2783" s="15"/>
      <c r="O2783" s="15"/>
      <c r="P2783" s="15"/>
      <c r="Q2783" s="16"/>
      <c r="R2783" s="16"/>
      <c r="S2783" s="16"/>
      <c r="T2783" s="17"/>
      <c r="U2783" s="11"/>
      <c r="V2783" s="16"/>
      <c r="W2783" s="11"/>
      <c r="X2783" s="11"/>
      <c r="Y2783" s="15"/>
      <c r="Z2783" s="11"/>
    </row>
    <row r="2784" spans="1:26" x14ac:dyDescent="0.25">
      <c r="A2784" s="18"/>
      <c r="B2784" s="18"/>
      <c r="C2784" s="18"/>
      <c r="D2784" s="18"/>
      <c r="E2784" s="19"/>
      <c r="F2784" s="20"/>
      <c r="G2784" s="13"/>
      <c r="H2784" s="20"/>
      <c r="I2784" s="18"/>
      <c r="J2784" s="18"/>
      <c r="K2784" s="18"/>
      <c r="L2784" s="18"/>
      <c r="M2784" s="21"/>
      <c r="N2784" s="21"/>
      <c r="O2784" s="21"/>
      <c r="P2784" s="21"/>
      <c r="Q2784" s="22"/>
      <c r="R2784" s="19"/>
      <c r="S2784" s="22"/>
      <c r="T2784" s="23"/>
      <c r="U2784" s="18"/>
      <c r="V2784" s="22"/>
      <c r="W2784" s="18"/>
      <c r="X2784" s="18"/>
      <c r="Y2784" s="21"/>
      <c r="Z2784" s="18"/>
    </row>
    <row r="2785" spans="1:26" x14ac:dyDescent="0.25">
      <c r="A2785" s="19"/>
      <c r="B2785" s="19"/>
      <c r="C2785" s="19"/>
      <c r="D2785" s="19"/>
      <c r="E2785" s="19"/>
      <c r="F2785" s="20"/>
      <c r="G2785" s="13"/>
      <c r="H2785" s="20"/>
      <c r="I2785" s="19"/>
      <c r="J2785" s="19"/>
      <c r="K2785" s="19"/>
      <c r="L2785" s="19"/>
      <c r="M2785" s="21"/>
      <c r="N2785" s="21"/>
      <c r="O2785" s="21"/>
      <c r="P2785" s="21"/>
      <c r="Q2785" s="22"/>
      <c r="R2785" s="19"/>
      <c r="S2785" s="22"/>
      <c r="T2785" s="23"/>
      <c r="U2785" s="19"/>
      <c r="V2785" s="22"/>
      <c r="W2785" s="19"/>
      <c r="X2785" s="19"/>
      <c r="Y2785" s="21"/>
      <c r="Z2785" s="19"/>
    </row>
    <row r="2786" spans="1:26" x14ac:dyDescent="0.25">
      <c r="A2786" s="11"/>
      <c r="B2786" s="11"/>
      <c r="C2786" s="11"/>
      <c r="D2786" s="11"/>
      <c r="E2786" s="12"/>
      <c r="F2786" s="13"/>
      <c r="G2786" s="13"/>
      <c r="H2786" s="13"/>
      <c r="I2786" s="11"/>
      <c r="J2786" s="11"/>
      <c r="K2786" s="11"/>
      <c r="L2786" s="11"/>
      <c r="M2786" s="15"/>
      <c r="N2786" s="15"/>
      <c r="O2786" s="15"/>
      <c r="P2786" s="15"/>
      <c r="Q2786" s="16"/>
      <c r="R2786" s="16"/>
      <c r="S2786" s="16"/>
      <c r="T2786" s="17"/>
      <c r="U2786" s="11"/>
      <c r="V2786" s="16"/>
      <c r="W2786" s="11"/>
      <c r="X2786" s="11"/>
      <c r="Y2786" s="15"/>
      <c r="Z2786" s="11"/>
    </row>
    <row r="2787" spans="1:26" x14ac:dyDescent="0.25">
      <c r="A2787" s="11"/>
      <c r="B2787" s="11"/>
      <c r="C2787" s="11"/>
      <c r="D2787" s="11"/>
      <c r="E2787" s="12"/>
      <c r="F2787" s="13"/>
      <c r="G2787" s="13"/>
      <c r="H2787" s="13"/>
      <c r="I2787" s="11"/>
      <c r="J2787" s="11"/>
      <c r="K2787" s="11"/>
      <c r="L2787" s="11"/>
      <c r="M2787" s="15"/>
      <c r="N2787" s="15"/>
      <c r="O2787" s="15"/>
      <c r="P2787" s="15"/>
      <c r="Q2787" s="16"/>
      <c r="R2787" s="16"/>
      <c r="S2787" s="16"/>
      <c r="T2787" s="17"/>
      <c r="U2787" s="11"/>
      <c r="V2787" s="16"/>
      <c r="W2787" s="11"/>
      <c r="X2787" s="11"/>
      <c r="Y2787" s="15"/>
      <c r="Z2787" s="11"/>
    </row>
    <row r="2788" spans="1:26" x14ac:dyDescent="0.25">
      <c r="A2788" s="18"/>
      <c r="B2788" s="18"/>
      <c r="C2788" s="18"/>
      <c r="D2788" s="18"/>
      <c r="E2788" s="19"/>
      <c r="F2788" s="20"/>
      <c r="G2788" s="13"/>
      <c r="H2788" s="20"/>
      <c r="I2788" s="18"/>
      <c r="J2788" s="18"/>
      <c r="K2788" s="18"/>
      <c r="L2788" s="18"/>
      <c r="M2788" s="21"/>
      <c r="N2788" s="21"/>
      <c r="O2788" s="21"/>
      <c r="P2788" s="21"/>
      <c r="Q2788" s="22"/>
      <c r="R2788" s="19"/>
      <c r="S2788" s="22"/>
      <c r="T2788" s="23"/>
      <c r="U2788" s="18"/>
      <c r="V2788" s="22"/>
      <c r="W2788" s="18"/>
      <c r="X2788" s="18"/>
      <c r="Y2788" s="21"/>
      <c r="Z2788" s="18"/>
    </row>
    <row r="2789" spans="1:26" x14ac:dyDescent="0.25">
      <c r="A2789" s="11"/>
      <c r="B2789" s="11"/>
      <c r="C2789" s="11"/>
      <c r="D2789" s="11"/>
      <c r="E2789" s="12"/>
      <c r="F2789" s="13"/>
      <c r="G2789" s="13"/>
      <c r="H2789" s="13"/>
      <c r="I2789" s="11"/>
      <c r="J2789" s="11"/>
      <c r="K2789" s="11"/>
      <c r="L2789" s="11"/>
      <c r="M2789" s="15"/>
      <c r="N2789" s="15"/>
      <c r="O2789" s="15"/>
      <c r="P2789" s="15"/>
      <c r="Q2789" s="16"/>
      <c r="R2789" s="16"/>
      <c r="S2789" s="16"/>
      <c r="T2789" s="17"/>
      <c r="U2789" s="11"/>
      <c r="V2789" s="16"/>
      <c r="W2789" s="11"/>
      <c r="X2789" s="11"/>
      <c r="Y2789" s="15"/>
      <c r="Z2789" s="11"/>
    </row>
    <row r="2790" spans="1:26" x14ac:dyDescent="0.25">
      <c r="A2790" s="11"/>
      <c r="B2790" s="11"/>
      <c r="C2790" s="11"/>
      <c r="D2790" s="11"/>
      <c r="E2790" s="12"/>
      <c r="F2790" s="13"/>
      <c r="G2790" s="13"/>
      <c r="H2790" s="13"/>
      <c r="I2790" s="11"/>
      <c r="J2790" s="11"/>
      <c r="K2790" s="11"/>
      <c r="L2790" s="11"/>
      <c r="M2790" s="15"/>
      <c r="N2790" s="15"/>
      <c r="O2790" s="15"/>
      <c r="P2790" s="15"/>
      <c r="Q2790" s="16"/>
      <c r="R2790" s="16"/>
      <c r="S2790" s="16"/>
      <c r="T2790" s="17"/>
      <c r="U2790" s="11"/>
      <c r="V2790" s="16"/>
      <c r="W2790" s="11"/>
      <c r="X2790" s="11"/>
      <c r="Y2790" s="15"/>
      <c r="Z2790" s="11"/>
    </row>
    <row r="2791" spans="1:26" x14ac:dyDescent="0.25">
      <c r="A2791" s="11"/>
      <c r="B2791" s="11"/>
      <c r="C2791" s="11"/>
      <c r="D2791" s="11"/>
      <c r="E2791" s="12"/>
      <c r="F2791" s="13"/>
      <c r="G2791" s="13"/>
      <c r="H2791" s="13"/>
      <c r="I2791" s="11"/>
      <c r="J2791" s="11"/>
      <c r="K2791" s="11"/>
      <c r="L2791" s="11"/>
      <c r="M2791" s="15"/>
      <c r="N2791" s="15"/>
      <c r="O2791" s="15"/>
      <c r="P2791" s="15"/>
      <c r="Q2791" s="16"/>
      <c r="R2791" s="16"/>
      <c r="S2791" s="16"/>
      <c r="T2791" s="17"/>
      <c r="U2791" s="11"/>
      <c r="V2791" s="16"/>
      <c r="W2791" s="11"/>
      <c r="X2791" s="11"/>
      <c r="Y2791" s="15"/>
      <c r="Z2791" s="11"/>
    </row>
    <row r="2792" spans="1:26" x14ac:dyDescent="0.25">
      <c r="A2792" s="11"/>
      <c r="B2792" s="11"/>
      <c r="C2792" s="11"/>
      <c r="D2792" s="11"/>
      <c r="E2792" s="12"/>
      <c r="F2792" s="13"/>
      <c r="G2792" s="13"/>
      <c r="H2792" s="13"/>
      <c r="I2792" s="11"/>
      <c r="J2792" s="11"/>
      <c r="K2792" s="11"/>
      <c r="L2792" s="11"/>
      <c r="M2792" s="15"/>
      <c r="N2792" s="15"/>
      <c r="O2792" s="15"/>
      <c r="P2792" s="15"/>
      <c r="Q2792" s="16"/>
      <c r="R2792" s="16"/>
      <c r="S2792" s="16"/>
      <c r="T2792" s="17"/>
      <c r="U2792" s="11"/>
      <c r="V2792" s="16"/>
      <c r="W2792" s="11"/>
      <c r="X2792" s="11"/>
      <c r="Y2792" s="15"/>
      <c r="Z2792" s="11"/>
    </row>
    <row r="2793" spans="1:26" x14ac:dyDescent="0.25">
      <c r="A2793" s="11"/>
      <c r="B2793" s="11"/>
      <c r="C2793" s="11"/>
      <c r="D2793" s="11"/>
      <c r="E2793" s="12"/>
      <c r="F2793" s="13"/>
      <c r="G2793" s="13"/>
      <c r="H2793" s="13"/>
      <c r="I2793" s="11"/>
      <c r="J2793" s="11"/>
      <c r="K2793" s="11"/>
      <c r="L2793" s="11"/>
      <c r="M2793" s="15"/>
      <c r="N2793" s="15"/>
      <c r="O2793" s="15"/>
      <c r="P2793" s="15"/>
      <c r="Q2793" s="16"/>
      <c r="R2793" s="16"/>
      <c r="S2793" s="16"/>
      <c r="T2793" s="17"/>
      <c r="U2793" s="11"/>
      <c r="V2793" s="16"/>
      <c r="W2793" s="11"/>
      <c r="X2793" s="11"/>
      <c r="Y2793" s="15"/>
      <c r="Z2793" s="11"/>
    </row>
    <row r="2794" spans="1:26" x14ac:dyDescent="0.25">
      <c r="A2794" s="18"/>
      <c r="B2794" s="18"/>
      <c r="C2794" s="18"/>
      <c r="D2794" s="18"/>
      <c r="E2794" s="19"/>
      <c r="F2794" s="20"/>
      <c r="G2794" s="13"/>
      <c r="H2794" s="20"/>
      <c r="I2794" s="18"/>
      <c r="J2794" s="18"/>
      <c r="K2794" s="18"/>
      <c r="L2794" s="18"/>
      <c r="M2794" s="21"/>
      <c r="N2794" s="21"/>
      <c r="O2794" s="21"/>
      <c r="P2794" s="21"/>
      <c r="Q2794" s="22"/>
      <c r="R2794" s="19"/>
      <c r="S2794" s="22"/>
      <c r="T2794" s="23"/>
      <c r="U2794" s="18"/>
      <c r="V2794" s="22"/>
      <c r="W2794" s="18"/>
      <c r="X2794" s="18"/>
      <c r="Y2794" s="21"/>
      <c r="Z2794" s="18"/>
    </row>
    <row r="2795" spans="1:26" x14ac:dyDescent="0.25">
      <c r="A2795" s="11"/>
      <c r="B2795" s="11"/>
      <c r="C2795" s="11"/>
      <c r="D2795" s="11"/>
      <c r="E2795" s="12"/>
      <c r="F2795" s="13"/>
      <c r="G2795" s="13"/>
      <c r="H2795" s="13"/>
      <c r="I2795" s="11"/>
      <c r="J2795" s="11"/>
      <c r="K2795" s="11"/>
      <c r="L2795" s="11"/>
      <c r="M2795" s="15"/>
      <c r="N2795" s="15"/>
      <c r="O2795" s="15"/>
      <c r="P2795" s="15"/>
      <c r="Q2795" s="16"/>
      <c r="R2795" s="16"/>
      <c r="S2795" s="16"/>
      <c r="T2795" s="17"/>
      <c r="U2795" s="11"/>
      <c r="V2795" s="16"/>
      <c r="W2795" s="11"/>
      <c r="X2795" s="11"/>
      <c r="Y2795" s="15"/>
      <c r="Z2795" s="11"/>
    </row>
    <row r="2796" spans="1:26" x14ac:dyDescent="0.25">
      <c r="A2796" s="11"/>
      <c r="B2796" s="11"/>
      <c r="C2796" s="11"/>
      <c r="D2796" s="11"/>
      <c r="E2796" s="12"/>
      <c r="F2796" s="13"/>
      <c r="G2796" s="13"/>
      <c r="H2796" s="13"/>
      <c r="I2796" s="11"/>
      <c r="J2796" s="11"/>
      <c r="K2796" s="11"/>
      <c r="L2796" s="11"/>
      <c r="M2796" s="15"/>
      <c r="N2796" s="15"/>
      <c r="O2796" s="15"/>
      <c r="P2796" s="15"/>
      <c r="Q2796" s="16"/>
      <c r="R2796" s="16"/>
      <c r="S2796" s="16"/>
      <c r="T2796" s="17"/>
      <c r="U2796" s="11"/>
      <c r="V2796" s="16"/>
      <c r="W2796" s="11"/>
      <c r="X2796" s="11"/>
      <c r="Y2796" s="15"/>
      <c r="Z2796" s="11"/>
    </row>
    <row r="2797" spans="1:26" x14ac:dyDescent="0.25">
      <c r="A2797" s="11"/>
      <c r="B2797" s="11"/>
      <c r="C2797" s="11"/>
      <c r="D2797" s="11"/>
      <c r="E2797" s="12"/>
      <c r="F2797" s="13"/>
      <c r="G2797" s="13"/>
      <c r="H2797" s="13"/>
      <c r="I2797" s="11"/>
      <c r="J2797" s="11"/>
      <c r="K2797" s="11"/>
      <c r="L2797" s="11"/>
      <c r="M2797" s="15"/>
      <c r="N2797" s="15"/>
      <c r="O2797" s="15"/>
      <c r="P2797" s="15"/>
      <c r="Q2797" s="16"/>
      <c r="R2797" s="16"/>
      <c r="S2797" s="16"/>
      <c r="T2797" s="17"/>
      <c r="U2797" s="11"/>
      <c r="V2797" s="16"/>
      <c r="W2797" s="11"/>
      <c r="X2797" s="11"/>
      <c r="Y2797" s="15"/>
      <c r="Z2797" s="11"/>
    </row>
    <row r="2798" spans="1:26" x14ac:dyDescent="0.25">
      <c r="A2798" s="11"/>
      <c r="B2798" s="11"/>
      <c r="C2798" s="11"/>
      <c r="D2798" s="11"/>
      <c r="E2798" s="12"/>
      <c r="F2798" s="13"/>
      <c r="G2798" s="13"/>
      <c r="H2798" s="13"/>
      <c r="I2798" s="11"/>
      <c r="J2798" s="11"/>
      <c r="K2798" s="11"/>
      <c r="L2798" s="11"/>
      <c r="M2798" s="15"/>
      <c r="N2798" s="15"/>
      <c r="O2798" s="15"/>
      <c r="P2798" s="15"/>
      <c r="Q2798" s="16"/>
      <c r="R2798" s="16"/>
      <c r="S2798" s="16"/>
      <c r="T2798" s="17"/>
      <c r="U2798" s="11"/>
      <c r="V2798" s="16"/>
      <c r="W2798" s="11"/>
      <c r="X2798" s="11"/>
      <c r="Y2798" s="15"/>
      <c r="Z2798" s="11"/>
    </row>
    <row r="2799" spans="1:26" x14ac:dyDescent="0.25">
      <c r="A2799" s="11"/>
      <c r="B2799" s="11"/>
      <c r="C2799" s="11"/>
      <c r="D2799" s="11"/>
      <c r="E2799" s="12"/>
      <c r="F2799" s="13"/>
      <c r="G2799" s="13"/>
      <c r="H2799" s="13"/>
      <c r="I2799" s="11"/>
      <c r="J2799" s="11"/>
      <c r="K2799" s="11"/>
      <c r="L2799" s="11"/>
      <c r="M2799" s="15"/>
      <c r="N2799" s="15"/>
      <c r="O2799" s="15"/>
      <c r="P2799" s="15"/>
      <c r="Q2799" s="16"/>
      <c r="R2799" s="16"/>
      <c r="S2799" s="16"/>
      <c r="T2799" s="17"/>
      <c r="U2799" s="11"/>
      <c r="V2799" s="16"/>
      <c r="W2799" s="11"/>
      <c r="X2799" s="11"/>
      <c r="Y2799" s="15"/>
      <c r="Z2799" s="11"/>
    </row>
    <row r="2800" spans="1:26" x14ac:dyDescent="0.25">
      <c r="A2800" s="11"/>
      <c r="B2800" s="11"/>
      <c r="C2800" s="11"/>
      <c r="D2800" s="11"/>
      <c r="E2800" s="12"/>
      <c r="F2800" s="13"/>
      <c r="G2800" s="13"/>
      <c r="H2800" s="13"/>
      <c r="I2800" s="11"/>
      <c r="J2800" s="11"/>
      <c r="K2800" s="11"/>
      <c r="L2800" s="11"/>
      <c r="M2800" s="15"/>
      <c r="N2800" s="15"/>
      <c r="O2800" s="15"/>
      <c r="P2800" s="15"/>
      <c r="Q2800" s="16"/>
      <c r="R2800" s="16"/>
      <c r="S2800" s="16"/>
      <c r="T2800" s="17"/>
      <c r="U2800" s="11"/>
      <c r="V2800" s="16"/>
      <c r="W2800" s="11"/>
      <c r="X2800" s="11"/>
      <c r="Y2800" s="15"/>
      <c r="Z2800" s="11"/>
    </row>
    <row r="2801" spans="1:26" x14ac:dyDescent="0.25">
      <c r="A2801" s="18"/>
      <c r="B2801" s="18"/>
      <c r="C2801" s="18"/>
      <c r="D2801" s="18"/>
      <c r="E2801" s="19"/>
      <c r="F2801" s="20"/>
      <c r="G2801" s="13"/>
      <c r="H2801" s="20"/>
      <c r="I2801" s="18"/>
      <c r="J2801" s="18"/>
      <c r="K2801" s="18"/>
      <c r="L2801" s="18"/>
      <c r="M2801" s="21"/>
      <c r="N2801" s="21"/>
      <c r="O2801" s="21"/>
      <c r="P2801" s="21"/>
      <c r="Q2801" s="22"/>
      <c r="R2801" s="19"/>
      <c r="S2801" s="22"/>
      <c r="T2801" s="23"/>
      <c r="U2801" s="18"/>
      <c r="V2801" s="22"/>
      <c r="W2801" s="18"/>
      <c r="X2801" s="18"/>
      <c r="Y2801" s="21"/>
      <c r="Z2801" s="18"/>
    </row>
    <row r="2802" spans="1:26" x14ac:dyDescent="0.25">
      <c r="A2802" s="11"/>
      <c r="B2802" s="11"/>
      <c r="C2802" s="11"/>
      <c r="D2802" s="11"/>
      <c r="E2802" s="12"/>
      <c r="F2802" s="13"/>
      <c r="G2802" s="13"/>
      <c r="H2802" s="13"/>
      <c r="I2802" s="11"/>
      <c r="J2802" s="11"/>
      <c r="K2802" s="11"/>
      <c r="L2802" s="11"/>
      <c r="M2802" s="15"/>
      <c r="N2802" s="15"/>
      <c r="O2802" s="15"/>
      <c r="P2802" s="15"/>
      <c r="Q2802" s="16"/>
      <c r="R2802" s="16"/>
      <c r="S2802" s="16"/>
      <c r="T2802" s="17"/>
      <c r="U2802" s="11"/>
      <c r="V2802" s="16"/>
      <c r="W2802" s="11"/>
      <c r="X2802" s="11"/>
      <c r="Y2802" s="15"/>
      <c r="Z2802" s="11"/>
    </row>
    <row r="2803" spans="1:26" x14ac:dyDescent="0.25">
      <c r="A2803" s="11"/>
      <c r="B2803" s="11"/>
      <c r="C2803" s="11"/>
      <c r="D2803" s="11"/>
      <c r="E2803" s="12"/>
      <c r="F2803" s="13"/>
      <c r="G2803" s="13"/>
      <c r="H2803" s="13"/>
      <c r="I2803" s="11"/>
      <c r="J2803" s="11"/>
      <c r="K2803" s="11"/>
      <c r="L2803" s="11"/>
      <c r="M2803" s="15"/>
      <c r="N2803" s="15"/>
      <c r="O2803" s="15"/>
      <c r="P2803" s="15"/>
      <c r="Q2803" s="16"/>
      <c r="R2803" s="16"/>
      <c r="S2803" s="16"/>
      <c r="T2803" s="17"/>
      <c r="U2803" s="11"/>
      <c r="V2803" s="16"/>
      <c r="W2803" s="11"/>
      <c r="X2803" s="11"/>
      <c r="Y2803" s="15"/>
      <c r="Z2803" s="11"/>
    </row>
    <row r="2804" spans="1:26" x14ac:dyDescent="0.25">
      <c r="A2804" s="11"/>
      <c r="B2804" s="11"/>
      <c r="C2804" s="11"/>
      <c r="D2804" s="11"/>
      <c r="E2804" s="12"/>
      <c r="F2804" s="13"/>
      <c r="G2804" s="13"/>
      <c r="H2804" s="13"/>
      <c r="I2804" s="11"/>
      <c r="J2804" s="11"/>
      <c r="K2804" s="11"/>
      <c r="L2804" s="11"/>
      <c r="M2804" s="15"/>
      <c r="N2804" s="15"/>
      <c r="O2804" s="15"/>
      <c r="P2804" s="15"/>
      <c r="Q2804" s="16"/>
      <c r="R2804" s="16"/>
      <c r="S2804" s="16"/>
      <c r="T2804" s="17"/>
      <c r="U2804" s="11"/>
      <c r="V2804" s="16"/>
      <c r="W2804" s="11"/>
      <c r="X2804" s="11"/>
      <c r="Y2804" s="15"/>
      <c r="Z2804" s="11"/>
    </row>
    <row r="2805" spans="1:26" x14ac:dyDescent="0.25">
      <c r="A2805" s="11"/>
      <c r="B2805" s="11"/>
      <c r="C2805" s="11"/>
      <c r="D2805" s="11"/>
      <c r="E2805" s="12"/>
      <c r="F2805" s="13"/>
      <c r="G2805" s="13"/>
      <c r="H2805" s="13"/>
      <c r="I2805" s="11"/>
      <c r="J2805" s="11"/>
      <c r="K2805" s="11"/>
      <c r="L2805" s="11"/>
      <c r="M2805" s="15"/>
      <c r="N2805" s="15"/>
      <c r="O2805" s="15"/>
      <c r="P2805" s="15"/>
      <c r="Q2805" s="16"/>
      <c r="R2805" s="16"/>
      <c r="S2805" s="16"/>
      <c r="T2805" s="17"/>
      <c r="U2805" s="11"/>
      <c r="V2805" s="16"/>
      <c r="W2805" s="11"/>
      <c r="X2805" s="11"/>
      <c r="Y2805" s="15"/>
      <c r="Z2805" s="11"/>
    </row>
    <row r="2806" spans="1:26" x14ac:dyDescent="0.25">
      <c r="A2806" s="11"/>
      <c r="B2806" s="11"/>
      <c r="C2806" s="11"/>
      <c r="D2806" s="11"/>
      <c r="E2806" s="12"/>
      <c r="F2806" s="13"/>
      <c r="G2806" s="13"/>
      <c r="H2806" s="13"/>
      <c r="I2806" s="11"/>
      <c r="J2806" s="11"/>
      <c r="K2806" s="11"/>
      <c r="L2806" s="11"/>
      <c r="M2806" s="15"/>
      <c r="N2806" s="15"/>
      <c r="O2806" s="15"/>
      <c r="P2806" s="15"/>
      <c r="Q2806" s="16"/>
      <c r="R2806" s="16"/>
      <c r="S2806" s="16"/>
      <c r="T2806" s="17"/>
      <c r="U2806" s="11"/>
      <c r="V2806" s="16"/>
      <c r="W2806" s="11"/>
      <c r="X2806" s="11"/>
      <c r="Y2806" s="15"/>
      <c r="Z2806" s="11"/>
    </row>
    <row r="2807" spans="1:26" x14ac:dyDescent="0.25">
      <c r="A2807" s="11"/>
      <c r="B2807" s="11"/>
      <c r="C2807" s="11"/>
      <c r="D2807" s="11"/>
      <c r="E2807" s="12"/>
      <c r="F2807" s="13"/>
      <c r="G2807" s="13"/>
      <c r="H2807" s="13"/>
      <c r="I2807" s="11"/>
      <c r="J2807" s="11"/>
      <c r="K2807" s="11"/>
      <c r="L2807" s="11"/>
      <c r="M2807" s="15"/>
      <c r="N2807" s="15"/>
      <c r="O2807" s="15"/>
      <c r="P2807" s="15"/>
      <c r="Q2807" s="16"/>
      <c r="R2807" s="16"/>
      <c r="S2807" s="16"/>
      <c r="T2807" s="17"/>
      <c r="U2807" s="11"/>
      <c r="V2807" s="16"/>
      <c r="W2807" s="11"/>
      <c r="X2807" s="11"/>
      <c r="Y2807" s="15"/>
      <c r="Z2807" s="11"/>
    </row>
    <row r="2808" spans="1:26" x14ac:dyDescent="0.25">
      <c r="A2808" s="11"/>
      <c r="B2808" s="11"/>
      <c r="C2808" s="11"/>
      <c r="D2808" s="11"/>
      <c r="E2808" s="12"/>
      <c r="F2808" s="13"/>
      <c r="G2808" s="13"/>
      <c r="H2808" s="13"/>
      <c r="I2808" s="11"/>
      <c r="J2808" s="11"/>
      <c r="K2808" s="11"/>
      <c r="L2808" s="11"/>
      <c r="M2808" s="15"/>
      <c r="N2808" s="15"/>
      <c r="O2808" s="15"/>
      <c r="P2808" s="15"/>
      <c r="Q2808" s="16"/>
      <c r="R2808" s="16"/>
      <c r="S2808" s="16"/>
      <c r="T2808" s="17"/>
      <c r="U2808" s="11"/>
      <c r="V2808" s="16"/>
      <c r="W2808" s="11"/>
      <c r="X2808" s="11"/>
      <c r="Y2808" s="15"/>
      <c r="Z2808" s="11"/>
    </row>
    <row r="2809" spans="1:26" x14ac:dyDescent="0.25">
      <c r="A2809" s="11"/>
      <c r="B2809" s="11"/>
      <c r="C2809" s="11"/>
      <c r="D2809" s="11"/>
      <c r="E2809" s="12"/>
      <c r="F2809" s="13"/>
      <c r="G2809" s="13"/>
      <c r="H2809" s="13"/>
      <c r="I2809" s="11"/>
      <c r="J2809" s="11"/>
      <c r="K2809" s="11"/>
      <c r="L2809" s="11"/>
      <c r="M2809" s="15"/>
      <c r="N2809" s="15"/>
      <c r="O2809" s="15"/>
      <c r="P2809" s="15"/>
      <c r="Q2809" s="16"/>
      <c r="R2809" s="16"/>
      <c r="S2809" s="16"/>
      <c r="T2809" s="17"/>
      <c r="U2809" s="11"/>
      <c r="V2809" s="16"/>
      <c r="W2809" s="11"/>
      <c r="X2809" s="11"/>
      <c r="Y2809" s="15"/>
      <c r="Z2809" s="11"/>
    </row>
    <row r="2810" spans="1:26" x14ac:dyDescent="0.25">
      <c r="A2810" s="11"/>
      <c r="B2810" s="11"/>
      <c r="C2810" s="11"/>
      <c r="D2810" s="11"/>
      <c r="E2810" s="12"/>
      <c r="F2810" s="13"/>
      <c r="G2810" s="13"/>
      <c r="H2810" s="13"/>
      <c r="I2810" s="11"/>
      <c r="J2810" s="11"/>
      <c r="K2810" s="11"/>
      <c r="L2810" s="11"/>
      <c r="M2810" s="15"/>
      <c r="N2810" s="15"/>
      <c r="O2810" s="15"/>
      <c r="P2810" s="15"/>
      <c r="Q2810" s="16"/>
      <c r="R2810" s="16"/>
      <c r="S2810" s="16"/>
      <c r="T2810" s="17"/>
      <c r="U2810" s="11"/>
      <c r="V2810" s="16"/>
      <c r="W2810" s="11"/>
      <c r="X2810" s="11"/>
      <c r="Y2810" s="15"/>
      <c r="Z2810" s="11"/>
    </row>
    <row r="2811" spans="1:26" x14ac:dyDescent="0.25">
      <c r="A2811" s="11"/>
      <c r="B2811" s="11"/>
      <c r="C2811" s="11"/>
      <c r="D2811" s="11"/>
      <c r="E2811" s="12"/>
      <c r="F2811" s="13"/>
      <c r="G2811" s="13"/>
      <c r="H2811" s="13"/>
      <c r="I2811" s="11"/>
      <c r="J2811" s="11"/>
      <c r="K2811" s="11"/>
      <c r="L2811" s="11"/>
      <c r="M2811" s="15"/>
      <c r="N2811" s="15"/>
      <c r="O2811" s="15"/>
      <c r="P2811" s="15"/>
      <c r="Q2811" s="16"/>
      <c r="R2811" s="16"/>
      <c r="S2811" s="16"/>
      <c r="T2811" s="17"/>
      <c r="U2811" s="11"/>
      <c r="V2811" s="16"/>
      <c r="W2811" s="11"/>
      <c r="X2811" s="11"/>
      <c r="Y2811" s="15"/>
      <c r="Z2811" s="11"/>
    </row>
    <row r="2812" spans="1:26" x14ac:dyDescent="0.25">
      <c r="A2812" s="11"/>
      <c r="B2812" s="11"/>
      <c r="C2812" s="11"/>
      <c r="D2812" s="11"/>
      <c r="E2812" s="12"/>
      <c r="F2812" s="13"/>
      <c r="G2812" s="13"/>
      <c r="H2812" s="13"/>
      <c r="I2812" s="11"/>
      <c r="J2812" s="11"/>
      <c r="K2812" s="11"/>
      <c r="L2812" s="11"/>
      <c r="M2812" s="15"/>
      <c r="N2812" s="15"/>
      <c r="O2812" s="15"/>
      <c r="P2812" s="15"/>
      <c r="Q2812" s="16"/>
      <c r="R2812" s="16"/>
      <c r="S2812" s="16"/>
      <c r="T2812" s="17"/>
      <c r="U2812" s="11"/>
      <c r="V2812" s="16"/>
      <c r="W2812" s="11"/>
      <c r="X2812" s="11"/>
      <c r="Y2812" s="15"/>
      <c r="Z2812" s="11"/>
    </row>
    <row r="2813" spans="1:26" x14ac:dyDescent="0.25">
      <c r="A2813" s="11"/>
      <c r="B2813" s="11"/>
      <c r="C2813" s="11"/>
      <c r="D2813" s="11"/>
      <c r="E2813" s="12"/>
      <c r="F2813" s="13"/>
      <c r="G2813" s="13"/>
      <c r="H2813" s="13"/>
      <c r="I2813" s="11"/>
      <c r="J2813" s="11"/>
      <c r="K2813" s="11"/>
      <c r="L2813" s="11"/>
      <c r="M2813" s="15"/>
      <c r="N2813" s="15"/>
      <c r="O2813" s="15"/>
      <c r="P2813" s="15"/>
      <c r="Q2813" s="16"/>
      <c r="R2813" s="16"/>
      <c r="S2813" s="16"/>
      <c r="T2813" s="17"/>
      <c r="U2813" s="11"/>
      <c r="V2813" s="16"/>
      <c r="W2813" s="11"/>
      <c r="X2813" s="11"/>
      <c r="Y2813" s="15"/>
      <c r="Z2813" s="11"/>
    </row>
    <row r="2814" spans="1:26" x14ac:dyDescent="0.25">
      <c r="A2814" s="11"/>
      <c r="B2814" s="11"/>
      <c r="C2814" s="11"/>
      <c r="D2814" s="11"/>
      <c r="E2814" s="12"/>
      <c r="F2814" s="13"/>
      <c r="G2814" s="13"/>
      <c r="H2814" s="13"/>
      <c r="I2814" s="11"/>
      <c r="J2814" s="11"/>
      <c r="K2814" s="11"/>
      <c r="L2814" s="11"/>
      <c r="M2814" s="15"/>
      <c r="N2814" s="15"/>
      <c r="O2814" s="15"/>
      <c r="P2814" s="15"/>
      <c r="Q2814" s="16"/>
      <c r="R2814" s="16"/>
      <c r="S2814" s="16"/>
      <c r="T2814" s="17"/>
      <c r="U2814" s="11"/>
      <c r="V2814" s="16"/>
      <c r="W2814" s="11"/>
      <c r="X2814" s="11"/>
      <c r="Y2814" s="15"/>
      <c r="Z2814" s="11"/>
    </row>
    <row r="2815" spans="1:26" x14ac:dyDescent="0.25">
      <c r="A2815" s="19"/>
      <c r="B2815" s="19"/>
      <c r="C2815" s="19"/>
      <c r="D2815" s="19"/>
      <c r="E2815" s="19"/>
      <c r="F2815" s="20"/>
      <c r="G2815" s="13"/>
      <c r="H2815" s="20"/>
      <c r="I2815" s="19"/>
      <c r="J2815" s="19"/>
      <c r="K2815" s="19"/>
      <c r="L2815" s="19"/>
      <c r="M2815" s="21"/>
      <c r="N2815" s="21"/>
      <c r="O2815" s="21"/>
      <c r="P2815" s="21"/>
      <c r="Q2815" s="22"/>
      <c r="R2815" s="19"/>
      <c r="S2815" s="22"/>
      <c r="T2815" s="23"/>
      <c r="U2815" s="19"/>
      <c r="V2815" s="22"/>
      <c r="W2815" s="19"/>
      <c r="X2815" s="19"/>
      <c r="Y2815" s="21"/>
      <c r="Z2815" s="19"/>
    </row>
    <row r="2816" spans="1:26" x14ac:dyDescent="0.25">
      <c r="A2816" s="19"/>
      <c r="B2816" s="19"/>
      <c r="C2816" s="19"/>
      <c r="D2816" s="19"/>
      <c r="E2816" s="19"/>
      <c r="F2816" s="20"/>
      <c r="G2816" s="13"/>
      <c r="H2816" s="20"/>
      <c r="I2816" s="19"/>
      <c r="J2816" s="19"/>
      <c r="K2816" s="19"/>
      <c r="L2816" s="19"/>
      <c r="M2816" s="21"/>
      <c r="N2816" s="21"/>
      <c r="O2816" s="21"/>
      <c r="P2816" s="21"/>
      <c r="Q2816" s="22"/>
      <c r="R2816" s="19"/>
      <c r="S2816" s="22"/>
      <c r="T2816" s="23"/>
      <c r="U2816" s="19"/>
      <c r="V2816" s="22"/>
      <c r="W2816" s="19"/>
      <c r="X2816" s="19"/>
      <c r="Y2816" s="21"/>
      <c r="Z2816" s="19"/>
    </row>
    <row r="2817" spans="1:26" x14ac:dyDescent="0.25">
      <c r="A2817" s="11"/>
      <c r="B2817" s="11"/>
      <c r="C2817" s="11"/>
      <c r="D2817" s="11"/>
      <c r="E2817" s="12"/>
      <c r="F2817" s="13"/>
      <c r="G2817" s="13"/>
      <c r="H2817" s="13"/>
      <c r="I2817" s="11"/>
      <c r="J2817" s="11"/>
      <c r="K2817" s="11"/>
      <c r="L2817" s="11"/>
      <c r="M2817" s="15"/>
      <c r="N2817" s="15"/>
      <c r="O2817" s="15"/>
      <c r="P2817" s="15"/>
      <c r="Q2817" s="16"/>
      <c r="R2817" s="16"/>
      <c r="S2817" s="16"/>
      <c r="T2817" s="17"/>
      <c r="U2817" s="11"/>
      <c r="V2817" s="16"/>
      <c r="W2817" s="11"/>
      <c r="X2817" s="11"/>
      <c r="Y2817" s="15"/>
      <c r="Z2817" s="11"/>
    </row>
    <row r="2818" spans="1:26" x14ac:dyDescent="0.25">
      <c r="A2818" s="11"/>
      <c r="B2818" s="11"/>
      <c r="C2818" s="11"/>
      <c r="D2818" s="11"/>
      <c r="E2818" s="12"/>
      <c r="F2818" s="13"/>
      <c r="G2818" s="13"/>
      <c r="H2818" s="13"/>
      <c r="I2818" s="11"/>
      <c r="J2818" s="11"/>
      <c r="K2818" s="11"/>
      <c r="L2818" s="11"/>
      <c r="M2818" s="15"/>
      <c r="N2818" s="15"/>
      <c r="O2818" s="15"/>
      <c r="P2818" s="15"/>
      <c r="Q2818" s="16"/>
      <c r="R2818" s="16"/>
      <c r="S2818" s="16"/>
      <c r="T2818" s="17"/>
      <c r="U2818" s="11"/>
      <c r="V2818" s="16"/>
      <c r="W2818" s="11"/>
      <c r="X2818" s="11"/>
      <c r="Y2818" s="15"/>
      <c r="Z2818" s="11"/>
    </row>
    <row r="2819" spans="1:26" x14ac:dyDescent="0.25">
      <c r="A2819" s="11"/>
      <c r="B2819" s="11"/>
      <c r="C2819" s="11"/>
      <c r="D2819" s="11"/>
      <c r="E2819" s="12"/>
      <c r="F2819" s="13"/>
      <c r="G2819" s="13"/>
      <c r="H2819" s="13"/>
      <c r="I2819" s="11"/>
      <c r="J2819" s="11"/>
      <c r="K2819" s="11"/>
      <c r="L2819" s="11"/>
      <c r="M2819" s="15"/>
      <c r="N2819" s="15"/>
      <c r="O2819" s="15"/>
      <c r="P2819" s="15"/>
      <c r="Q2819" s="16"/>
      <c r="R2819" s="16"/>
      <c r="S2819" s="16"/>
      <c r="T2819" s="17"/>
      <c r="U2819" s="11"/>
      <c r="V2819" s="16"/>
      <c r="W2819" s="11"/>
      <c r="X2819" s="11"/>
      <c r="Y2819" s="15"/>
      <c r="Z2819" s="11"/>
    </row>
    <row r="2820" spans="1:26" x14ac:dyDescent="0.25">
      <c r="A2820" s="11"/>
      <c r="B2820" s="11"/>
      <c r="C2820" s="11"/>
      <c r="D2820" s="11"/>
      <c r="E2820" s="12"/>
      <c r="F2820" s="13"/>
      <c r="G2820" s="13"/>
      <c r="H2820" s="13"/>
      <c r="I2820" s="11"/>
      <c r="J2820" s="11"/>
      <c r="K2820" s="11"/>
      <c r="L2820" s="11"/>
      <c r="M2820" s="15"/>
      <c r="N2820" s="15"/>
      <c r="O2820" s="15"/>
      <c r="P2820" s="15"/>
      <c r="Q2820" s="16"/>
      <c r="R2820" s="16"/>
      <c r="S2820" s="16"/>
      <c r="T2820" s="17"/>
      <c r="U2820" s="11"/>
      <c r="V2820" s="16"/>
      <c r="W2820" s="11"/>
      <c r="X2820" s="11"/>
      <c r="Y2820" s="15"/>
      <c r="Z2820" s="11"/>
    </row>
    <row r="2821" spans="1:26" x14ac:dyDescent="0.25">
      <c r="A2821" s="11"/>
      <c r="B2821" s="11"/>
      <c r="C2821" s="11"/>
      <c r="D2821" s="11"/>
      <c r="E2821" s="12"/>
      <c r="F2821" s="13"/>
      <c r="G2821" s="13"/>
      <c r="H2821" s="13"/>
      <c r="I2821" s="11"/>
      <c r="J2821" s="11"/>
      <c r="K2821" s="11"/>
      <c r="L2821" s="11"/>
      <c r="M2821" s="15"/>
      <c r="N2821" s="15"/>
      <c r="O2821" s="15"/>
      <c r="P2821" s="15"/>
      <c r="Q2821" s="16"/>
      <c r="R2821" s="16"/>
      <c r="S2821" s="16"/>
      <c r="T2821" s="17"/>
      <c r="U2821" s="11"/>
      <c r="V2821" s="16"/>
      <c r="W2821" s="11"/>
      <c r="X2821" s="11"/>
      <c r="Y2821" s="15"/>
      <c r="Z2821" s="11"/>
    </row>
    <row r="2822" spans="1:26" x14ac:dyDescent="0.25">
      <c r="A2822" s="11"/>
      <c r="B2822" s="11"/>
      <c r="C2822" s="11"/>
      <c r="D2822" s="11"/>
      <c r="E2822" s="12"/>
      <c r="F2822" s="13"/>
      <c r="G2822" s="13"/>
      <c r="H2822" s="13"/>
      <c r="I2822" s="11"/>
      <c r="J2822" s="11"/>
      <c r="K2822" s="11"/>
      <c r="L2822" s="11"/>
      <c r="M2822" s="15"/>
      <c r="N2822" s="15"/>
      <c r="O2822" s="15"/>
      <c r="P2822" s="15"/>
      <c r="Q2822" s="16"/>
      <c r="R2822" s="16"/>
      <c r="S2822" s="16"/>
      <c r="T2822" s="17"/>
      <c r="U2822" s="11"/>
      <c r="V2822" s="16"/>
      <c r="W2822" s="11"/>
      <c r="X2822" s="11"/>
      <c r="Y2822" s="15"/>
      <c r="Z2822" s="11"/>
    </row>
    <row r="2823" spans="1:26" x14ac:dyDescent="0.25">
      <c r="A2823" s="19"/>
      <c r="B2823" s="19"/>
      <c r="C2823" s="19"/>
      <c r="D2823" s="19"/>
      <c r="E2823" s="19"/>
      <c r="F2823" s="20"/>
      <c r="G2823" s="13"/>
      <c r="H2823" s="20"/>
      <c r="I2823" s="19"/>
      <c r="J2823" s="19"/>
      <c r="K2823" s="19"/>
      <c r="L2823" s="19"/>
      <c r="M2823" s="21"/>
      <c r="N2823" s="21"/>
      <c r="O2823" s="21"/>
      <c r="P2823" s="21"/>
      <c r="Q2823" s="22"/>
      <c r="R2823" s="19"/>
      <c r="S2823" s="22"/>
      <c r="T2823" s="23"/>
      <c r="U2823" s="19"/>
      <c r="V2823" s="22"/>
      <c r="W2823" s="19"/>
      <c r="X2823" s="19"/>
      <c r="Y2823" s="21"/>
      <c r="Z2823" s="19"/>
    </row>
    <row r="2824" spans="1:26" x14ac:dyDescent="0.25">
      <c r="A2824" s="11"/>
      <c r="B2824" s="11"/>
      <c r="C2824" s="11"/>
      <c r="D2824" s="11"/>
      <c r="E2824" s="12"/>
      <c r="F2824" s="13"/>
      <c r="G2824" s="13"/>
      <c r="H2824" s="13"/>
      <c r="I2824" s="11"/>
      <c r="J2824" s="11"/>
      <c r="K2824" s="11"/>
      <c r="L2824" s="11"/>
      <c r="M2824" s="15"/>
      <c r="N2824" s="15"/>
      <c r="O2824" s="15"/>
      <c r="P2824" s="15"/>
      <c r="Q2824" s="16"/>
      <c r="R2824" s="16"/>
      <c r="S2824" s="16"/>
      <c r="T2824" s="17"/>
      <c r="U2824" s="11"/>
      <c r="V2824" s="16"/>
      <c r="W2824" s="11"/>
      <c r="X2824" s="11"/>
      <c r="Y2824" s="15"/>
      <c r="Z2824" s="11"/>
    </row>
    <row r="2825" spans="1:26" x14ac:dyDescent="0.25">
      <c r="A2825" s="11"/>
      <c r="B2825" s="11"/>
      <c r="C2825" s="11"/>
      <c r="D2825" s="11"/>
      <c r="E2825" s="12"/>
      <c r="F2825" s="13"/>
      <c r="G2825" s="13"/>
      <c r="H2825" s="13"/>
      <c r="I2825" s="11"/>
      <c r="J2825" s="11"/>
      <c r="K2825" s="11"/>
      <c r="L2825" s="11"/>
      <c r="M2825" s="15"/>
      <c r="N2825" s="15"/>
      <c r="O2825" s="15"/>
      <c r="P2825" s="15"/>
      <c r="Q2825" s="16"/>
      <c r="R2825" s="16"/>
      <c r="S2825" s="16"/>
      <c r="T2825" s="17"/>
      <c r="U2825" s="11"/>
      <c r="V2825" s="16"/>
      <c r="W2825" s="11"/>
      <c r="X2825" s="11"/>
      <c r="Y2825" s="15"/>
      <c r="Z2825" s="11"/>
    </row>
    <row r="2826" spans="1:26" x14ac:dyDescent="0.25">
      <c r="A2826" s="11"/>
      <c r="B2826" s="11"/>
      <c r="C2826" s="11"/>
      <c r="D2826" s="11"/>
      <c r="E2826" s="12"/>
      <c r="F2826" s="13"/>
      <c r="G2826" s="13"/>
      <c r="H2826" s="13"/>
      <c r="I2826" s="11"/>
      <c r="J2826" s="11"/>
      <c r="K2826" s="11"/>
      <c r="L2826" s="11"/>
      <c r="M2826" s="15"/>
      <c r="N2826" s="15"/>
      <c r="O2826" s="15"/>
      <c r="P2826" s="15"/>
      <c r="Q2826" s="16"/>
      <c r="R2826" s="16"/>
      <c r="S2826" s="16"/>
      <c r="T2826" s="17"/>
      <c r="U2826" s="11"/>
      <c r="V2826" s="16"/>
      <c r="W2826" s="11"/>
      <c r="X2826" s="11"/>
      <c r="Y2826" s="15"/>
      <c r="Z2826" s="11"/>
    </row>
    <row r="2827" spans="1:26" x14ac:dyDescent="0.25">
      <c r="A2827" s="11"/>
      <c r="B2827" s="11"/>
      <c r="C2827" s="11"/>
      <c r="D2827" s="11"/>
      <c r="E2827" s="12"/>
      <c r="F2827" s="13"/>
      <c r="G2827" s="13"/>
      <c r="H2827" s="13"/>
      <c r="I2827" s="11"/>
      <c r="J2827" s="11"/>
      <c r="K2827" s="11"/>
      <c r="L2827" s="11"/>
      <c r="M2827" s="15"/>
      <c r="N2827" s="15"/>
      <c r="O2827" s="15"/>
      <c r="P2827" s="15"/>
      <c r="Q2827" s="16"/>
      <c r="R2827" s="16"/>
      <c r="S2827" s="16"/>
      <c r="T2827" s="17"/>
      <c r="U2827" s="11"/>
      <c r="V2827" s="16"/>
      <c r="W2827" s="11"/>
      <c r="X2827" s="11"/>
      <c r="Y2827" s="15"/>
      <c r="Z2827" s="11"/>
    </row>
    <row r="2828" spans="1:26" x14ac:dyDescent="0.25">
      <c r="A2828" s="11"/>
      <c r="B2828" s="11"/>
      <c r="C2828" s="11"/>
      <c r="D2828" s="11"/>
      <c r="E2828" s="12"/>
      <c r="F2828" s="13"/>
      <c r="G2828" s="13"/>
      <c r="H2828" s="13"/>
      <c r="I2828" s="11"/>
      <c r="J2828" s="11"/>
      <c r="K2828" s="11"/>
      <c r="L2828" s="11"/>
      <c r="M2828" s="15"/>
      <c r="N2828" s="15"/>
      <c r="O2828" s="15"/>
      <c r="P2828" s="15"/>
      <c r="Q2828" s="16"/>
      <c r="R2828" s="16"/>
      <c r="S2828" s="16"/>
      <c r="T2828" s="17"/>
      <c r="U2828" s="11"/>
      <c r="V2828" s="16"/>
      <c r="W2828" s="11"/>
      <c r="X2828" s="11"/>
      <c r="Y2828" s="15"/>
      <c r="Z2828" s="11"/>
    </row>
    <row r="2829" spans="1:26" x14ac:dyDescent="0.25">
      <c r="A2829" s="11"/>
      <c r="B2829" s="11"/>
      <c r="C2829" s="11"/>
      <c r="D2829" s="11"/>
      <c r="E2829" s="12"/>
      <c r="F2829" s="13"/>
      <c r="G2829" s="13"/>
      <c r="H2829" s="13"/>
      <c r="I2829" s="11"/>
      <c r="J2829" s="11"/>
      <c r="K2829" s="11"/>
      <c r="L2829" s="11"/>
      <c r="M2829" s="15"/>
      <c r="N2829" s="15"/>
      <c r="O2829" s="15"/>
      <c r="P2829" s="15"/>
      <c r="Q2829" s="16"/>
      <c r="R2829" s="16"/>
      <c r="S2829" s="16"/>
      <c r="T2829" s="17"/>
      <c r="U2829" s="11"/>
      <c r="V2829" s="16"/>
      <c r="W2829" s="11"/>
      <c r="X2829" s="11"/>
      <c r="Y2829" s="15"/>
      <c r="Z2829" s="11"/>
    </row>
    <row r="2830" spans="1:26" x14ac:dyDescent="0.25">
      <c r="A2830" s="11"/>
      <c r="B2830" s="11"/>
      <c r="C2830" s="11"/>
      <c r="D2830" s="11"/>
      <c r="E2830" s="12"/>
      <c r="F2830" s="13"/>
      <c r="G2830" s="13"/>
      <c r="H2830" s="13"/>
      <c r="I2830" s="11"/>
      <c r="J2830" s="11"/>
      <c r="K2830" s="11"/>
      <c r="L2830" s="11"/>
      <c r="M2830" s="15"/>
      <c r="N2830" s="15"/>
      <c r="O2830" s="15"/>
      <c r="P2830" s="15"/>
      <c r="Q2830" s="16"/>
      <c r="R2830" s="16"/>
      <c r="S2830" s="16"/>
      <c r="T2830" s="17"/>
      <c r="U2830" s="11"/>
      <c r="V2830" s="16"/>
      <c r="W2830" s="11"/>
      <c r="X2830" s="11"/>
      <c r="Y2830" s="15"/>
      <c r="Z2830" s="11"/>
    </row>
    <row r="2831" spans="1:26" x14ac:dyDescent="0.25">
      <c r="A2831" s="11"/>
      <c r="B2831" s="11"/>
      <c r="C2831" s="11"/>
      <c r="D2831" s="11"/>
      <c r="E2831" s="12"/>
      <c r="F2831" s="13"/>
      <c r="G2831" s="13"/>
      <c r="H2831" s="13"/>
      <c r="I2831" s="11"/>
      <c r="J2831" s="11"/>
      <c r="K2831" s="11"/>
      <c r="L2831" s="11"/>
      <c r="M2831" s="15"/>
      <c r="N2831" s="15"/>
      <c r="O2831" s="15"/>
      <c r="P2831" s="15"/>
      <c r="Q2831" s="16"/>
      <c r="R2831" s="16"/>
      <c r="S2831" s="16"/>
      <c r="T2831" s="17"/>
      <c r="U2831" s="11"/>
      <c r="V2831" s="16"/>
      <c r="W2831" s="11"/>
      <c r="X2831" s="11"/>
      <c r="Y2831" s="15"/>
      <c r="Z2831" s="11"/>
    </row>
    <row r="2832" spans="1:26" x14ac:dyDescent="0.25">
      <c r="A2832" s="11"/>
      <c r="B2832" s="11"/>
      <c r="C2832" s="11"/>
      <c r="D2832" s="11"/>
      <c r="E2832" s="12"/>
      <c r="F2832" s="13"/>
      <c r="G2832" s="13"/>
      <c r="H2832" s="13"/>
      <c r="I2832" s="11"/>
      <c r="J2832" s="11"/>
      <c r="K2832" s="11"/>
      <c r="L2832" s="11"/>
      <c r="M2832" s="15"/>
      <c r="N2832" s="15"/>
      <c r="O2832" s="15"/>
      <c r="P2832" s="15"/>
      <c r="Q2832" s="16"/>
      <c r="R2832" s="16"/>
      <c r="S2832" s="16"/>
      <c r="T2832" s="17"/>
      <c r="U2832" s="11"/>
      <c r="V2832" s="16"/>
      <c r="W2832" s="11"/>
      <c r="X2832" s="11"/>
      <c r="Y2832" s="15"/>
      <c r="Z2832" s="11"/>
    </row>
    <row r="2833" spans="1:26" x14ac:dyDescent="0.25">
      <c r="A2833" s="11"/>
      <c r="B2833" s="11"/>
      <c r="C2833" s="11"/>
      <c r="D2833" s="11"/>
      <c r="E2833" s="12"/>
      <c r="F2833" s="13"/>
      <c r="G2833" s="13"/>
      <c r="H2833" s="13"/>
      <c r="I2833" s="11"/>
      <c r="J2833" s="11"/>
      <c r="K2833" s="11"/>
      <c r="L2833" s="11"/>
      <c r="M2833" s="15"/>
      <c r="N2833" s="15"/>
      <c r="O2833" s="15"/>
      <c r="P2833" s="15"/>
      <c r="Q2833" s="16"/>
      <c r="R2833" s="16"/>
      <c r="S2833" s="16"/>
      <c r="T2833" s="17"/>
      <c r="U2833" s="11"/>
      <c r="V2833" s="16"/>
      <c r="W2833" s="11"/>
      <c r="X2833" s="11"/>
      <c r="Y2833" s="15"/>
      <c r="Z2833" s="11"/>
    </row>
    <row r="2834" spans="1:26" x14ac:dyDescent="0.25">
      <c r="A2834" s="11"/>
      <c r="B2834" s="11"/>
      <c r="C2834" s="11"/>
      <c r="D2834" s="11"/>
      <c r="E2834" s="12"/>
      <c r="F2834" s="13"/>
      <c r="G2834" s="13"/>
      <c r="H2834" s="13"/>
      <c r="I2834" s="11"/>
      <c r="J2834" s="11"/>
      <c r="K2834" s="11"/>
      <c r="L2834" s="11"/>
      <c r="M2834" s="15"/>
      <c r="N2834" s="15"/>
      <c r="O2834" s="15"/>
      <c r="P2834" s="15"/>
      <c r="Q2834" s="16"/>
      <c r="R2834" s="16"/>
      <c r="S2834" s="16"/>
      <c r="T2834" s="17"/>
      <c r="U2834" s="11"/>
      <c r="V2834" s="16"/>
      <c r="W2834" s="11"/>
      <c r="X2834" s="11"/>
      <c r="Y2834" s="15"/>
      <c r="Z2834" s="11"/>
    </row>
    <row r="2835" spans="1:26" x14ac:dyDescent="0.25">
      <c r="A2835" s="11"/>
      <c r="B2835" s="11"/>
      <c r="C2835" s="11"/>
      <c r="D2835" s="11"/>
      <c r="E2835" s="12"/>
      <c r="F2835" s="13"/>
      <c r="G2835" s="13"/>
      <c r="H2835" s="13"/>
      <c r="I2835" s="11"/>
      <c r="J2835" s="11"/>
      <c r="K2835" s="11"/>
      <c r="L2835" s="11"/>
      <c r="M2835" s="15"/>
      <c r="N2835" s="15"/>
      <c r="O2835" s="15"/>
      <c r="P2835" s="15"/>
      <c r="Q2835" s="16"/>
      <c r="R2835" s="16"/>
      <c r="S2835" s="16"/>
      <c r="T2835" s="17"/>
      <c r="U2835" s="11"/>
      <c r="V2835" s="16"/>
      <c r="W2835" s="11"/>
      <c r="X2835" s="11"/>
      <c r="Y2835" s="15"/>
      <c r="Z2835" s="11"/>
    </row>
    <row r="2836" spans="1:26" x14ac:dyDescent="0.25">
      <c r="A2836" s="11"/>
      <c r="B2836" s="11"/>
      <c r="C2836" s="11"/>
      <c r="D2836" s="11"/>
      <c r="E2836" s="12"/>
      <c r="F2836" s="13"/>
      <c r="G2836" s="13"/>
      <c r="H2836" s="13"/>
      <c r="I2836" s="11"/>
      <c r="J2836" s="11"/>
      <c r="K2836" s="11"/>
      <c r="L2836" s="11"/>
      <c r="M2836" s="15"/>
      <c r="N2836" s="15"/>
      <c r="O2836" s="15"/>
      <c r="P2836" s="15"/>
      <c r="Q2836" s="16"/>
      <c r="R2836" s="16"/>
      <c r="S2836" s="16"/>
      <c r="T2836" s="17"/>
      <c r="U2836" s="11"/>
      <c r="V2836" s="16"/>
      <c r="W2836" s="11"/>
      <c r="X2836" s="11"/>
      <c r="Y2836" s="15"/>
      <c r="Z2836" s="11"/>
    </row>
    <row r="2837" spans="1:26" x14ac:dyDescent="0.25">
      <c r="A2837" s="11"/>
      <c r="B2837" s="11"/>
      <c r="C2837" s="11"/>
      <c r="D2837" s="11"/>
      <c r="E2837" s="12"/>
      <c r="F2837" s="13"/>
      <c r="G2837" s="13"/>
      <c r="H2837" s="13"/>
      <c r="I2837" s="11"/>
      <c r="J2837" s="11"/>
      <c r="K2837" s="11"/>
      <c r="L2837" s="11"/>
      <c r="M2837" s="15"/>
      <c r="N2837" s="15"/>
      <c r="O2837" s="15"/>
      <c r="P2837" s="15"/>
      <c r="Q2837" s="16"/>
      <c r="R2837" s="16"/>
      <c r="S2837" s="16"/>
      <c r="T2837" s="17"/>
      <c r="U2837" s="11"/>
      <c r="V2837" s="16"/>
      <c r="W2837" s="11"/>
      <c r="X2837" s="11"/>
      <c r="Y2837" s="15"/>
      <c r="Z2837" s="11"/>
    </row>
    <row r="2838" spans="1:26" x14ac:dyDescent="0.25">
      <c r="A2838" s="11"/>
      <c r="B2838" s="11"/>
      <c r="C2838" s="11"/>
      <c r="D2838" s="11"/>
      <c r="E2838" s="12"/>
      <c r="F2838" s="13"/>
      <c r="G2838" s="13"/>
      <c r="H2838" s="13"/>
      <c r="I2838" s="11"/>
      <c r="J2838" s="11"/>
      <c r="K2838" s="11"/>
      <c r="L2838" s="11"/>
      <c r="M2838" s="15"/>
      <c r="N2838" s="15"/>
      <c r="O2838" s="15"/>
      <c r="P2838" s="15"/>
      <c r="Q2838" s="16"/>
      <c r="R2838" s="16"/>
      <c r="S2838" s="16"/>
      <c r="T2838" s="17"/>
      <c r="U2838" s="11"/>
      <c r="V2838" s="16"/>
      <c r="W2838" s="11"/>
      <c r="X2838" s="11"/>
      <c r="Y2838" s="15"/>
      <c r="Z2838" s="11"/>
    </row>
    <row r="2839" spans="1:26" x14ac:dyDescent="0.25">
      <c r="A2839" s="19"/>
      <c r="B2839" s="19"/>
      <c r="C2839" s="19"/>
      <c r="D2839" s="19"/>
      <c r="E2839" s="19"/>
      <c r="F2839" s="20"/>
      <c r="G2839" s="13"/>
      <c r="H2839" s="20"/>
      <c r="I2839" s="19"/>
      <c r="J2839" s="19"/>
      <c r="K2839" s="19"/>
      <c r="L2839" s="19"/>
      <c r="M2839" s="21"/>
      <c r="N2839" s="21"/>
      <c r="O2839" s="21"/>
      <c r="P2839" s="21"/>
      <c r="Q2839" s="22"/>
      <c r="R2839" s="19"/>
      <c r="S2839" s="22"/>
      <c r="T2839" s="23"/>
      <c r="U2839" s="19"/>
      <c r="V2839" s="22"/>
      <c r="W2839" s="19"/>
      <c r="X2839" s="19"/>
      <c r="Y2839" s="21"/>
      <c r="Z2839" s="19"/>
    </row>
    <row r="2840" spans="1:26" x14ac:dyDescent="0.25">
      <c r="A2840" s="11"/>
      <c r="B2840" s="11"/>
      <c r="C2840" s="11"/>
      <c r="D2840" s="11"/>
      <c r="E2840" s="12"/>
      <c r="F2840" s="13"/>
      <c r="G2840" s="13"/>
      <c r="H2840" s="13"/>
      <c r="I2840" s="11"/>
      <c r="J2840" s="11"/>
      <c r="K2840" s="11"/>
      <c r="L2840" s="11"/>
      <c r="M2840" s="15"/>
      <c r="N2840" s="15"/>
      <c r="O2840" s="15"/>
      <c r="P2840" s="15"/>
      <c r="Q2840" s="16"/>
      <c r="R2840" s="16"/>
      <c r="S2840" s="16"/>
      <c r="T2840" s="17"/>
      <c r="U2840" s="11"/>
      <c r="V2840" s="16"/>
      <c r="W2840" s="11"/>
      <c r="X2840" s="11"/>
      <c r="Y2840" s="15"/>
      <c r="Z2840" s="11"/>
    </row>
    <row r="2841" spans="1:26" x14ac:dyDescent="0.25">
      <c r="A2841" s="11"/>
      <c r="B2841" s="11"/>
      <c r="C2841" s="11"/>
      <c r="D2841" s="11"/>
      <c r="E2841" s="12"/>
      <c r="F2841" s="13"/>
      <c r="G2841" s="13"/>
      <c r="H2841" s="13"/>
      <c r="I2841" s="11"/>
      <c r="J2841" s="11"/>
      <c r="K2841" s="11"/>
      <c r="L2841" s="11"/>
      <c r="M2841" s="15"/>
      <c r="N2841" s="15"/>
      <c r="O2841" s="15"/>
      <c r="P2841" s="15"/>
      <c r="Q2841" s="16"/>
      <c r="R2841" s="16"/>
      <c r="S2841" s="16"/>
      <c r="T2841" s="17"/>
      <c r="U2841" s="11"/>
      <c r="V2841" s="16"/>
      <c r="W2841" s="11"/>
      <c r="X2841" s="11"/>
      <c r="Y2841" s="15"/>
      <c r="Z2841" s="11"/>
    </row>
    <row r="2842" spans="1:26" x14ac:dyDescent="0.25">
      <c r="A2842" s="11"/>
      <c r="B2842" s="11"/>
      <c r="C2842" s="11"/>
      <c r="D2842" s="11"/>
      <c r="E2842" s="12"/>
      <c r="F2842" s="13"/>
      <c r="G2842" s="13"/>
      <c r="H2842" s="13"/>
      <c r="I2842" s="11"/>
      <c r="J2842" s="11"/>
      <c r="K2842" s="11"/>
      <c r="L2842" s="11"/>
      <c r="M2842" s="15"/>
      <c r="N2842" s="15"/>
      <c r="O2842" s="15"/>
      <c r="P2842" s="15"/>
      <c r="Q2842" s="16"/>
      <c r="R2842" s="16"/>
      <c r="S2842" s="16"/>
      <c r="T2842" s="17"/>
      <c r="U2842" s="11"/>
      <c r="V2842" s="16"/>
      <c r="W2842" s="11"/>
      <c r="X2842" s="11"/>
      <c r="Y2842" s="15"/>
      <c r="Z2842" s="11"/>
    </row>
    <row r="2843" spans="1:26" x14ac:dyDescent="0.25">
      <c r="A2843" s="11"/>
      <c r="B2843" s="11"/>
      <c r="C2843" s="11"/>
      <c r="D2843" s="11"/>
      <c r="E2843" s="12"/>
      <c r="F2843" s="13"/>
      <c r="G2843" s="13"/>
      <c r="H2843" s="13"/>
      <c r="I2843" s="11"/>
      <c r="J2843" s="11"/>
      <c r="K2843" s="11"/>
      <c r="L2843" s="11"/>
      <c r="M2843" s="15"/>
      <c r="N2843" s="15"/>
      <c r="O2843" s="15"/>
      <c r="P2843" s="15"/>
      <c r="Q2843" s="16"/>
      <c r="R2843" s="16"/>
      <c r="S2843" s="16"/>
      <c r="T2843" s="17"/>
      <c r="U2843" s="11"/>
      <c r="V2843" s="16"/>
      <c r="W2843" s="11"/>
      <c r="X2843" s="11"/>
      <c r="Y2843" s="15"/>
      <c r="Z2843" s="11"/>
    </row>
    <row r="2844" spans="1:26" x14ac:dyDescent="0.25">
      <c r="A2844" s="11"/>
      <c r="B2844" s="11"/>
      <c r="C2844" s="11"/>
      <c r="D2844" s="11"/>
      <c r="E2844" s="12"/>
      <c r="F2844" s="13"/>
      <c r="G2844" s="13"/>
      <c r="H2844" s="13"/>
      <c r="I2844" s="11"/>
      <c r="J2844" s="11"/>
      <c r="K2844" s="11"/>
      <c r="L2844" s="11"/>
      <c r="M2844" s="15"/>
      <c r="N2844" s="15"/>
      <c r="O2844" s="15"/>
      <c r="P2844" s="15"/>
      <c r="Q2844" s="16"/>
      <c r="R2844" s="16"/>
      <c r="S2844" s="16"/>
      <c r="T2844" s="17"/>
      <c r="U2844" s="11"/>
      <c r="V2844" s="16"/>
      <c r="W2844" s="11"/>
      <c r="X2844" s="11"/>
      <c r="Y2844" s="15"/>
      <c r="Z2844" s="11"/>
    </row>
    <row r="2845" spans="1:26" x14ac:dyDescent="0.25">
      <c r="A2845" s="11"/>
      <c r="B2845" s="11"/>
      <c r="C2845" s="11"/>
      <c r="D2845" s="11"/>
      <c r="E2845" s="12"/>
      <c r="F2845" s="13"/>
      <c r="G2845" s="13"/>
      <c r="H2845" s="13"/>
      <c r="I2845" s="11"/>
      <c r="J2845" s="11"/>
      <c r="K2845" s="11"/>
      <c r="L2845" s="11"/>
      <c r="M2845" s="15"/>
      <c r="N2845" s="15"/>
      <c r="O2845" s="15"/>
      <c r="P2845" s="15"/>
      <c r="Q2845" s="16"/>
      <c r="R2845" s="16"/>
      <c r="S2845" s="16"/>
      <c r="T2845" s="17"/>
      <c r="U2845" s="11"/>
      <c r="V2845" s="16"/>
      <c r="W2845" s="11"/>
      <c r="X2845" s="11"/>
      <c r="Y2845" s="15"/>
      <c r="Z2845" s="11"/>
    </row>
    <row r="2846" spans="1:26" x14ac:dyDescent="0.25">
      <c r="A2846" s="11"/>
      <c r="B2846" s="11"/>
      <c r="C2846" s="11"/>
      <c r="D2846" s="11"/>
      <c r="E2846" s="12"/>
      <c r="F2846" s="13"/>
      <c r="G2846" s="13"/>
      <c r="H2846" s="13"/>
      <c r="I2846" s="11"/>
      <c r="J2846" s="11"/>
      <c r="K2846" s="11"/>
      <c r="L2846" s="11"/>
      <c r="M2846" s="15"/>
      <c r="N2846" s="15"/>
      <c r="O2846" s="15"/>
      <c r="P2846" s="15"/>
      <c r="Q2846" s="16"/>
      <c r="R2846" s="16"/>
      <c r="S2846" s="16"/>
      <c r="T2846" s="17"/>
      <c r="U2846" s="11"/>
      <c r="V2846" s="16"/>
      <c r="W2846" s="11"/>
      <c r="X2846" s="11"/>
      <c r="Y2846" s="15"/>
      <c r="Z2846" s="11"/>
    </row>
    <row r="2847" spans="1:26" x14ac:dyDescent="0.25">
      <c r="A2847" s="11"/>
      <c r="B2847" s="11"/>
      <c r="C2847" s="11"/>
      <c r="D2847" s="11"/>
      <c r="E2847" s="12"/>
      <c r="F2847" s="13"/>
      <c r="G2847" s="13"/>
      <c r="H2847" s="13"/>
      <c r="I2847" s="11"/>
      <c r="J2847" s="11"/>
      <c r="K2847" s="11"/>
      <c r="L2847" s="11"/>
      <c r="M2847" s="15"/>
      <c r="N2847" s="15"/>
      <c r="O2847" s="15"/>
      <c r="P2847" s="15"/>
      <c r="Q2847" s="16"/>
      <c r="R2847" s="16"/>
      <c r="S2847" s="16"/>
      <c r="T2847" s="17"/>
      <c r="U2847" s="11"/>
      <c r="V2847" s="16"/>
      <c r="W2847" s="11"/>
      <c r="X2847" s="11"/>
      <c r="Y2847" s="15"/>
      <c r="Z2847" s="11"/>
    </row>
    <row r="2848" spans="1:26" x14ac:dyDescent="0.25">
      <c r="A2848" s="11"/>
      <c r="B2848" s="11"/>
      <c r="C2848" s="11"/>
      <c r="D2848" s="11"/>
      <c r="E2848" s="12"/>
      <c r="F2848" s="13"/>
      <c r="G2848" s="13"/>
      <c r="H2848" s="13"/>
      <c r="I2848" s="11"/>
      <c r="J2848" s="11"/>
      <c r="K2848" s="11"/>
      <c r="L2848" s="11"/>
      <c r="M2848" s="15"/>
      <c r="N2848" s="15"/>
      <c r="O2848" s="15"/>
      <c r="P2848" s="15"/>
      <c r="Q2848" s="16"/>
      <c r="R2848" s="16"/>
      <c r="S2848" s="16"/>
      <c r="T2848" s="17"/>
      <c r="U2848" s="11"/>
      <c r="V2848" s="16"/>
      <c r="W2848" s="11"/>
      <c r="X2848" s="11"/>
      <c r="Y2848" s="15"/>
      <c r="Z2848" s="11"/>
    </row>
    <row r="2849" spans="1:26" x14ac:dyDescent="0.25">
      <c r="A2849" s="11"/>
      <c r="B2849" s="11"/>
      <c r="C2849" s="11"/>
      <c r="D2849" s="11"/>
      <c r="E2849" s="12"/>
      <c r="F2849" s="13"/>
      <c r="G2849" s="13"/>
      <c r="H2849" s="13"/>
      <c r="I2849" s="11"/>
      <c r="J2849" s="11"/>
      <c r="K2849" s="11"/>
      <c r="L2849" s="11"/>
      <c r="M2849" s="15"/>
      <c r="N2849" s="15"/>
      <c r="O2849" s="15"/>
      <c r="P2849" s="15"/>
      <c r="Q2849" s="16"/>
      <c r="R2849" s="16"/>
      <c r="S2849" s="16"/>
      <c r="T2849" s="17"/>
      <c r="U2849" s="11"/>
      <c r="V2849" s="16"/>
      <c r="W2849" s="11"/>
      <c r="X2849" s="11"/>
      <c r="Y2849" s="15"/>
      <c r="Z2849" s="11"/>
    </row>
    <row r="2850" spans="1:26" x14ac:dyDescent="0.25">
      <c r="A2850" s="11"/>
      <c r="B2850" s="11"/>
      <c r="C2850" s="11"/>
      <c r="D2850" s="11"/>
      <c r="E2850" s="12"/>
      <c r="F2850" s="13"/>
      <c r="G2850" s="13"/>
      <c r="H2850" s="13"/>
      <c r="I2850" s="11"/>
      <c r="J2850" s="11"/>
      <c r="K2850" s="11"/>
      <c r="L2850" s="11"/>
      <c r="M2850" s="15"/>
      <c r="N2850" s="15"/>
      <c r="O2850" s="15"/>
      <c r="P2850" s="15"/>
      <c r="Q2850" s="16"/>
      <c r="R2850" s="16"/>
      <c r="S2850" s="16"/>
      <c r="T2850" s="17"/>
      <c r="U2850" s="11"/>
      <c r="V2850" s="16"/>
      <c r="W2850" s="11"/>
      <c r="X2850" s="11"/>
      <c r="Y2850" s="15"/>
      <c r="Z2850" s="11"/>
    </row>
    <row r="2851" spans="1:26" x14ac:dyDescent="0.25">
      <c r="A2851" s="11"/>
      <c r="B2851" s="11"/>
      <c r="C2851" s="11"/>
      <c r="D2851" s="11"/>
      <c r="E2851" s="12"/>
      <c r="F2851" s="13"/>
      <c r="G2851" s="13"/>
      <c r="H2851" s="13"/>
      <c r="I2851" s="11"/>
      <c r="J2851" s="11"/>
      <c r="K2851" s="11"/>
      <c r="L2851" s="11"/>
      <c r="M2851" s="15"/>
      <c r="N2851" s="15"/>
      <c r="O2851" s="15"/>
      <c r="P2851" s="15"/>
      <c r="Q2851" s="16"/>
      <c r="R2851" s="16"/>
      <c r="S2851" s="16"/>
      <c r="T2851" s="17"/>
      <c r="U2851" s="11"/>
      <c r="V2851" s="16"/>
      <c r="W2851" s="11"/>
      <c r="X2851" s="11"/>
      <c r="Y2851" s="15"/>
      <c r="Z2851" s="11"/>
    </row>
    <row r="2852" spans="1:26" x14ac:dyDescent="0.25">
      <c r="A2852" s="11"/>
      <c r="B2852" s="11"/>
      <c r="C2852" s="11"/>
      <c r="D2852" s="11"/>
      <c r="E2852" s="12"/>
      <c r="F2852" s="13"/>
      <c r="G2852" s="13"/>
      <c r="H2852" s="13"/>
      <c r="I2852" s="11"/>
      <c r="J2852" s="11"/>
      <c r="K2852" s="11"/>
      <c r="L2852" s="11"/>
      <c r="M2852" s="15"/>
      <c r="N2852" s="15"/>
      <c r="O2852" s="15"/>
      <c r="P2852" s="15"/>
      <c r="Q2852" s="16"/>
      <c r="R2852" s="16"/>
      <c r="S2852" s="16"/>
      <c r="T2852" s="17"/>
      <c r="U2852" s="11"/>
      <c r="V2852" s="16"/>
      <c r="W2852" s="11"/>
      <c r="X2852" s="11"/>
      <c r="Y2852" s="15"/>
      <c r="Z2852" s="11"/>
    </row>
    <row r="2853" spans="1:26" x14ac:dyDescent="0.25">
      <c r="A2853" s="11"/>
      <c r="B2853" s="11"/>
      <c r="C2853" s="11"/>
      <c r="D2853" s="11"/>
      <c r="E2853" s="12"/>
      <c r="F2853" s="13"/>
      <c r="G2853" s="13"/>
      <c r="H2853" s="13"/>
      <c r="I2853" s="11"/>
      <c r="J2853" s="11"/>
      <c r="K2853" s="11"/>
      <c r="L2853" s="11"/>
      <c r="M2853" s="15"/>
      <c r="N2853" s="15"/>
      <c r="O2853" s="15"/>
      <c r="P2853" s="15"/>
      <c r="Q2853" s="16"/>
      <c r="R2853" s="16"/>
      <c r="S2853" s="16"/>
      <c r="T2853" s="17"/>
      <c r="U2853" s="11"/>
      <c r="V2853" s="16"/>
      <c r="W2853" s="11"/>
      <c r="X2853" s="11"/>
      <c r="Y2853" s="15"/>
      <c r="Z2853" s="11"/>
    </row>
    <row r="2854" spans="1:26" x14ac:dyDescent="0.25">
      <c r="A2854" s="11"/>
      <c r="B2854" s="11"/>
      <c r="C2854" s="11"/>
      <c r="D2854" s="11"/>
      <c r="E2854" s="12"/>
      <c r="F2854" s="13"/>
      <c r="G2854" s="13"/>
      <c r="H2854" s="13"/>
      <c r="I2854" s="11"/>
      <c r="J2854" s="11"/>
      <c r="K2854" s="11"/>
      <c r="L2854" s="11"/>
      <c r="M2854" s="15"/>
      <c r="N2854" s="15"/>
      <c r="O2854" s="15"/>
      <c r="P2854" s="15"/>
      <c r="Q2854" s="16"/>
      <c r="R2854" s="16"/>
      <c r="S2854" s="16"/>
      <c r="T2854" s="17"/>
      <c r="U2854" s="11"/>
      <c r="V2854" s="16"/>
      <c r="W2854" s="11"/>
      <c r="X2854" s="11"/>
      <c r="Y2854" s="15"/>
      <c r="Z2854" s="11"/>
    </row>
    <row r="2855" spans="1:26" x14ac:dyDescent="0.25">
      <c r="A2855" s="11"/>
      <c r="B2855" s="11"/>
      <c r="C2855" s="11"/>
      <c r="D2855" s="11"/>
      <c r="E2855" s="12"/>
      <c r="F2855" s="13"/>
      <c r="G2855" s="13"/>
      <c r="H2855" s="13"/>
      <c r="I2855" s="11"/>
      <c r="J2855" s="11"/>
      <c r="K2855" s="11"/>
      <c r="L2855" s="11"/>
      <c r="M2855" s="15"/>
      <c r="N2855" s="15"/>
      <c r="O2855" s="15"/>
      <c r="P2855" s="15"/>
      <c r="Q2855" s="16"/>
      <c r="R2855" s="16"/>
      <c r="S2855" s="16"/>
      <c r="T2855" s="17"/>
      <c r="U2855" s="11"/>
      <c r="V2855" s="16"/>
      <c r="W2855" s="11"/>
      <c r="X2855" s="11"/>
      <c r="Y2855" s="15"/>
      <c r="Z2855" s="11"/>
    </row>
    <row r="2856" spans="1:26" x14ac:dyDescent="0.25">
      <c r="A2856" s="11"/>
      <c r="B2856" s="11"/>
      <c r="C2856" s="11"/>
      <c r="D2856" s="11"/>
      <c r="E2856" s="12"/>
      <c r="F2856" s="13"/>
      <c r="G2856" s="13"/>
      <c r="H2856" s="13"/>
      <c r="I2856" s="11"/>
      <c r="J2856" s="11"/>
      <c r="K2856" s="11"/>
      <c r="L2856" s="11"/>
      <c r="M2856" s="15"/>
      <c r="N2856" s="15"/>
      <c r="O2856" s="15"/>
      <c r="P2856" s="15"/>
      <c r="Q2856" s="16"/>
      <c r="R2856" s="16"/>
      <c r="S2856" s="16"/>
      <c r="T2856" s="17"/>
      <c r="U2856" s="11"/>
      <c r="V2856" s="16"/>
      <c r="W2856" s="11"/>
      <c r="X2856" s="11"/>
      <c r="Y2856" s="15"/>
      <c r="Z2856" s="11"/>
    </row>
    <row r="2857" spans="1:26" x14ac:dyDescent="0.25">
      <c r="A2857" s="11"/>
      <c r="B2857" s="11"/>
      <c r="C2857" s="11"/>
      <c r="D2857" s="11"/>
      <c r="E2857" s="12"/>
      <c r="F2857" s="13"/>
      <c r="G2857" s="13"/>
      <c r="H2857" s="13"/>
      <c r="I2857" s="11"/>
      <c r="J2857" s="11"/>
      <c r="K2857" s="11"/>
      <c r="L2857" s="11"/>
      <c r="M2857" s="15"/>
      <c r="N2857" s="15"/>
      <c r="O2857" s="15"/>
      <c r="P2857" s="15"/>
      <c r="Q2857" s="16"/>
      <c r="R2857" s="16"/>
      <c r="S2857" s="16"/>
      <c r="T2857" s="17"/>
      <c r="U2857" s="11"/>
      <c r="V2857" s="16"/>
      <c r="W2857" s="11"/>
      <c r="X2857" s="11"/>
      <c r="Y2857" s="15"/>
      <c r="Z2857" s="11"/>
    </row>
    <row r="2858" spans="1:26" x14ac:dyDescent="0.25">
      <c r="A2858" s="11"/>
      <c r="B2858" s="11"/>
      <c r="C2858" s="11"/>
      <c r="D2858" s="11"/>
      <c r="E2858" s="12"/>
      <c r="F2858" s="13"/>
      <c r="G2858" s="13"/>
      <c r="H2858" s="13"/>
      <c r="I2858" s="11"/>
      <c r="J2858" s="11"/>
      <c r="K2858" s="11"/>
      <c r="L2858" s="11"/>
      <c r="M2858" s="15"/>
      <c r="N2858" s="15"/>
      <c r="O2858" s="15"/>
      <c r="P2858" s="15"/>
      <c r="Q2858" s="16"/>
      <c r="R2858" s="16"/>
      <c r="S2858" s="16"/>
      <c r="T2858" s="17"/>
      <c r="U2858" s="11"/>
      <c r="V2858" s="16"/>
      <c r="W2858" s="11"/>
      <c r="X2858" s="11"/>
      <c r="Y2858" s="15"/>
      <c r="Z2858" s="11"/>
    </row>
    <row r="2859" spans="1:26" x14ac:dyDescent="0.25">
      <c r="A2859" s="11"/>
      <c r="B2859" s="11"/>
      <c r="C2859" s="11"/>
      <c r="D2859" s="11"/>
      <c r="E2859" s="12"/>
      <c r="F2859" s="13"/>
      <c r="G2859" s="13"/>
      <c r="H2859" s="13"/>
      <c r="I2859" s="11"/>
      <c r="J2859" s="11"/>
      <c r="K2859" s="11"/>
      <c r="L2859" s="11"/>
      <c r="M2859" s="15"/>
      <c r="N2859" s="15"/>
      <c r="O2859" s="15"/>
      <c r="P2859" s="15"/>
      <c r="Q2859" s="16"/>
      <c r="R2859" s="16"/>
      <c r="S2859" s="16"/>
      <c r="T2859" s="17"/>
      <c r="U2859" s="11"/>
      <c r="V2859" s="16"/>
      <c r="W2859" s="11"/>
      <c r="X2859" s="11"/>
      <c r="Y2859" s="15"/>
      <c r="Z2859" s="11"/>
    </row>
    <row r="2860" spans="1:26" x14ac:dyDescent="0.25">
      <c r="A2860" s="11"/>
      <c r="B2860" s="11"/>
      <c r="C2860" s="11"/>
      <c r="D2860" s="11"/>
      <c r="E2860" s="12"/>
      <c r="F2860" s="13"/>
      <c r="G2860" s="13"/>
      <c r="H2860" s="13"/>
      <c r="I2860" s="11"/>
      <c r="J2860" s="11"/>
      <c r="K2860" s="11"/>
      <c r="L2860" s="11"/>
      <c r="M2860" s="15"/>
      <c r="N2860" s="15"/>
      <c r="O2860" s="15"/>
      <c r="P2860" s="15"/>
      <c r="Q2860" s="16"/>
      <c r="R2860" s="16"/>
      <c r="S2860" s="16"/>
      <c r="T2860" s="17"/>
      <c r="U2860" s="11"/>
      <c r="V2860" s="16"/>
      <c r="W2860" s="11"/>
      <c r="X2860" s="11"/>
      <c r="Y2860" s="15"/>
      <c r="Z2860" s="11"/>
    </row>
    <row r="2861" spans="1:26" x14ac:dyDescent="0.25">
      <c r="A2861" s="11"/>
      <c r="B2861" s="11"/>
      <c r="C2861" s="11"/>
      <c r="D2861" s="11"/>
      <c r="E2861" s="12"/>
      <c r="F2861" s="13"/>
      <c r="G2861" s="13"/>
      <c r="H2861" s="13"/>
      <c r="I2861" s="11"/>
      <c r="J2861" s="11"/>
      <c r="K2861" s="11"/>
      <c r="L2861" s="11"/>
      <c r="M2861" s="15"/>
      <c r="N2861" s="15"/>
      <c r="O2861" s="15"/>
      <c r="P2861" s="15"/>
      <c r="Q2861" s="16"/>
      <c r="R2861" s="16"/>
      <c r="S2861" s="16"/>
      <c r="T2861" s="17"/>
      <c r="U2861" s="11"/>
      <c r="V2861" s="16"/>
      <c r="W2861" s="11"/>
      <c r="X2861" s="11"/>
      <c r="Y2861" s="15"/>
      <c r="Z2861" s="11"/>
    </row>
    <row r="2862" spans="1:26" x14ac:dyDescent="0.25">
      <c r="A2862" s="11"/>
      <c r="B2862" s="11"/>
      <c r="C2862" s="11"/>
      <c r="D2862" s="11"/>
      <c r="E2862" s="12"/>
      <c r="F2862" s="13"/>
      <c r="G2862" s="13"/>
      <c r="H2862" s="13"/>
      <c r="I2862" s="11"/>
      <c r="J2862" s="11"/>
      <c r="K2862" s="11"/>
      <c r="L2862" s="11"/>
      <c r="M2862" s="15"/>
      <c r="N2862" s="15"/>
      <c r="O2862" s="15"/>
      <c r="P2862" s="15"/>
      <c r="Q2862" s="16"/>
      <c r="R2862" s="16"/>
      <c r="S2862" s="16"/>
      <c r="T2862" s="17"/>
      <c r="U2862" s="11"/>
      <c r="V2862" s="16"/>
      <c r="W2862" s="11"/>
      <c r="X2862" s="11"/>
      <c r="Y2862" s="15"/>
      <c r="Z2862" s="11"/>
    </row>
    <row r="2863" spans="1:26" x14ac:dyDescent="0.25">
      <c r="A2863" s="11"/>
      <c r="B2863" s="11"/>
      <c r="C2863" s="11"/>
      <c r="D2863" s="11"/>
      <c r="E2863" s="12"/>
      <c r="F2863" s="13"/>
      <c r="G2863" s="13"/>
      <c r="H2863" s="13"/>
      <c r="I2863" s="11"/>
      <c r="J2863" s="11"/>
      <c r="K2863" s="11"/>
      <c r="L2863" s="11"/>
      <c r="M2863" s="15"/>
      <c r="N2863" s="15"/>
      <c r="O2863" s="15"/>
      <c r="P2863" s="15"/>
      <c r="Q2863" s="16"/>
      <c r="R2863" s="16"/>
      <c r="S2863" s="16"/>
      <c r="T2863" s="17"/>
      <c r="U2863" s="11"/>
      <c r="V2863" s="16"/>
      <c r="W2863" s="11"/>
      <c r="X2863" s="11"/>
      <c r="Y2863" s="15"/>
      <c r="Z2863" s="11"/>
    </row>
    <row r="2864" spans="1:26" x14ac:dyDescent="0.25">
      <c r="A2864" s="11"/>
      <c r="B2864" s="11"/>
      <c r="C2864" s="11"/>
      <c r="D2864" s="11"/>
      <c r="E2864" s="12"/>
      <c r="F2864" s="13"/>
      <c r="G2864" s="13"/>
      <c r="H2864" s="13"/>
      <c r="I2864" s="11"/>
      <c r="J2864" s="11"/>
      <c r="K2864" s="11"/>
      <c r="L2864" s="11"/>
      <c r="M2864" s="15"/>
      <c r="N2864" s="15"/>
      <c r="O2864" s="15"/>
      <c r="P2864" s="15"/>
      <c r="Q2864" s="16"/>
      <c r="R2864" s="16"/>
      <c r="S2864" s="16"/>
      <c r="T2864" s="17"/>
      <c r="U2864" s="11"/>
      <c r="V2864" s="16"/>
      <c r="W2864" s="11"/>
      <c r="X2864" s="11"/>
      <c r="Y2864" s="15"/>
      <c r="Z2864" s="11"/>
    </row>
    <row r="2865" spans="1:26" x14ac:dyDescent="0.25">
      <c r="A2865" s="11"/>
      <c r="B2865" s="11"/>
      <c r="C2865" s="11"/>
      <c r="D2865" s="11"/>
      <c r="E2865" s="12"/>
      <c r="F2865" s="13"/>
      <c r="G2865" s="13"/>
      <c r="H2865" s="13"/>
      <c r="I2865" s="11"/>
      <c r="J2865" s="11"/>
      <c r="K2865" s="11"/>
      <c r="L2865" s="11"/>
      <c r="M2865" s="15"/>
      <c r="N2865" s="15"/>
      <c r="O2865" s="15"/>
      <c r="P2865" s="15"/>
      <c r="Q2865" s="16"/>
      <c r="R2865" s="16"/>
      <c r="S2865" s="16"/>
      <c r="T2865" s="17"/>
      <c r="U2865" s="11"/>
      <c r="V2865" s="16"/>
      <c r="W2865" s="11"/>
      <c r="X2865" s="11"/>
      <c r="Y2865" s="15"/>
      <c r="Z2865" s="11"/>
    </row>
    <row r="2866" spans="1:26" x14ac:dyDescent="0.25">
      <c r="A2866" s="11"/>
      <c r="B2866" s="11"/>
      <c r="C2866" s="11"/>
      <c r="D2866" s="11"/>
      <c r="E2866" s="12"/>
      <c r="F2866" s="13"/>
      <c r="G2866" s="13"/>
      <c r="H2866" s="13"/>
      <c r="I2866" s="11"/>
      <c r="J2866" s="11"/>
      <c r="K2866" s="11"/>
      <c r="L2866" s="11"/>
      <c r="M2866" s="15"/>
      <c r="N2866" s="15"/>
      <c r="O2866" s="15"/>
      <c r="P2866" s="15"/>
      <c r="Q2866" s="16"/>
      <c r="R2866" s="16"/>
      <c r="S2866" s="16"/>
      <c r="T2866" s="17"/>
      <c r="U2866" s="11"/>
      <c r="V2866" s="16"/>
      <c r="W2866" s="11"/>
      <c r="X2866" s="11"/>
      <c r="Y2866" s="15"/>
      <c r="Z2866" s="11"/>
    </row>
    <row r="2867" spans="1:26" x14ac:dyDescent="0.25">
      <c r="A2867" s="11"/>
      <c r="B2867" s="11"/>
      <c r="C2867" s="11"/>
      <c r="D2867" s="11"/>
      <c r="E2867" s="12"/>
      <c r="F2867" s="13"/>
      <c r="G2867" s="13"/>
      <c r="H2867" s="13"/>
      <c r="I2867" s="11"/>
      <c r="J2867" s="11"/>
      <c r="K2867" s="11"/>
      <c r="L2867" s="11"/>
      <c r="M2867" s="15"/>
      <c r="N2867" s="15"/>
      <c r="O2867" s="15"/>
      <c r="P2867" s="15"/>
      <c r="Q2867" s="16"/>
      <c r="R2867" s="16"/>
      <c r="S2867" s="16"/>
      <c r="T2867" s="17"/>
      <c r="U2867" s="11"/>
      <c r="V2867" s="16"/>
      <c r="W2867" s="11"/>
      <c r="X2867" s="11"/>
      <c r="Y2867" s="15"/>
      <c r="Z2867" s="11"/>
    </row>
    <row r="2868" spans="1:26" x14ac:dyDescent="0.25">
      <c r="A2868" s="11"/>
      <c r="B2868" s="11"/>
      <c r="C2868" s="11"/>
      <c r="D2868" s="11"/>
      <c r="E2868" s="12"/>
      <c r="F2868" s="13"/>
      <c r="G2868" s="13"/>
      <c r="H2868" s="13"/>
      <c r="I2868" s="11"/>
      <c r="J2868" s="11"/>
      <c r="K2868" s="11"/>
      <c r="L2868" s="11"/>
      <c r="M2868" s="15"/>
      <c r="N2868" s="15"/>
      <c r="O2868" s="15"/>
      <c r="P2868" s="15"/>
      <c r="Q2868" s="16"/>
      <c r="R2868" s="16"/>
      <c r="S2868" s="16"/>
      <c r="T2868" s="17"/>
      <c r="U2868" s="11"/>
      <c r="V2868" s="16"/>
      <c r="W2868" s="11"/>
      <c r="X2868" s="11"/>
      <c r="Y2868" s="15"/>
      <c r="Z2868" s="11"/>
    </row>
    <row r="2869" spans="1:26" x14ac:dyDescent="0.25">
      <c r="A2869" s="11"/>
      <c r="B2869" s="11"/>
      <c r="C2869" s="11"/>
      <c r="D2869" s="11"/>
      <c r="E2869" s="12"/>
      <c r="F2869" s="13"/>
      <c r="G2869" s="13"/>
      <c r="H2869" s="13"/>
      <c r="I2869" s="11"/>
      <c r="J2869" s="11"/>
      <c r="K2869" s="11"/>
      <c r="L2869" s="11"/>
      <c r="M2869" s="15"/>
      <c r="N2869" s="15"/>
      <c r="O2869" s="15"/>
      <c r="P2869" s="15"/>
      <c r="Q2869" s="16"/>
      <c r="R2869" s="16"/>
      <c r="S2869" s="16"/>
      <c r="T2869" s="17"/>
      <c r="U2869" s="11"/>
      <c r="V2869" s="16"/>
      <c r="W2869" s="11"/>
      <c r="X2869" s="11"/>
      <c r="Y2869" s="15"/>
      <c r="Z2869" s="11"/>
    </row>
    <row r="2870" spans="1:26" x14ac:dyDescent="0.25">
      <c r="A2870" s="11"/>
      <c r="B2870" s="11"/>
      <c r="C2870" s="11"/>
      <c r="D2870" s="11"/>
      <c r="E2870" s="12"/>
      <c r="F2870" s="13"/>
      <c r="G2870" s="13"/>
      <c r="H2870" s="13"/>
      <c r="I2870" s="11"/>
      <c r="J2870" s="11"/>
      <c r="K2870" s="11"/>
      <c r="L2870" s="11"/>
      <c r="M2870" s="15"/>
      <c r="N2870" s="15"/>
      <c r="O2870" s="15"/>
      <c r="P2870" s="15"/>
      <c r="Q2870" s="16"/>
      <c r="R2870" s="16"/>
      <c r="S2870" s="16"/>
      <c r="T2870" s="17"/>
      <c r="U2870" s="11"/>
      <c r="V2870" s="16"/>
      <c r="W2870" s="11"/>
      <c r="X2870" s="11"/>
      <c r="Y2870" s="15"/>
      <c r="Z2870" s="11"/>
    </row>
    <row r="2871" spans="1:26" x14ac:dyDescent="0.25">
      <c r="A2871" s="11"/>
      <c r="B2871" s="11"/>
      <c r="C2871" s="11"/>
      <c r="D2871" s="11"/>
      <c r="E2871" s="12"/>
      <c r="F2871" s="13"/>
      <c r="G2871" s="13"/>
      <c r="H2871" s="13"/>
      <c r="I2871" s="11"/>
      <c r="J2871" s="11"/>
      <c r="K2871" s="11"/>
      <c r="L2871" s="11"/>
      <c r="M2871" s="15"/>
      <c r="N2871" s="15"/>
      <c r="O2871" s="15"/>
      <c r="P2871" s="15"/>
      <c r="Q2871" s="16"/>
      <c r="R2871" s="16"/>
      <c r="S2871" s="16"/>
      <c r="T2871" s="17"/>
      <c r="U2871" s="11"/>
      <c r="V2871" s="16"/>
      <c r="W2871" s="11"/>
      <c r="X2871" s="11"/>
      <c r="Y2871" s="15"/>
      <c r="Z2871" s="11"/>
    </row>
    <row r="2872" spans="1:26" x14ac:dyDescent="0.25">
      <c r="A2872" s="11"/>
      <c r="B2872" s="11"/>
      <c r="C2872" s="11"/>
      <c r="D2872" s="11"/>
      <c r="E2872" s="12"/>
      <c r="F2872" s="13"/>
      <c r="G2872" s="13"/>
      <c r="H2872" s="13"/>
      <c r="I2872" s="11"/>
      <c r="J2872" s="11"/>
      <c r="K2872" s="11"/>
      <c r="L2872" s="11"/>
      <c r="M2872" s="15"/>
      <c r="N2872" s="15"/>
      <c r="O2872" s="15"/>
      <c r="P2872" s="15"/>
      <c r="Q2872" s="16"/>
      <c r="R2872" s="16"/>
      <c r="S2872" s="16"/>
      <c r="T2872" s="17"/>
      <c r="U2872" s="11"/>
      <c r="V2872" s="16"/>
      <c r="W2872" s="11"/>
      <c r="X2872" s="11"/>
      <c r="Y2872" s="15"/>
      <c r="Z2872" s="11"/>
    </row>
    <row r="2873" spans="1:26" x14ac:dyDescent="0.25">
      <c r="A2873" s="11"/>
      <c r="B2873" s="11"/>
      <c r="C2873" s="11"/>
      <c r="D2873" s="11"/>
      <c r="E2873" s="12"/>
      <c r="F2873" s="13"/>
      <c r="G2873" s="13"/>
      <c r="H2873" s="13"/>
      <c r="I2873" s="11"/>
      <c r="J2873" s="11"/>
      <c r="K2873" s="11"/>
      <c r="L2873" s="11"/>
      <c r="M2873" s="15"/>
      <c r="N2873" s="15"/>
      <c r="O2873" s="15"/>
      <c r="P2873" s="15"/>
      <c r="Q2873" s="16"/>
      <c r="R2873" s="16"/>
      <c r="S2873" s="16"/>
      <c r="T2873" s="17"/>
      <c r="U2873" s="11"/>
      <c r="V2873" s="16"/>
      <c r="W2873" s="11"/>
      <c r="X2873" s="11"/>
      <c r="Y2873" s="15"/>
      <c r="Z2873" s="11"/>
    </row>
    <row r="2874" spans="1:26" x14ac:dyDescent="0.25">
      <c r="A2874" s="11"/>
      <c r="B2874" s="11"/>
      <c r="C2874" s="11"/>
      <c r="D2874" s="11"/>
      <c r="E2874" s="12"/>
      <c r="F2874" s="13"/>
      <c r="G2874" s="13"/>
      <c r="H2874" s="13"/>
      <c r="I2874" s="11"/>
      <c r="J2874" s="11"/>
      <c r="K2874" s="11"/>
      <c r="L2874" s="11"/>
      <c r="M2874" s="15"/>
      <c r="N2874" s="15"/>
      <c r="O2874" s="15"/>
      <c r="P2874" s="15"/>
      <c r="Q2874" s="16"/>
      <c r="R2874" s="16"/>
      <c r="S2874" s="16"/>
      <c r="T2874" s="17"/>
      <c r="U2874" s="11"/>
      <c r="V2874" s="16"/>
      <c r="W2874" s="11"/>
      <c r="X2874" s="11"/>
      <c r="Y2874" s="15"/>
      <c r="Z2874" s="11"/>
    </row>
    <row r="2875" spans="1:26" x14ac:dyDescent="0.25">
      <c r="A2875" s="11"/>
      <c r="B2875" s="11"/>
      <c r="C2875" s="11"/>
      <c r="D2875" s="11"/>
      <c r="E2875" s="12"/>
      <c r="F2875" s="13"/>
      <c r="G2875" s="13"/>
      <c r="H2875" s="13"/>
      <c r="I2875" s="11"/>
      <c r="J2875" s="11"/>
      <c r="K2875" s="11"/>
      <c r="L2875" s="11"/>
      <c r="M2875" s="15"/>
      <c r="N2875" s="15"/>
      <c r="O2875" s="15"/>
      <c r="P2875" s="15"/>
      <c r="Q2875" s="16"/>
      <c r="R2875" s="16"/>
      <c r="S2875" s="16"/>
      <c r="T2875" s="17"/>
      <c r="U2875" s="11"/>
      <c r="V2875" s="16"/>
      <c r="W2875" s="11"/>
      <c r="X2875" s="11"/>
      <c r="Y2875" s="15"/>
      <c r="Z2875" s="11"/>
    </row>
    <row r="2876" spans="1:26" x14ac:dyDescent="0.25">
      <c r="A2876" s="11"/>
      <c r="B2876" s="11"/>
      <c r="C2876" s="11"/>
      <c r="D2876" s="11"/>
      <c r="E2876" s="12"/>
      <c r="F2876" s="13"/>
      <c r="G2876" s="13"/>
      <c r="H2876" s="13"/>
      <c r="I2876" s="11"/>
      <c r="J2876" s="11"/>
      <c r="K2876" s="11"/>
      <c r="L2876" s="11"/>
      <c r="M2876" s="15"/>
      <c r="N2876" s="15"/>
      <c r="O2876" s="15"/>
      <c r="P2876" s="15"/>
      <c r="Q2876" s="16"/>
      <c r="R2876" s="16"/>
      <c r="S2876" s="16"/>
      <c r="T2876" s="17"/>
      <c r="U2876" s="11"/>
      <c r="V2876" s="16"/>
      <c r="W2876" s="11"/>
      <c r="X2876" s="11"/>
      <c r="Y2876" s="15"/>
      <c r="Z2876" s="11"/>
    </row>
    <row r="2877" spans="1:26" x14ac:dyDescent="0.25">
      <c r="A2877" s="11"/>
      <c r="B2877" s="11"/>
      <c r="C2877" s="11"/>
      <c r="D2877" s="11"/>
      <c r="E2877" s="12"/>
      <c r="F2877" s="13"/>
      <c r="G2877" s="13"/>
      <c r="H2877" s="13"/>
      <c r="I2877" s="11"/>
      <c r="J2877" s="11"/>
      <c r="K2877" s="11"/>
      <c r="L2877" s="11"/>
      <c r="M2877" s="15"/>
      <c r="N2877" s="15"/>
      <c r="O2877" s="15"/>
      <c r="P2877" s="15"/>
      <c r="Q2877" s="16"/>
      <c r="R2877" s="16"/>
      <c r="S2877" s="16"/>
      <c r="T2877" s="17"/>
      <c r="U2877" s="11"/>
      <c r="V2877" s="16"/>
      <c r="W2877" s="11"/>
      <c r="X2877" s="11"/>
      <c r="Y2877" s="15"/>
      <c r="Z2877" s="11"/>
    </row>
    <row r="2878" spans="1:26" x14ac:dyDescent="0.25">
      <c r="A2878" s="11"/>
      <c r="B2878" s="11"/>
      <c r="C2878" s="11"/>
      <c r="D2878" s="11"/>
      <c r="E2878" s="12"/>
      <c r="F2878" s="13"/>
      <c r="G2878" s="13"/>
      <c r="H2878" s="13"/>
      <c r="I2878" s="11"/>
      <c r="J2878" s="11"/>
      <c r="K2878" s="11"/>
      <c r="L2878" s="11"/>
      <c r="M2878" s="15"/>
      <c r="N2878" s="15"/>
      <c r="O2878" s="15"/>
      <c r="P2878" s="15"/>
      <c r="Q2878" s="16"/>
      <c r="R2878" s="16"/>
      <c r="S2878" s="16"/>
      <c r="T2878" s="17"/>
      <c r="U2878" s="11"/>
      <c r="V2878" s="16"/>
      <c r="W2878" s="11"/>
      <c r="X2878" s="11"/>
      <c r="Y2878" s="15"/>
      <c r="Z2878" s="11"/>
    </row>
    <row r="2879" spans="1:26" x14ac:dyDescent="0.25">
      <c r="A2879" s="11"/>
      <c r="B2879" s="11"/>
      <c r="C2879" s="11"/>
      <c r="D2879" s="11"/>
      <c r="E2879" s="12"/>
      <c r="F2879" s="13"/>
      <c r="G2879" s="13"/>
      <c r="H2879" s="13"/>
      <c r="I2879" s="11"/>
      <c r="J2879" s="11"/>
      <c r="K2879" s="11"/>
      <c r="L2879" s="11"/>
      <c r="M2879" s="15"/>
      <c r="N2879" s="15"/>
      <c r="O2879" s="15"/>
      <c r="P2879" s="15"/>
      <c r="Q2879" s="16"/>
      <c r="R2879" s="16"/>
      <c r="S2879" s="16"/>
      <c r="T2879" s="17"/>
      <c r="U2879" s="11"/>
      <c r="V2879" s="16"/>
      <c r="W2879" s="11"/>
      <c r="X2879" s="11"/>
      <c r="Y2879" s="15"/>
      <c r="Z2879" s="11"/>
    </row>
    <row r="2880" spans="1:26" x14ac:dyDescent="0.25">
      <c r="A2880" s="11"/>
      <c r="B2880" s="11"/>
      <c r="C2880" s="11"/>
      <c r="D2880" s="11"/>
      <c r="E2880" s="12"/>
      <c r="F2880" s="13"/>
      <c r="G2880" s="13"/>
      <c r="H2880" s="13"/>
      <c r="I2880" s="11"/>
      <c r="J2880" s="11"/>
      <c r="K2880" s="11"/>
      <c r="L2880" s="11"/>
      <c r="M2880" s="15"/>
      <c r="N2880" s="15"/>
      <c r="O2880" s="15"/>
      <c r="P2880" s="15"/>
      <c r="Q2880" s="16"/>
      <c r="R2880" s="16"/>
      <c r="S2880" s="16"/>
      <c r="T2880" s="17"/>
      <c r="U2880" s="11"/>
      <c r="V2880" s="16"/>
      <c r="W2880" s="11"/>
      <c r="X2880" s="11"/>
      <c r="Y2880" s="15"/>
      <c r="Z2880" s="11"/>
    </row>
    <row r="2881" spans="1:26" x14ac:dyDescent="0.25">
      <c r="A2881" s="11"/>
      <c r="B2881" s="11"/>
      <c r="C2881" s="11"/>
      <c r="D2881" s="11"/>
      <c r="E2881" s="12"/>
      <c r="F2881" s="13"/>
      <c r="G2881" s="13"/>
      <c r="H2881" s="13"/>
      <c r="I2881" s="11"/>
      <c r="J2881" s="11"/>
      <c r="K2881" s="11"/>
      <c r="L2881" s="11"/>
      <c r="M2881" s="15"/>
      <c r="N2881" s="15"/>
      <c r="O2881" s="15"/>
      <c r="P2881" s="15"/>
      <c r="Q2881" s="16"/>
      <c r="R2881" s="16"/>
      <c r="S2881" s="16"/>
      <c r="T2881" s="17"/>
      <c r="U2881" s="11"/>
      <c r="V2881" s="16"/>
      <c r="W2881" s="11"/>
      <c r="X2881" s="11"/>
      <c r="Y2881" s="15"/>
      <c r="Z2881" s="11"/>
    </row>
    <row r="2882" spans="1:26" x14ac:dyDescent="0.25">
      <c r="A2882" s="11"/>
      <c r="B2882" s="11"/>
      <c r="C2882" s="11"/>
      <c r="D2882" s="11"/>
      <c r="E2882" s="12"/>
      <c r="F2882" s="13"/>
      <c r="G2882" s="13"/>
      <c r="H2882" s="13"/>
      <c r="I2882" s="11"/>
      <c r="J2882" s="11"/>
      <c r="K2882" s="11"/>
      <c r="L2882" s="11"/>
      <c r="M2882" s="15"/>
      <c r="N2882" s="15"/>
      <c r="O2882" s="15"/>
      <c r="P2882" s="15"/>
      <c r="Q2882" s="16"/>
      <c r="R2882" s="16"/>
      <c r="S2882" s="16"/>
      <c r="T2882" s="17"/>
      <c r="U2882" s="11"/>
      <c r="V2882" s="16"/>
      <c r="W2882" s="11"/>
      <c r="X2882" s="11"/>
      <c r="Y2882" s="15"/>
      <c r="Z2882" s="11"/>
    </row>
    <row r="2883" spans="1:26" x14ac:dyDescent="0.25">
      <c r="A2883" s="11"/>
      <c r="B2883" s="11"/>
      <c r="C2883" s="11"/>
      <c r="D2883" s="11"/>
      <c r="E2883" s="12"/>
      <c r="F2883" s="13"/>
      <c r="G2883" s="13"/>
      <c r="H2883" s="13"/>
      <c r="I2883" s="11"/>
      <c r="J2883" s="11"/>
      <c r="K2883" s="11"/>
      <c r="L2883" s="11"/>
      <c r="M2883" s="15"/>
      <c r="N2883" s="15"/>
      <c r="O2883" s="15"/>
      <c r="P2883" s="15"/>
      <c r="Q2883" s="16"/>
      <c r="R2883" s="16"/>
      <c r="S2883" s="16"/>
      <c r="T2883" s="17"/>
      <c r="U2883" s="11"/>
      <c r="V2883" s="16"/>
      <c r="W2883" s="11"/>
      <c r="X2883" s="11"/>
      <c r="Y2883" s="15"/>
      <c r="Z2883" s="11"/>
    </row>
    <row r="2884" spans="1:26" x14ac:dyDescent="0.25">
      <c r="A2884" s="11"/>
      <c r="B2884" s="11"/>
      <c r="C2884" s="11"/>
      <c r="D2884" s="11"/>
      <c r="E2884" s="12"/>
      <c r="F2884" s="13"/>
      <c r="G2884" s="13"/>
      <c r="H2884" s="13"/>
      <c r="I2884" s="11"/>
      <c r="J2884" s="11"/>
      <c r="K2884" s="11"/>
      <c r="L2884" s="11"/>
      <c r="M2884" s="15"/>
      <c r="N2884" s="15"/>
      <c r="O2884" s="15"/>
      <c r="P2884" s="15"/>
      <c r="Q2884" s="16"/>
      <c r="R2884" s="16"/>
      <c r="S2884" s="16"/>
      <c r="T2884" s="17"/>
      <c r="U2884" s="11"/>
      <c r="V2884" s="16"/>
      <c r="W2884" s="11"/>
      <c r="X2884" s="11"/>
      <c r="Y2884" s="15"/>
      <c r="Z2884" s="11"/>
    </row>
    <row r="2885" spans="1:26" x14ac:dyDescent="0.25">
      <c r="A2885" s="11"/>
      <c r="B2885" s="11"/>
      <c r="C2885" s="11"/>
      <c r="D2885" s="11"/>
      <c r="E2885" s="12"/>
      <c r="F2885" s="13"/>
      <c r="G2885" s="13"/>
      <c r="H2885" s="13"/>
      <c r="I2885" s="11"/>
      <c r="J2885" s="11"/>
      <c r="K2885" s="11"/>
      <c r="L2885" s="11"/>
      <c r="M2885" s="15"/>
      <c r="N2885" s="15"/>
      <c r="O2885" s="15"/>
      <c r="P2885" s="15"/>
      <c r="Q2885" s="16"/>
      <c r="R2885" s="16"/>
      <c r="S2885" s="16"/>
      <c r="T2885" s="17"/>
      <c r="U2885" s="11"/>
      <c r="V2885" s="16"/>
      <c r="W2885" s="11"/>
      <c r="X2885" s="11"/>
      <c r="Y2885" s="15"/>
      <c r="Z2885" s="11"/>
    </row>
    <row r="2886" spans="1:26" x14ac:dyDescent="0.25">
      <c r="A2886" s="11"/>
      <c r="B2886" s="11"/>
      <c r="C2886" s="11"/>
      <c r="D2886" s="11"/>
      <c r="E2886" s="12"/>
      <c r="F2886" s="13"/>
      <c r="G2886" s="13"/>
      <c r="H2886" s="13"/>
      <c r="I2886" s="11"/>
      <c r="J2886" s="11"/>
      <c r="K2886" s="11"/>
      <c r="L2886" s="11"/>
      <c r="M2886" s="15"/>
      <c r="N2886" s="15"/>
      <c r="O2886" s="15"/>
      <c r="P2886" s="15"/>
      <c r="Q2886" s="16"/>
      <c r="R2886" s="16"/>
      <c r="S2886" s="16"/>
      <c r="T2886" s="17"/>
      <c r="U2886" s="11"/>
      <c r="V2886" s="16"/>
      <c r="W2886" s="11"/>
      <c r="X2886" s="11"/>
      <c r="Y2886" s="15"/>
      <c r="Z2886" s="11"/>
    </row>
    <row r="2887" spans="1:26" x14ac:dyDescent="0.25">
      <c r="A2887" s="11"/>
      <c r="B2887" s="11"/>
      <c r="C2887" s="11"/>
      <c r="D2887" s="11"/>
      <c r="E2887" s="12"/>
      <c r="F2887" s="13"/>
      <c r="G2887" s="13"/>
      <c r="H2887" s="13"/>
      <c r="I2887" s="11"/>
      <c r="J2887" s="11"/>
      <c r="K2887" s="11"/>
      <c r="L2887" s="11"/>
      <c r="M2887" s="15"/>
      <c r="N2887" s="15"/>
      <c r="O2887" s="15"/>
      <c r="P2887" s="15"/>
      <c r="Q2887" s="16"/>
      <c r="R2887" s="16"/>
      <c r="S2887" s="16"/>
      <c r="T2887" s="17"/>
      <c r="U2887" s="11"/>
      <c r="V2887" s="16"/>
      <c r="W2887" s="11"/>
      <c r="X2887" s="11"/>
      <c r="Y2887" s="15"/>
      <c r="Z2887" s="11"/>
    </row>
    <row r="2888" spans="1:26" x14ac:dyDescent="0.25">
      <c r="A2888" s="11"/>
      <c r="B2888" s="11"/>
      <c r="C2888" s="11"/>
      <c r="D2888" s="11"/>
      <c r="E2888" s="12"/>
      <c r="F2888" s="13"/>
      <c r="G2888" s="13"/>
      <c r="H2888" s="13"/>
      <c r="I2888" s="11"/>
      <c r="J2888" s="11"/>
      <c r="K2888" s="11"/>
      <c r="L2888" s="11"/>
      <c r="M2888" s="15"/>
      <c r="N2888" s="15"/>
      <c r="O2888" s="15"/>
      <c r="P2888" s="15"/>
      <c r="Q2888" s="16"/>
      <c r="R2888" s="16"/>
      <c r="S2888" s="16"/>
      <c r="T2888" s="17"/>
      <c r="U2888" s="11"/>
      <c r="V2888" s="16"/>
      <c r="W2888" s="11"/>
      <c r="X2888" s="11"/>
      <c r="Y2888" s="15"/>
      <c r="Z2888" s="11"/>
    </row>
    <row r="2889" spans="1:26" x14ac:dyDescent="0.25">
      <c r="A2889" s="11"/>
      <c r="B2889" s="11"/>
      <c r="C2889" s="11"/>
      <c r="D2889" s="11"/>
      <c r="E2889" s="12"/>
      <c r="F2889" s="13"/>
      <c r="G2889" s="13"/>
      <c r="H2889" s="13"/>
      <c r="I2889" s="11"/>
      <c r="J2889" s="11"/>
      <c r="K2889" s="11"/>
      <c r="L2889" s="11"/>
      <c r="M2889" s="15"/>
      <c r="N2889" s="15"/>
      <c r="O2889" s="15"/>
      <c r="P2889" s="15"/>
      <c r="Q2889" s="16"/>
      <c r="R2889" s="16"/>
      <c r="S2889" s="16"/>
      <c r="T2889" s="17"/>
      <c r="U2889" s="11"/>
      <c r="V2889" s="16"/>
      <c r="W2889" s="11"/>
      <c r="X2889" s="11"/>
      <c r="Y2889" s="15"/>
      <c r="Z2889" s="11"/>
    </row>
    <row r="2890" spans="1:26" x14ac:dyDescent="0.25">
      <c r="A2890" s="11"/>
      <c r="B2890" s="11"/>
      <c r="C2890" s="11"/>
      <c r="D2890" s="11"/>
      <c r="E2890" s="12"/>
      <c r="F2890" s="13"/>
      <c r="G2890" s="13"/>
      <c r="H2890" s="13"/>
      <c r="I2890" s="11"/>
      <c r="J2890" s="11"/>
      <c r="K2890" s="11"/>
      <c r="L2890" s="11"/>
      <c r="M2890" s="15"/>
      <c r="N2890" s="15"/>
      <c r="O2890" s="15"/>
      <c r="P2890" s="15"/>
      <c r="Q2890" s="16"/>
      <c r="R2890" s="16"/>
      <c r="S2890" s="16"/>
      <c r="T2890" s="17"/>
      <c r="U2890" s="11"/>
      <c r="V2890" s="16"/>
      <c r="W2890" s="11"/>
      <c r="X2890" s="11"/>
      <c r="Y2890" s="15"/>
      <c r="Z2890" s="11"/>
    </row>
    <row r="2891" spans="1:26" x14ac:dyDescent="0.25">
      <c r="A2891" s="11"/>
      <c r="B2891" s="11"/>
      <c r="C2891" s="11"/>
      <c r="D2891" s="11"/>
      <c r="E2891" s="12"/>
      <c r="F2891" s="13"/>
      <c r="G2891" s="13"/>
      <c r="H2891" s="13"/>
      <c r="I2891" s="11"/>
      <c r="J2891" s="11"/>
      <c r="K2891" s="11"/>
      <c r="L2891" s="11"/>
      <c r="M2891" s="15"/>
      <c r="N2891" s="15"/>
      <c r="O2891" s="15"/>
      <c r="P2891" s="15"/>
      <c r="Q2891" s="16"/>
      <c r="R2891" s="16"/>
      <c r="S2891" s="16"/>
      <c r="T2891" s="17"/>
      <c r="U2891" s="11"/>
      <c r="V2891" s="16"/>
      <c r="W2891" s="11"/>
      <c r="X2891" s="11"/>
      <c r="Y2891" s="15"/>
      <c r="Z2891" s="11"/>
    </row>
    <row r="2892" spans="1:26" x14ac:dyDescent="0.25">
      <c r="A2892" s="11"/>
      <c r="B2892" s="11"/>
      <c r="C2892" s="11"/>
      <c r="D2892" s="11"/>
      <c r="E2892" s="12"/>
      <c r="F2892" s="13"/>
      <c r="G2892" s="13"/>
      <c r="H2892" s="13"/>
      <c r="I2892" s="11"/>
      <c r="J2892" s="11"/>
      <c r="K2892" s="11"/>
      <c r="L2892" s="11"/>
      <c r="M2892" s="15"/>
      <c r="N2892" s="15"/>
      <c r="O2892" s="15"/>
      <c r="P2892" s="15"/>
      <c r="Q2892" s="16"/>
      <c r="R2892" s="16"/>
      <c r="S2892" s="16"/>
      <c r="T2892" s="17"/>
      <c r="U2892" s="11"/>
      <c r="V2892" s="16"/>
      <c r="W2892" s="11"/>
      <c r="X2892" s="11"/>
      <c r="Y2892" s="15"/>
      <c r="Z2892" s="11"/>
    </row>
    <row r="2893" spans="1:26" x14ac:dyDescent="0.25">
      <c r="A2893" s="11"/>
      <c r="B2893" s="11"/>
      <c r="C2893" s="11"/>
      <c r="D2893" s="11"/>
      <c r="E2893" s="12"/>
      <c r="F2893" s="13"/>
      <c r="G2893" s="13"/>
      <c r="H2893" s="13"/>
      <c r="I2893" s="11"/>
      <c r="J2893" s="11"/>
      <c r="K2893" s="11"/>
      <c r="L2893" s="11"/>
      <c r="M2893" s="15"/>
      <c r="N2893" s="15"/>
      <c r="O2893" s="15"/>
      <c r="P2893" s="15"/>
      <c r="Q2893" s="16"/>
      <c r="R2893" s="16"/>
      <c r="S2893" s="16"/>
      <c r="T2893" s="17"/>
      <c r="U2893" s="11"/>
      <c r="V2893" s="16"/>
      <c r="W2893" s="11"/>
      <c r="X2893" s="11"/>
      <c r="Y2893" s="15"/>
      <c r="Z2893" s="11"/>
    </row>
    <row r="2894" spans="1:26" x14ac:dyDescent="0.25">
      <c r="A2894" s="11"/>
      <c r="B2894" s="11"/>
      <c r="C2894" s="11"/>
      <c r="D2894" s="11"/>
      <c r="E2894" s="12"/>
      <c r="F2894" s="13"/>
      <c r="G2894" s="13"/>
      <c r="H2894" s="13"/>
      <c r="I2894" s="11"/>
      <c r="J2894" s="11"/>
      <c r="K2894" s="11"/>
      <c r="L2894" s="11"/>
      <c r="M2894" s="15"/>
      <c r="N2894" s="15"/>
      <c r="O2894" s="15"/>
      <c r="P2894" s="15"/>
      <c r="Q2894" s="16"/>
      <c r="R2894" s="16"/>
      <c r="S2894" s="16"/>
      <c r="T2894" s="17"/>
      <c r="U2894" s="11"/>
      <c r="V2894" s="16"/>
      <c r="W2894" s="11"/>
      <c r="X2894" s="11"/>
      <c r="Y2894" s="15"/>
      <c r="Z2894" s="11"/>
    </row>
    <row r="2895" spans="1:26" x14ac:dyDescent="0.25">
      <c r="A2895" s="11"/>
      <c r="B2895" s="11"/>
      <c r="C2895" s="11"/>
      <c r="D2895" s="11"/>
      <c r="E2895" s="12"/>
      <c r="F2895" s="13"/>
      <c r="G2895" s="13"/>
      <c r="H2895" s="13"/>
      <c r="I2895" s="11"/>
      <c r="J2895" s="11"/>
      <c r="K2895" s="11"/>
      <c r="L2895" s="11"/>
      <c r="M2895" s="15"/>
      <c r="N2895" s="15"/>
      <c r="O2895" s="15"/>
      <c r="P2895" s="15"/>
      <c r="Q2895" s="16"/>
      <c r="R2895" s="16"/>
      <c r="S2895" s="16"/>
      <c r="T2895" s="17"/>
      <c r="U2895" s="11"/>
      <c r="V2895" s="16"/>
      <c r="W2895" s="11"/>
      <c r="X2895" s="11"/>
      <c r="Y2895" s="15"/>
      <c r="Z2895" s="11"/>
    </row>
    <row r="2896" spans="1:26" x14ac:dyDescent="0.25">
      <c r="A2896" s="11"/>
      <c r="B2896" s="11"/>
      <c r="C2896" s="11"/>
      <c r="D2896" s="11"/>
      <c r="E2896" s="12"/>
      <c r="F2896" s="13"/>
      <c r="G2896" s="13"/>
      <c r="H2896" s="13"/>
      <c r="I2896" s="11"/>
      <c r="J2896" s="11"/>
      <c r="K2896" s="11"/>
      <c r="L2896" s="11"/>
      <c r="M2896" s="15"/>
      <c r="N2896" s="15"/>
      <c r="O2896" s="15"/>
      <c r="P2896" s="15"/>
      <c r="Q2896" s="16"/>
      <c r="R2896" s="16"/>
      <c r="S2896" s="16"/>
      <c r="T2896" s="17"/>
      <c r="U2896" s="11"/>
      <c r="V2896" s="16"/>
      <c r="W2896" s="11"/>
      <c r="X2896" s="11"/>
      <c r="Y2896" s="15"/>
      <c r="Z2896" s="11"/>
    </row>
    <row r="2897" spans="1:26" x14ac:dyDescent="0.25">
      <c r="A2897" s="11"/>
      <c r="B2897" s="11"/>
      <c r="C2897" s="11"/>
      <c r="D2897" s="11"/>
      <c r="E2897" s="12"/>
      <c r="F2897" s="13"/>
      <c r="G2897" s="13"/>
      <c r="H2897" s="13"/>
      <c r="I2897" s="11"/>
      <c r="J2897" s="11"/>
      <c r="K2897" s="11"/>
      <c r="L2897" s="11"/>
      <c r="M2897" s="15"/>
      <c r="N2897" s="15"/>
      <c r="O2897" s="15"/>
      <c r="P2897" s="15"/>
      <c r="Q2897" s="16"/>
      <c r="R2897" s="16"/>
      <c r="S2897" s="16"/>
      <c r="T2897" s="17"/>
      <c r="U2897" s="11"/>
      <c r="V2897" s="16"/>
      <c r="W2897" s="11"/>
      <c r="X2897" s="11"/>
      <c r="Y2897" s="15"/>
      <c r="Z2897" s="11"/>
    </row>
    <row r="2898" spans="1:26" x14ac:dyDescent="0.25">
      <c r="A2898" s="11"/>
      <c r="B2898" s="11"/>
      <c r="C2898" s="11"/>
      <c r="D2898" s="11"/>
      <c r="E2898" s="12"/>
      <c r="F2898" s="13"/>
      <c r="G2898" s="13"/>
      <c r="H2898" s="13"/>
      <c r="I2898" s="11"/>
      <c r="J2898" s="11"/>
      <c r="K2898" s="11"/>
      <c r="L2898" s="11"/>
      <c r="M2898" s="15"/>
      <c r="N2898" s="15"/>
      <c r="O2898" s="15"/>
      <c r="P2898" s="15"/>
      <c r="Q2898" s="16"/>
      <c r="R2898" s="16"/>
      <c r="S2898" s="16"/>
      <c r="T2898" s="17"/>
      <c r="U2898" s="11"/>
      <c r="V2898" s="16"/>
      <c r="W2898" s="11"/>
      <c r="X2898" s="11"/>
      <c r="Y2898" s="15"/>
      <c r="Z2898" s="11"/>
    </row>
    <row r="2899" spans="1:26" x14ac:dyDescent="0.25">
      <c r="A2899" s="11"/>
      <c r="B2899" s="11"/>
      <c r="C2899" s="11"/>
      <c r="D2899" s="11"/>
      <c r="E2899" s="12"/>
      <c r="F2899" s="13"/>
      <c r="G2899" s="13"/>
      <c r="H2899" s="13"/>
      <c r="I2899" s="11"/>
      <c r="J2899" s="11"/>
      <c r="K2899" s="11"/>
      <c r="L2899" s="11"/>
      <c r="M2899" s="15"/>
      <c r="N2899" s="15"/>
      <c r="O2899" s="15"/>
      <c r="P2899" s="15"/>
      <c r="Q2899" s="16"/>
      <c r="R2899" s="16"/>
      <c r="S2899" s="16"/>
      <c r="T2899" s="17"/>
      <c r="U2899" s="11"/>
      <c r="V2899" s="16"/>
      <c r="W2899" s="11"/>
      <c r="X2899" s="11"/>
      <c r="Y2899" s="15"/>
      <c r="Z2899" s="11"/>
    </row>
    <row r="2900" spans="1:26" x14ac:dyDescent="0.25">
      <c r="A2900" s="11"/>
      <c r="B2900" s="11"/>
      <c r="C2900" s="11"/>
      <c r="D2900" s="11"/>
      <c r="E2900" s="12"/>
      <c r="F2900" s="13"/>
      <c r="G2900" s="13"/>
      <c r="H2900" s="13"/>
      <c r="I2900" s="11"/>
      <c r="J2900" s="11"/>
      <c r="K2900" s="11"/>
      <c r="L2900" s="11"/>
      <c r="M2900" s="15"/>
      <c r="N2900" s="15"/>
      <c r="O2900" s="15"/>
      <c r="P2900" s="15"/>
      <c r="Q2900" s="16"/>
      <c r="R2900" s="16"/>
      <c r="S2900" s="16"/>
      <c r="T2900" s="17"/>
      <c r="U2900" s="11"/>
      <c r="V2900" s="16"/>
      <c r="W2900" s="11"/>
      <c r="X2900" s="11"/>
      <c r="Y2900" s="15"/>
      <c r="Z2900" s="11"/>
    </row>
    <row r="2901" spans="1:26" x14ac:dyDescent="0.25">
      <c r="A2901" s="11"/>
      <c r="B2901" s="11"/>
      <c r="C2901" s="11"/>
      <c r="D2901" s="11"/>
      <c r="E2901" s="12"/>
      <c r="F2901" s="13"/>
      <c r="G2901" s="13"/>
      <c r="H2901" s="13"/>
      <c r="I2901" s="11"/>
      <c r="J2901" s="11"/>
      <c r="K2901" s="11"/>
      <c r="L2901" s="11"/>
      <c r="M2901" s="15"/>
      <c r="N2901" s="15"/>
      <c r="O2901" s="15"/>
      <c r="P2901" s="15"/>
      <c r="Q2901" s="16"/>
      <c r="R2901" s="16"/>
      <c r="S2901" s="16"/>
      <c r="T2901" s="17"/>
      <c r="U2901" s="11"/>
      <c r="V2901" s="16"/>
      <c r="W2901" s="11"/>
      <c r="X2901" s="11"/>
      <c r="Y2901" s="15"/>
      <c r="Z2901" s="11"/>
    </row>
    <row r="2902" spans="1:26" x14ac:dyDescent="0.25">
      <c r="A2902" s="11"/>
      <c r="B2902" s="11"/>
      <c r="C2902" s="11"/>
      <c r="D2902" s="11"/>
      <c r="E2902" s="12"/>
      <c r="F2902" s="13"/>
      <c r="G2902" s="13"/>
      <c r="H2902" s="13"/>
      <c r="I2902" s="11"/>
      <c r="J2902" s="11"/>
      <c r="K2902" s="11"/>
      <c r="L2902" s="11"/>
      <c r="M2902" s="15"/>
      <c r="N2902" s="15"/>
      <c r="O2902" s="15"/>
      <c r="P2902" s="15"/>
      <c r="Q2902" s="16"/>
      <c r="R2902" s="16"/>
      <c r="S2902" s="16"/>
      <c r="T2902" s="17"/>
      <c r="U2902" s="11"/>
      <c r="V2902" s="16"/>
      <c r="W2902" s="11"/>
      <c r="X2902" s="11"/>
      <c r="Y2902" s="15"/>
      <c r="Z2902" s="11"/>
    </row>
    <row r="2903" spans="1:26" x14ac:dyDescent="0.25">
      <c r="A2903" s="11"/>
      <c r="B2903" s="11"/>
      <c r="C2903" s="11"/>
      <c r="D2903" s="11"/>
      <c r="E2903" s="12"/>
      <c r="F2903" s="13"/>
      <c r="G2903" s="13"/>
      <c r="H2903" s="13"/>
      <c r="I2903" s="11"/>
      <c r="J2903" s="11"/>
      <c r="K2903" s="11"/>
      <c r="L2903" s="11"/>
      <c r="M2903" s="15"/>
      <c r="N2903" s="15"/>
      <c r="O2903" s="15"/>
      <c r="P2903" s="15"/>
      <c r="Q2903" s="16"/>
      <c r="R2903" s="16"/>
      <c r="S2903" s="16"/>
      <c r="T2903" s="17"/>
      <c r="U2903" s="11"/>
      <c r="V2903" s="16"/>
      <c r="W2903" s="11"/>
      <c r="X2903" s="11"/>
      <c r="Y2903" s="15"/>
      <c r="Z2903" s="11"/>
    </row>
    <row r="2904" spans="1:26" x14ac:dyDescent="0.25">
      <c r="A2904" s="11"/>
      <c r="B2904" s="11"/>
      <c r="C2904" s="11"/>
      <c r="D2904" s="11"/>
      <c r="E2904" s="12"/>
      <c r="F2904" s="13"/>
      <c r="G2904" s="13"/>
      <c r="H2904" s="13"/>
      <c r="I2904" s="11"/>
      <c r="J2904" s="11"/>
      <c r="K2904" s="11"/>
      <c r="L2904" s="11"/>
      <c r="M2904" s="15"/>
      <c r="N2904" s="15"/>
      <c r="O2904" s="15"/>
      <c r="P2904" s="15"/>
      <c r="Q2904" s="16"/>
      <c r="R2904" s="16"/>
      <c r="S2904" s="16"/>
      <c r="T2904" s="17"/>
      <c r="U2904" s="11"/>
      <c r="V2904" s="16"/>
      <c r="W2904" s="11"/>
      <c r="X2904" s="11"/>
      <c r="Y2904" s="15"/>
      <c r="Z2904" s="11"/>
    </row>
    <row r="2905" spans="1:26" x14ac:dyDescent="0.25">
      <c r="A2905" s="11"/>
      <c r="B2905" s="11"/>
      <c r="C2905" s="11"/>
      <c r="D2905" s="11"/>
      <c r="E2905" s="12"/>
      <c r="F2905" s="13"/>
      <c r="G2905" s="13"/>
      <c r="H2905" s="13"/>
      <c r="I2905" s="11"/>
      <c r="J2905" s="11"/>
      <c r="K2905" s="11"/>
      <c r="L2905" s="11"/>
      <c r="M2905" s="15"/>
      <c r="N2905" s="15"/>
      <c r="O2905" s="15"/>
      <c r="P2905" s="15"/>
      <c r="Q2905" s="16"/>
      <c r="R2905" s="16"/>
      <c r="S2905" s="16"/>
      <c r="T2905" s="17"/>
      <c r="U2905" s="11"/>
      <c r="V2905" s="16"/>
      <c r="W2905" s="11"/>
      <c r="X2905" s="11"/>
      <c r="Y2905" s="15"/>
      <c r="Z2905" s="11"/>
    </row>
    <row r="2906" spans="1:26" x14ac:dyDescent="0.25">
      <c r="A2906" s="11"/>
      <c r="B2906" s="11"/>
      <c r="C2906" s="11"/>
      <c r="D2906" s="11"/>
      <c r="E2906" s="12"/>
      <c r="F2906" s="13"/>
      <c r="G2906" s="13"/>
      <c r="H2906" s="13"/>
      <c r="I2906" s="11"/>
      <c r="J2906" s="11"/>
      <c r="K2906" s="11"/>
      <c r="L2906" s="11"/>
      <c r="M2906" s="15"/>
      <c r="N2906" s="15"/>
      <c r="O2906" s="15"/>
      <c r="P2906" s="15"/>
      <c r="Q2906" s="16"/>
      <c r="R2906" s="16"/>
      <c r="S2906" s="16"/>
      <c r="T2906" s="17"/>
      <c r="U2906" s="11"/>
      <c r="V2906" s="16"/>
      <c r="W2906" s="11"/>
      <c r="X2906" s="11"/>
      <c r="Y2906" s="15"/>
      <c r="Z2906" s="11"/>
    </row>
    <row r="2907" spans="1:26" x14ac:dyDescent="0.25">
      <c r="A2907" s="11"/>
      <c r="B2907" s="11"/>
      <c r="C2907" s="11"/>
      <c r="D2907" s="11"/>
      <c r="E2907" s="12"/>
      <c r="F2907" s="13"/>
      <c r="G2907" s="13"/>
      <c r="H2907" s="13"/>
      <c r="I2907" s="11"/>
      <c r="J2907" s="11"/>
      <c r="K2907" s="11"/>
      <c r="L2907" s="11"/>
      <c r="M2907" s="15"/>
      <c r="N2907" s="15"/>
      <c r="O2907" s="15"/>
      <c r="P2907" s="15"/>
      <c r="Q2907" s="16"/>
      <c r="R2907" s="16"/>
      <c r="S2907" s="16"/>
      <c r="T2907" s="17"/>
      <c r="U2907" s="11"/>
      <c r="V2907" s="16"/>
      <c r="W2907" s="11"/>
      <c r="X2907" s="11"/>
      <c r="Y2907" s="15"/>
      <c r="Z2907" s="11"/>
    </row>
    <row r="2908" spans="1:26" x14ac:dyDescent="0.25">
      <c r="A2908" s="11"/>
      <c r="B2908" s="11"/>
      <c r="C2908" s="11"/>
      <c r="D2908" s="11"/>
      <c r="E2908" s="12"/>
      <c r="F2908" s="13"/>
      <c r="G2908" s="13"/>
      <c r="H2908" s="13"/>
      <c r="I2908" s="11"/>
      <c r="J2908" s="11"/>
      <c r="K2908" s="11"/>
      <c r="L2908" s="11"/>
      <c r="M2908" s="15"/>
      <c r="N2908" s="15"/>
      <c r="O2908" s="15"/>
      <c r="P2908" s="15"/>
      <c r="Q2908" s="16"/>
      <c r="R2908" s="16"/>
      <c r="S2908" s="16"/>
      <c r="T2908" s="17"/>
      <c r="U2908" s="11"/>
      <c r="V2908" s="16"/>
      <c r="W2908" s="11"/>
      <c r="X2908" s="11"/>
      <c r="Y2908" s="15"/>
      <c r="Z2908" s="11"/>
    </row>
    <row r="2909" spans="1:26" x14ac:dyDescent="0.25">
      <c r="A2909" s="11"/>
      <c r="B2909" s="11"/>
      <c r="C2909" s="11"/>
      <c r="D2909" s="11"/>
      <c r="E2909" s="12"/>
      <c r="F2909" s="13"/>
      <c r="G2909" s="13"/>
      <c r="H2909" s="13"/>
      <c r="I2909" s="11"/>
      <c r="J2909" s="11"/>
      <c r="K2909" s="11"/>
      <c r="L2909" s="11"/>
      <c r="M2909" s="15"/>
      <c r="N2909" s="15"/>
      <c r="O2909" s="15"/>
      <c r="P2909" s="15"/>
      <c r="Q2909" s="16"/>
      <c r="R2909" s="16"/>
      <c r="S2909" s="16"/>
      <c r="T2909" s="17"/>
      <c r="U2909" s="11"/>
      <c r="V2909" s="16"/>
      <c r="W2909" s="11"/>
      <c r="X2909" s="11"/>
      <c r="Y2909" s="15"/>
      <c r="Z2909" s="11"/>
    </row>
    <row r="2910" spans="1:26" x14ac:dyDescent="0.25">
      <c r="A2910" s="11"/>
      <c r="B2910" s="11"/>
      <c r="C2910" s="11"/>
      <c r="D2910" s="11"/>
      <c r="E2910" s="12"/>
      <c r="F2910" s="13"/>
      <c r="G2910" s="13"/>
      <c r="H2910" s="13"/>
      <c r="I2910" s="11"/>
      <c r="J2910" s="11"/>
      <c r="K2910" s="11"/>
      <c r="L2910" s="11"/>
      <c r="M2910" s="15"/>
      <c r="N2910" s="15"/>
      <c r="O2910" s="15"/>
      <c r="P2910" s="15"/>
      <c r="Q2910" s="16"/>
      <c r="R2910" s="16"/>
      <c r="S2910" s="16"/>
      <c r="T2910" s="17"/>
      <c r="U2910" s="11"/>
      <c r="V2910" s="16"/>
      <c r="W2910" s="11"/>
      <c r="X2910" s="11"/>
      <c r="Y2910" s="15"/>
      <c r="Z2910" s="11"/>
    </row>
    <row r="2911" spans="1:26" x14ac:dyDescent="0.25">
      <c r="A2911" s="11"/>
      <c r="B2911" s="11"/>
      <c r="C2911" s="11"/>
      <c r="D2911" s="11"/>
      <c r="E2911" s="12"/>
      <c r="F2911" s="13"/>
      <c r="G2911" s="13"/>
      <c r="H2911" s="13"/>
      <c r="I2911" s="11"/>
      <c r="J2911" s="11"/>
      <c r="K2911" s="11"/>
      <c r="L2911" s="11"/>
      <c r="M2911" s="15"/>
      <c r="N2911" s="15"/>
      <c r="O2911" s="15"/>
      <c r="P2911" s="15"/>
      <c r="Q2911" s="16"/>
      <c r="R2911" s="16"/>
      <c r="S2911" s="16"/>
      <c r="T2911" s="17"/>
      <c r="U2911" s="11"/>
      <c r="V2911" s="16"/>
      <c r="W2911" s="11"/>
      <c r="X2911" s="11"/>
      <c r="Y2911" s="15"/>
      <c r="Z2911" s="11"/>
    </row>
    <row r="2912" spans="1:26" x14ac:dyDescent="0.25">
      <c r="A2912" s="11"/>
      <c r="B2912" s="11"/>
      <c r="C2912" s="11"/>
      <c r="D2912" s="11"/>
      <c r="E2912" s="12"/>
      <c r="F2912" s="13"/>
      <c r="G2912" s="13"/>
      <c r="H2912" s="13"/>
      <c r="I2912" s="11"/>
      <c r="J2912" s="11"/>
      <c r="K2912" s="11"/>
      <c r="L2912" s="11"/>
      <c r="M2912" s="15"/>
      <c r="N2912" s="15"/>
      <c r="O2912" s="15"/>
      <c r="P2912" s="15"/>
      <c r="Q2912" s="16"/>
      <c r="R2912" s="16"/>
      <c r="S2912" s="16"/>
      <c r="T2912" s="17"/>
      <c r="U2912" s="11"/>
      <c r="V2912" s="16"/>
      <c r="W2912" s="11"/>
      <c r="X2912" s="11"/>
      <c r="Y2912" s="15"/>
      <c r="Z2912" s="11"/>
    </row>
    <row r="2913" spans="1:26" x14ac:dyDescent="0.25">
      <c r="A2913" s="11"/>
      <c r="B2913" s="11"/>
      <c r="C2913" s="11"/>
      <c r="D2913" s="11"/>
      <c r="E2913" s="12"/>
      <c r="F2913" s="13"/>
      <c r="G2913" s="13"/>
      <c r="H2913" s="13"/>
      <c r="I2913" s="11"/>
      <c r="J2913" s="11"/>
      <c r="K2913" s="11"/>
      <c r="L2913" s="11"/>
      <c r="M2913" s="15"/>
      <c r="N2913" s="15"/>
      <c r="O2913" s="15"/>
      <c r="P2913" s="15"/>
      <c r="Q2913" s="16"/>
      <c r="R2913" s="16"/>
      <c r="S2913" s="16"/>
      <c r="T2913" s="17"/>
      <c r="U2913" s="11"/>
      <c r="V2913" s="16"/>
      <c r="W2913" s="11"/>
      <c r="X2913" s="11"/>
      <c r="Y2913" s="15"/>
      <c r="Z2913" s="11"/>
    </row>
    <row r="2914" spans="1:26" x14ac:dyDescent="0.25">
      <c r="A2914" s="11"/>
      <c r="B2914" s="11"/>
      <c r="C2914" s="11"/>
      <c r="D2914" s="11"/>
      <c r="E2914" s="12"/>
      <c r="F2914" s="13"/>
      <c r="G2914" s="13"/>
      <c r="H2914" s="13"/>
      <c r="I2914" s="11"/>
      <c r="J2914" s="11"/>
      <c r="K2914" s="11"/>
      <c r="L2914" s="11"/>
      <c r="M2914" s="15"/>
      <c r="N2914" s="15"/>
      <c r="O2914" s="15"/>
      <c r="P2914" s="15"/>
      <c r="Q2914" s="16"/>
      <c r="R2914" s="16"/>
      <c r="S2914" s="16"/>
      <c r="T2914" s="17"/>
      <c r="U2914" s="11"/>
      <c r="V2914" s="16"/>
      <c r="W2914" s="11"/>
      <c r="X2914" s="11"/>
      <c r="Y2914" s="15"/>
      <c r="Z2914" s="11"/>
    </row>
    <row r="2915" spans="1:26" x14ac:dyDescent="0.25">
      <c r="A2915" s="11"/>
      <c r="B2915" s="11"/>
      <c r="C2915" s="11"/>
      <c r="D2915" s="11"/>
      <c r="E2915" s="12"/>
      <c r="F2915" s="13"/>
      <c r="G2915" s="13"/>
      <c r="H2915" s="13"/>
      <c r="I2915" s="11"/>
      <c r="J2915" s="11"/>
      <c r="K2915" s="11"/>
      <c r="L2915" s="11"/>
      <c r="M2915" s="15"/>
      <c r="N2915" s="15"/>
      <c r="O2915" s="15"/>
      <c r="P2915" s="15"/>
      <c r="Q2915" s="16"/>
      <c r="R2915" s="16"/>
      <c r="S2915" s="16"/>
      <c r="T2915" s="17"/>
      <c r="U2915" s="11"/>
      <c r="V2915" s="16"/>
      <c r="W2915" s="11"/>
      <c r="X2915" s="11"/>
      <c r="Y2915" s="15"/>
      <c r="Z2915" s="11"/>
    </row>
    <row r="2916" spans="1:26" x14ac:dyDescent="0.25">
      <c r="A2916" s="11"/>
      <c r="B2916" s="11"/>
      <c r="C2916" s="11"/>
      <c r="D2916" s="11"/>
      <c r="E2916" s="12"/>
      <c r="F2916" s="13"/>
      <c r="G2916" s="13"/>
      <c r="H2916" s="13"/>
      <c r="I2916" s="11"/>
      <c r="J2916" s="11"/>
      <c r="K2916" s="11"/>
      <c r="L2916" s="11"/>
      <c r="M2916" s="15"/>
      <c r="N2916" s="15"/>
      <c r="O2916" s="15"/>
      <c r="P2916" s="15"/>
      <c r="Q2916" s="16"/>
      <c r="R2916" s="16"/>
      <c r="S2916" s="16"/>
      <c r="T2916" s="17"/>
      <c r="U2916" s="11"/>
      <c r="V2916" s="16"/>
      <c r="W2916" s="11"/>
      <c r="X2916" s="11"/>
      <c r="Y2916" s="15"/>
      <c r="Z2916" s="11"/>
    </row>
    <row r="2917" spans="1:26" x14ac:dyDescent="0.25">
      <c r="A2917" s="11"/>
      <c r="B2917" s="11"/>
      <c r="C2917" s="11"/>
      <c r="D2917" s="11"/>
      <c r="E2917" s="12"/>
      <c r="F2917" s="13"/>
      <c r="G2917" s="13"/>
      <c r="H2917" s="13"/>
      <c r="I2917" s="11"/>
      <c r="J2917" s="11"/>
      <c r="K2917" s="11"/>
      <c r="L2917" s="11"/>
      <c r="M2917" s="15"/>
      <c r="N2917" s="15"/>
      <c r="O2917" s="15"/>
      <c r="P2917" s="15"/>
      <c r="Q2917" s="16"/>
      <c r="R2917" s="16"/>
      <c r="S2917" s="16"/>
      <c r="T2917" s="17"/>
      <c r="U2917" s="11"/>
      <c r="V2917" s="16"/>
      <c r="W2917" s="11"/>
      <c r="X2917" s="11"/>
      <c r="Y2917" s="15"/>
      <c r="Z2917" s="11"/>
    </row>
    <row r="2918" spans="1:26" x14ac:dyDescent="0.25">
      <c r="A2918" s="11"/>
      <c r="B2918" s="11"/>
      <c r="C2918" s="11"/>
      <c r="D2918" s="11"/>
      <c r="E2918" s="12"/>
      <c r="F2918" s="13"/>
      <c r="G2918" s="13"/>
      <c r="H2918" s="13"/>
      <c r="I2918" s="11"/>
      <c r="J2918" s="11"/>
      <c r="K2918" s="11"/>
      <c r="L2918" s="11"/>
      <c r="M2918" s="15"/>
      <c r="N2918" s="15"/>
      <c r="O2918" s="15"/>
      <c r="P2918" s="15"/>
      <c r="Q2918" s="16"/>
      <c r="R2918" s="16"/>
      <c r="S2918" s="16"/>
      <c r="T2918" s="17"/>
      <c r="U2918" s="11"/>
      <c r="V2918" s="16"/>
      <c r="W2918" s="11"/>
      <c r="X2918" s="11"/>
      <c r="Y2918" s="15"/>
      <c r="Z2918" s="11"/>
    </row>
    <row r="2919" spans="1:26" x14ac:dyDescent="0.25">
      <c r="A2919" s="11"/>
      <c r="B2919" s="11"/>
      <c r="C2919" s="11"/>
      <c r="D2919" s="11"/>
      <c r="E2919" s="12"/>
      <c r="F2919" s="13"/>
      <c r="G2919" s="13"/>
      <c r="H2919" s="13"/>
      <c r="I2919" s="11"/>
      <c r="J2919" s="11"/>
      <c r="K2919" s="11"/>
      <c r="L2919" s="11"/>
      <c r="M2919" s="15"/>
      <c r="N2919" s="15"/>
      <c r="O2919" s="15"/>
      <c r="P2919" s="15"/>
      <c r="Q2919" s="16"/>
      <c r="R2919" s="16"/>
      <c r="S2919" s="16"/>
      <c r="T2919" s="17"/>
      <c r="U2919" s="11"/>
      <c r="V2919" s="16"/>
      <c r="W2919" s="11"/>
      <c r="X2919" s="11"/>
      <c r="Y2919" s="15"/>
      <c r="Z2919" s="11"/>
    </row>
    <row r="2920" spans="1:26" x14ac:dyDescent="0.25">
      <c r="A2920" s="11"/>
      <c r="B2920" s="11"/>
      <c r="C2920" s="11"/>
      <c r="D2920" s="11"/>
      <c r="E2920" s="12"/>
      <c r="F2920" s="13"/>
      <c r="G2920" s="13"/>
      <c r="H2920" s="13"/>
      <c r="I2920" s="11"/>
      <c r="J2920" s="11"/>
      <c r="K2920" s="11"/>
      <c r="L2920" s="11"/>
      <c r="M2920" s="15"/>
      <c r="N2920" s="15"/>
      <c r="O2920" s="15"/>
      <c r="P2920" s="15"/>
      <c r="Q2920" s="16"/>
      <c r="R2920" s="16"/>
      <c r="S2920" s="16"/>
      <c r="T2920" s="17"/>
      <c r="U2920" s="11"/>
      <c r="V2920" s="16"/>
      <c r="W2920" s="11"/>
      <c r="X2920" s="11"/>
      <c r="Y2920" s="15"/>
      <c r="Z2920" s="11"/>
    </row>
    <row r="2921" spans="1:26" x14ac:dyDescent="0.25">
      <c r="A2921" s="11"/>
      <c r="B2921" s="11"/>
      <c r="C2921" s="11"/>
      <c r="D2921" s="11"/>
      <c r="E2921" s="12"/>
      <c r="F2921" s="13"/>
      <c r="G2921" s="13"/>
      <c r="H2921" s="13"/>
      <c r="I2921" s="11"/>
      <c r="J2921" s="11"/>
      <c r="K2921" s="11"/>
      <c r="L2921" s="11"/>
      <c r="M2921" s="15"/>
      <c r="N2921" s="15"/>
      <c r="O2921" s="15"/>
      <c r="P2921" s="15"/>
      <c r="Q2921" s="16"/>
      <c r="R2921" s="16"/>
      <c r="S2921" s="16"/>
      <c r="T2921" s="17"/>
      <c r="U2921" s="11"/>
      <c r="V2921" s="16"/>
      <c r="W2921" s="11"/>
      <c r="X2921" s="11"/>
      <c r="Y2921" s="15"/>
      <c r="Z2921" s="11"/>
    </row>
    <row r="2922" spans="1:26" x14ac:dyDescent="0.25">
      <c r="A2922" s="11"/>
      <c r="B2922" s="11"/>
      <c r="C2922" s="11"/>
      <c r="D2922" s="11"/>
      <c r="E2922" s="12"/>
      <c r="F2922" s="13"/>
      <c r="G2922" s="13"/>
      <c r="H2922" s="13"/>
      <c r="I2922" s="11"/>
      <c r="J2922" s="11"/>
      <c r="K2922" s="11"/>
      <c r="L2922" s="11"/>
      <c r="M2922" s="15"/>
      <c r="N2922" s="15"/>
      <c r="O2922" s="15"/>
      <c r="P2922" s="15"/>
      <c r="Q2922" s="16"/>
      <c r="R2922" s="16"/>
      <c r="S2922" s="16"/>
      <c r="T2922" s="17"/>
      <c r="U2922" s="11"/>
      <c r="V2922" s="16"/>
      <c r="W2922" s="11"/>
      <c r="X2922" s="11"/>
      <c r="Y2922" s="15"/>
      <c r="Z2922" s="11"/>
    </row>
    <row r="2923" spans="1:26" x14ac:dyDescent="0.25">
      <c r="A2923" s="11"/>
      <c r="B2923" s="11"/>
      <c r="C2923" s="11"/>
      <c r="D2923" s="11"/>
      <c r="E2923" s="12"/>
      <c r="F2923" s="13"/>
      <c r="G2923" s="13"/>
      <c r="H2923" s="13"/>
      <c r="I2923" s="11"/>
      <c r="J2923" s="11"/>
      <c r="K2923" s="11"/>
      <c r="L2923" s="11"/>
      <c r="M2923" s="15"/>
      <c r="N2923" s="15"/>
      <c r="O2923" s="15"/>
      <c r="P2923" s="15"/>
      <c r="Q2923" s="16"/>
      <c r="R2923" s="16"/>
      <c r="S2923" s="16"/>
      <c r="T2923" s="17"/>
      <c r="U2923" s="11"/>
      <c r="V2923" s="16"/>
      <c r="W2923" s="11"/>
      <c r="X2923" s="11"/>
      <c r="Y2923" s="15"/>
      <c r="Z2923" s="11"/>
    </row>
    <row r="2924" spans="1:26" x14ac:dyDescent="0.25">
      <c r="A2924" s="11"/>
      <c r="B2924" s="11"/>
      <c r="C2924" s="11"/>
      <c r="D2924" s="11"/>
      <c r="E2924" s="12"/>
      <c r="F2924" s="13"/>
      <c r="G2924" s="13"/>
      <c r="H2924" s="13"/>
      <c r="I2924" s="11"/>
      <c r="J2924" s="11"/>
      <c r="K2924" s="11"/>
      <c r="L2924" s="11"/>
      <c r="M2924" s="15"/>
      <c r="N2924" s="15"/>
      <c r="O2924" s="15"/>
      <c r="P2924" s="15"/>
      <c r="Q2924" s="16"/>
      <c r="R2924" s="16"/>
      <c r="S2924" s="16"/>
      <c r="T2924" s="17"/>
      <c r="U2924" s="11"/>
      <c r="V2924" s="16"/>
      <c r="W2924" s="11"/>
      <c r="X2924" s="11"/>
      <c r="Y2924" s="15"/>
      <c r="Z2924" s="11"/>
    </row>
    <row r="2925" spans="1:26" x14ac:dyDescent="0.25">
      <c r="A2925" s="11"/>
      <c r="B2925" s="11"/>
      <c r="C2925" s="11"/>
      <c r="D2925" s="11"/>
      <c r="E2925" s="12"/>
      <c r="F2925" s="13"/>
      <c r="G2925" s="13"/>
      <c r="H2925" s="13"/>
      <c r="I2925" s="11"/>
      <c r="J2925" s="11"/>
      <c r="K2925" s="11"/>
      <c r="L2925" s="11"/>
      <c r="M2925" s="15"/>
      <c r="N2925" s="15"/>
      <c r="O2925" s="15"/>
      <c r="P2925" s="15"/>
      <c r="Q2925" s="16"/>
      <c r="R2925" s="16"/>
      <c r="S2925" s="16"/>
      <c r="T2925" s="17"/>
      <c r="U2925" s="11"/>
      <c r="V2925" s="16"/>
      <c r="W2925" s="11"/>
      <c r="X2925" s="11"/>
      <c r="Y2925" s="15"/>
      <c r="Z2925" s="11"/>
    </row>
    <row r="2926" spans="1:26" x14ac:dyDescent="0.25">
      <c r="A2926" s="11"/>
      <c r="B2926" s="11"/>
      <c r="C2926" s="11"/>
      <c r="D2926" s="11"/>
      <c r="E2926" s="12"/>
      <c r="F2926" s="13"/>
      <c r="G2926" s="13"/>
      <c r="H2926" s="13"/>
      <c r="I2926" s="11"/>
      <c r="J2926" s="11"/>
      <c r="K2926" s="11"/>
      <c r="L2926" s="11"/>
      <c r="M2926" s="15"/>
      <c r="N2926" s="15"/>
      <c r="O2926" s="15"/>
      <c r="P2926" s="15"/>
      <c r="Q2926" s="16"/>
      <c r="R2926" s="16"/>
      <c r="S2926" s="16"/>
      <c r="T2926" s="17"/>
      <c r="U2926" s="11"/>
      <c r="V2926" s="16"/>
      <c r="W2926" s="11"/>
      <c r="X2926" s="11"/>
      <c r="Y2926" s="15"/>
      <c r="Z2926" s="11"/>
    </row>
    <row r="2927" spans="1:26" x14ac:dyDescent="0.25">
      <c r="A2927" s="11"/>
      <c r="B2927" s="11"/>
      <c r="C2927" s="11"/>
      <c r="D2927" s="11"/>
      <c r="E2927" s="12"/>
      <c r="F2927" s="13"/>
      <c r="G2927" s="13"/>
      <c r="H2927" s="13"/>
      <c r="I2927" s="11"/>
      <c r="J2927" s="11"/>
      <c r="K2927" s="11"/>
      <c r="L2927" s="11"/>
      <c r="M2927" s="15"/>
      <c r="N2927" s="15"/>
      <c r="O2927" s="15"/>
      <c r="P2927" s="15"/>
      <c r="Q2927" s="16"/>
      <c r="R2927" s="16"/>
      <c r="S2927" s="16"/>
      <c r="T2927" s="17"/>
      <c r="U2927" s="11"/>
      <c r="V2927" s="16"/>
      <c r="W2927" s="11"/>
      <c r="X2927" s="11"/>
      <c r="Y2927" s="15"/>
      <c r="Z2927" s="11"/>
    </row>
    <row r="2928" spans="1:26" x14ac:dyDescent="0.25">
      <c r="A2928" s="11"/>
      <c r="B2928" s="11"/>
      <c r="C2928" s="11"/>
      <c r="D2928" s="11"/>
      <c r="E2928" s="12"/>
      <c r="F2928" s="13"/>
      <c r="G2928" s="13"/>
      <c r="H2928" s="13"/>
      <c r="I2928" s="11"/>
      <c r="J2928" s="11"/>
      <c r="K2928" s="11"/>
      <c r="L2928" s="11"/>
      <c r="M2928" s="15"/>
      <c r="N2928" s="15"/>
      <c r="O2928" s="15"/>
      <c r="P2928" s="15"/>
      <c r="Q2928" s="16"/>
      <c r="R2928" s="16"/>
      <c r="S2928" s="16"/>
      <c r="T2928" s="17"/>
      <c r="U2928" s="11"/>
      <c r="V2928" s="16"/>
      <c r="W2928" s="11"/>
      <c r="X2928" s="11"/>
      <c r="Y2928" s="15"/>
      <c r="Z2928" s="11"/>
    </row>
    <row r="2929" spans="1:26" x14ac:dyDescent="0.25">
      <c r="A2929" s="11"/>
      <c r="B2929" s="11"/>
      <c r="C2929" s="11"/>
      <c r="D2929" s="11"/>
      <c r="E2929" s="12"/>
      <c r="F2929" s="13"/>
      <c r="G2929" s="13"/>
      <c r="H2929" s="13"/>
      <c r="I2929" s="11"/>
      <c r="J2929" s="11"/>
      <c r="K2929" s="11"/>
      <c r="L2929" s="11"/>
      <c r="M2929" s="15"/>
      <c r="N2929" s="15"/>
      <c r="O2929" s="15"/>
      <c r="P2929" s="15"/>
      <c r="Q2929" s="16"/>
      <c r="R2929" s="16"/>
      <c r="S2929" s="16"/>
      <c r="T2929" s="17"/>
      <c r="U2929" s="11"/>
      <c r="V2929" s="16"/>
      <c r="W2929" s="11"/>
      <c r="X2929" s="11"/>
      <c r="Y2929" s="15"/>
      <c r="Z2929" s="11"/>
    </row>
    <row r="2930" spans="1:26" x14ac:dyDescent="0.25">
      <c r="A2930" s="11"/>
      <c r="B2930" s="11"/>
      <c r="C2930" s="11"/>
      <c r="D2930" s="11"/>
      <c r="E2930" s="12"/>
      <c r="F2930" s="13"/>
      <c r="G2930" s="13"/>
      <c r="H2930" s="13"/>
      <c r="I2930" s="11"/>
      <c r="J2930" s="11"/>
      <c r="K2930" s="11"/>
      <c r="L2930" s="11"/>
      <c r="M2930" s="15"/>
      <c r="N2930" s="15"/>
      <c r="O2930" s="15"/>
      <c r="P2930" s="15"/>
      <c r="Q2930" s="16"/>
      <c r="R2930" s="16"/>
      <c r="S2930" s="16"/>
      <c r="T2930" s="17"/>
      <c r="U2930" s="11"/>
      <c r="V2930" s="16"/>
      <c r="W2930" s="11"/>
      <c r="X2930" s="11"/>
      <c r="Y2930" s="15"/>
      <c r="Z2930" s="11"/>
    </row>
    <row r="2931" spans="1:26" x14ac:dyDescent="0.25">
      <c r="A2931" s="11"/>
      <c r="B2931" s="11"/>
      <c r="C2931" s="11"/>
      <c r="D2931" s="11"/>
      <c r="E2931" s="12"/>
      <c r="F2931" s="13"/>
      <c r="G2931" s="13"/>
      <c r="H2931" s="13"/>
      <c r="I2931" s="11"/>
      <c r="J2931" s="11"/>
      <c r="K2931" s="11"/>
      <c r="L2931" s="11"/>
      <c r="M2931" s="15"/>
      <c r="N2931" s="15"/>
      <c r="O2931" s="15"/>
      <c r="P2931" s="15"/>
      <c r="Q2931" s="16"/>
      <c r="R2931" s="16"/>
      <c r="S2931" s="16"/>
      <c r="T2931" s="17"/>
      <c r="U2931" s="11"/>
      <c r="V2931" s="16"/>
      <c r="W2931" s="11"/>
      <c r="X2931" s="11"/>
      <c r="Y2931" s="15"/>
      <c r="Z2931" s="11"/>
    </row>
    <row r="2932" spans="1:26" x14ac:dyDescent="0.25">
      <c r="A2932" s="11"/>
      <c r="B2932" s="11"/>
      <c r="C2932" s="11"/>
      <c r="D2932" s="11"/>
      <c r="E2932" s="12"/>
      <c r="F2932" s="13"/>
      <c r="G2932" s="13"/>
      <c r="H2932" s="13"/>
      <c r="I2932" s="11"/>
      <c r="J2932" s="11"/>
      <c r="K2932" s="11"/>
      <c r="L2932" s="11"/>
      <c r="M2932" s="15"/>
      <c r="N2932" s="15"/>
      <c r="O2932" s="15"/>
      <c r="P2932" s="15"/>
      <c r="Q2932" s="16"/>
      <c r="R2932" s="16"/>
      <c r="S2932" s="16"/>
      <c r="T2932" s="17"/>
      <c r="U2932" s="11"/>
      <c r="V2932" s="16"/>
      <c r="W2932" s="11"/>
      <c r="X2932" s="11"/>
      <c r="Y2932" s="15"/>
      <c r="Z2932" s="11"/>
    </row>
    <row r="2933" spans="1:26" x14ac:dyDescent="0.25">
      <c r="A2933" s="11"/>
      <c r="B2933" s="11"/>
      <c r="C2933" s="11"/>
      <c r="D2933" s="11"/>
      <c r="E2933" s="12"/>
      <c r="F2933" s="13"/>
      <c r="G2933" s="13"/>
      <c r="H2933" s="13"/>
      <c r="I2933" s="11"/>
      <c r="J2933" s="11"/>
      <c r="K2933" s="11"/>
      <c r="L2933" s="11"/>
      <c r="M2933" s="15"/>
      <c r="N2933" s="15"/>
      <c r="O2933" s="15"/>
      <c r="P2933" s="15"/>
      <c r="Q2933" s="16"/>
      <c r="R2933" s="16"/>
      <c r="S2933" s="16"/>
      <c r="T2933" s="17"/>
      <c r="U2933" s="11"/>
      <c r="V2933" s="16"/>
      <c r="W2933" s="11"/>
      <c r="X2933" s="11"/>
      <c r="Y2933" s="15"/>
      <c r="Z2933" s="11"/>
    </row>
    <row r="2934" spans="1:26" x14ac:dyDescent="0.25">
      <c r="A2934" s="11"/>
      <c r="B2934" s="11"/>
      <c r="C2934" s="11"/>
      <c r="D2934" s="11"/>
      <c r="E2934" s="12"/>
      <c r="F2934" s="13"/>
      <c r="G2934" s="13"/>
      <c r="H2934" s="13"/>
      <c r="I2934" s="11"/>
      <c r="J2934" s="11"/>
      <c r="K2934" s="11"/>
      <c r="L2934" s="11"/>
      <c r="M2934" s="15"/>
      <c r="N2934" s="15"/>
      <c r="O2934" s="15"/>
      <c r="P2934" s="15"/>
      <c r="Q2934" s="16"/>
      <c r="R2934" s="16"/>
      <c r="S2934" s="16"/>
      <c r="T2934" s="17"/>
      <c r="U2934" s="11"/>
      <c r="V2934" s="16"/>
      <c r="W2934" s="11"/>
      <c r="X2934" s="11"/>
      <c r="Y2934" s="15"/>
      <c r="Z2934" s="11"/>
    </row>
    <row r="2935" spans="1:26" x14ac:dyDescent="0.25">
      <c r="A2935" s="11"/>
      <c r="B2935" s="11"/>
      <c r="C2935" s="11"/>
      <c r="D2935" s="11"/>
      <c r="E2935" s="12"/>
      <c r="F2935" s="13"/>
      <c r="G2935" s="13"/>
      <c r="H2935" s="13"/>
      <c r="I2935" s="11"/>
      <c r="J2935" s="11"/>
      <c r="K2935" s="11"/>
      <c r="L2935" s="11"/>
      <c r="M2935" s="15"/>
      <c r="N2935" s="15"/>
      <c r="O2935" s="15"/>
      <c r="P2935" s="15"/>
      <c r="Q2935" s="16"/>
      <c r="R2935" s="16"/>
      <c r="S2935" s="16"/>
      <c r="T2935" s="17"/>
      <c r="U2935" s="11"/>
      <c r="V2935" s="16"/>
      <c r="W2935" s="11"/>
      <c r="X2935" s="11"/>
      <c r="Y2935" s="15"/>
      <c r="Z2935" s="11"/>
    </row>
    <row r="2936" spans="1:26" x14ac:dyDescent="0.25">
      <c r="A2936" s="11"/>
      <c r="B2936" s="11"/>
      <c r="C2936" s="11"/>
      <c r="D2936" s="11"/>
      <c r="E2936" s="12"/>
      <c r="F2936" s="13"/>
      <c r="G2936" s="13"/>
      <c r="H2936" s="13"/>
      <c r="I2936" s="11"/>
      <c r="J2936" s="11"/>
      <c r="K2936" s="11"/>
      <c r="L2936" s="11"/>
      <c r="M2936" s="15"/>
      <c r="N2936" s="15"/>
      <c r="O2936" s="15"/>
      <c r="P2936" s="15"/>
      <c r="Q2936" s="16"/>
      <c r="R2936" s="16"/>
      <c r="S2936" s="16"/>
      <c r="T2936" s="17"/>
      <c r="U2936" s="11"/>
      <c r="V2936" s="16"/>
      <c r="W2936" s="11"/>
      <c r="X2936" s="11"/>
      <c r="Y2936" s="15"/>
      <c r="Z2936" s="11"/>
    </row>
    <row r="2937" spans="1:26" x14ac:dyDescent="0.25">
      <c r="A2937" s="11"/>
      <c r="B2937" s="11"/>
      <c r="C2937" s="11"/>
      <c r="D2937" s="11"/>
      <c r="E2937" s="12"/>
      <c r="F2937" s="13"/>
      <c r="G2937" s="13"/>
      <c r="H2937" s="13"/>
      <c r="I2937" s="11"/>
      <c r="J2937" s="11"/>
      <c r="K2937" s="11"/>
      <c r="L2937" s="11"/>
      <c r="M2937" s="15"/>
      <c r="N2937" s="15"/>
      <c r="O2937" s="15"/>
      <c r="P2937" s="15"/>
      <c r="Q2937" s="16"/>
      <c r="R2937" s="16"/>
      <c r="S2937" s="16"/>
      <c r="T2937" s="17"/>
      <c r="U2937" s="11"/>
      <c r="V2937" s="16"/>
      <c r="W2937" s="11"/>
      <c r="X2937" s="11"/>
      <c r="Y2937" s="15"/>
      <c r="Z2937" s="11"/>
    </row>
    <row r="2938" spans="1:26" x14ac:dyDescent="0.25">
      <c r="A2938" s="11"/>
      <c r="B2938" s="11"/>
      <c r="C2938" s="11"/>
      <c r="D2938" s="11"/>
      <c r="E2938" s="12"/>
      <c r="F2938" s="13"/>
      <c r="G2938" s="13"/>
      <c r="H2938" s="13"/>
      <c r="I2938" s="11"/>
      <c r="J2938" s="11"/>
      <c r="K2938" s="11"/>
      <c r="L2938" s="11"/>
      <c r="M2938" s="15"/>
      <c r="N2938" s="15"/>
      <c r="O2938" s="15"/>
      <c r="P2938" s="15"/>
      <c r="Q2938" s="16"/>
      <c r="R2938" s="16"/>
      <c r="S2938" s="16"/>
      <c r="T2938" s="17"/>
      <c r="U2938" s="11"/>
      <c r="V2938" s="16"/>
      <c r="W2938" s="11"/>
      <c r="X2938" s="11"/>
      <c r="Y2938" s="15"/>
      <c r="Z2938" s="11"/>
    </row>
    <row r="2939" spans="1:26" x14ac:dyDescent="0.25">
      <c r="A2939" s="11"/>
      <c r="B2939" s="11"/>
      <c r="C2939" s="11"/>
      <c r="D2939" s="11"/>
      <c r="E2939" s="12"/>
      <c r="F2939" s="13"/>
      <c r="G2939" s="13"/>
      <c r="H2939" s="13"/>
      <c r="I2939" s="11"/>
      <c r="J2939" s="11"/>
      <c r="K2939" s="11"/>
      <c r="L2939" s="11"/>
      <c r="M2939" s="15"/>
      <c r="N2939" s="15"/>
      <c r="O2939" s="15"/>
      <c r="P2939" s="15"/>
      <c r="Q2939" s="16"/>
      <c r="R2939" s="16"/>
      <c r="S2939" s="16"/>
      <c r="T2939" s="17"/>
      <c r="U2939" s="11"/>
      <c r="V2939" s="16"/>
      <c r="W2939" s="11"/>
      <c r="X2939" s="11"/>
      <c r="Y2939" s="15"/>
      <c r="Z2939" s="11"/>
    </row>
    <row r="2940" spans="1:26" x14ac:dyDescent="0.25">
      <c r="A2940" s="11"/>
      <c r="B2940" s="11"/>
      <c r="C2940" s="11"/>
      <c r="D2940" s="11"/>
      <c r="E2940" s="12"/>
      <c r="F2940" s="13"/>
      <c r="G2940" s="13"/>
      <c r="H2940" s="13"/>
      <c r="I2940" s="11"/>
      <c r="J2940" s="11"/>
      <c r="K2940" s="11"/>
      <c r="L2940" s="11"/>
      <c r="M2940" s="15"/>
      <c r="N2940" s="15"/>
      <c r="O2940" s="15"/>
      <c r="P2940" s="15"/>
      <c r="Q2940" s="16"/>
      <c r="R2940" s="16"/>
      <c r="S2940" s="16"/>
      <c r="T2940" s="17"/>
      <c r="U2940" s="11"/>
      <c r="V2940" s="16"/>
      <c r="W2940" s="11"/>
      <c r="X2940" s="11"/>
      <c r="Y2940" s="15"/>
      <c r="Z2940" s="11"/>
    </row>
    <row r="2941" spans="1:26" x14ac:dyDescent="0.25">
      <c r="A2941" s="11"/>
      <c r="B2941" s="11"/>
      <c r="C2941" s="11"/>
      <c r="D2941" s="11"/>
      <c r="E2941" s="12"/>
      <c r="F2941" s="13"/>
      <c r="G2941" s="13"/>
      <c r="H2941" s="13"/>
      <c r="I2941" s="11"/>
      <c r="J2941" s="11"/>
      <c r="K2941" s="11"/>
      <c r="L2941" s="11"/>
      <c r="M2941" s="15"/>
      <c r="N2941" s="15"/>
      <c r="O2941" s="15"/>
      <c r="P2941" s="15"/>
      <c r="Q2941" s="16"/>
      <c r="R2941" s="16"/>
      <c r="S2941" s="16"/>
      <c r="T2941" s="17"/>
      <c r="U2941" s="11"/>
      <c r="V2941" s="16"/>
      <c r="W2941" s="11"/>
      <c r="X2941" s="11"/>
      <c r="Y2941" s="15"/>
      <c r="Z2941" s="11"/>
    </row>
    <row r="2942" spans="1:26" x14ac:dyDescent="0.25">
      <c r="A2942" s="11"/>
      <c r="B2942" s="11"/>
      <c r="C2942" s="11"/>
      <c r="D2942" s="11"/>
      <c r="E2942" s="12"/>
      <c r="F2942" s="13"/>
      <c r="G2942" s="13"/>
      <c r="H2942" s="13"/>
      <c r="I2942" s="11"/>
      <c r="J2942" s="11"/>
      <c r="K2942" s="11"/>
      <c r="L2942" s="11"/>
      <c r="M2942" s="15"/>
      <c r="N2942" s="15"/>
      <c r="O2942" s="15"/>
      <c r="P2942" s="15"/>
      <c r="Q2942" s="16"/>
      <c r="R2942" s="16"/>
      <c r="S2942" s="16"/>
      <c r="T2942" s="17"/>
      <c r="U2942" s="11"/>
      <c r="V2942" s="16"/>
      <c r="W2942" s="11"/>
      <c r="X2942" s="11"/>
      <c r="Y2942" s="15"/>
      <c r="Z2942" s="11"/>
    </row>
    <row r="2943" spans="1:26" x14ac:dyDescent="0.25">
      <c r="A2943" s="11"/>
      <c r="B2943" s="11"/>
      <c r="C2943" s="11"/>
      <c r="D2943" s="11"/>
      <c r="E2943" s="12"/>
      <c r="F2943" s="13"/>
      <c r="G2943" s="13"/>
      <c r="H2943" s="13"/>
      <c r="I2943" s="11"/>
      <c r="J2943" s="11"/>
      <c r="K2943" s="11"/>
      <c r="L2943" s="11"/>
      <c r="M2943" s="15"/>
      <c r="N2943" s="15"/>
      <c r="O2943" s="15"/>
      <c r="P2943" s="15"/>
      <c r="Q2943" s="16"/>
      <c r="R2943" s="16"/>
      <c r="S2943" s="16"/>
      <c r="T2943" s="17"/>
      <c r="U2943" s="11"/>
      <c r="V2943" s="16"/>
      <c r="W2943" s="11"/>
      <c r="X2943" s="11"/>
      <c r="Y2943" s="15"/>
      <c r="Z2943" s="11"/>
    </row>
    <row r="2944" spans="1:26" x14ac:dyDescent="0.25">
      <c r="A2944" s="11"/>
      <c r="B2944" s="11"/>
      <c r="C2944" s="11"/>
      <c r="D2944" s="11"/>
      <c r="E2944" s="12"/>
      <c r="F2944" s="13"/>
      <c r="G2944" s="13"/>
      <c r="H2944" s="13"/>
      <c r="I2944" s="11"/>
      <c r="J2944" s="11"/>
      <c r="K2944" s="11"/>
      <c r="L2944" s="11"/>
      <c r="M2944" s="15"/>
      <c r="N2944" s="15"/>
      <c r="O2944" s="15"/>
      <c r="P2944" s="15"/>
      <c r="Q2944" s="16"/>
      <c r="R2944" s="16"/>
      <c r="S2944" s="16"/>
      <c r="T2944" s="17"/>
      <c r="U2944" s="11"/>
      <c r="V2944" s="16"/>
      <c r="W2944" s="11"/>
      <c r="X2944" s="11"/>
      <c r="Y2944" s="15"/>
      <c r="Z2944" s="11"/>
    </row>
    <row r="2945" spans="1:26" x14ac:dyDescent="0.25">
      <c r="A2945" s="11"/>
      <c r="B2945" s="11"/>
      <c r="C2945" s="11"/>
      <c r="D2945" s="11"/>
      <c r="E2945" s="12"/>
      <c r="F2945" s="13"/>
      <c r="G2945" s="13"/>
      <c r="H2945" s="13"/>
      <c r="I2945" s="11"/>
      <c r="J2945" s="11"/>
      <c r="K2945" s="11"/>
      <c r="L2945" s="11"/>
      <c r="M2945" s="15"/>
      <c r="N2945" s="15"/>
      <c r="O2945" s="15"/>
      <c r="P2945" s="15"/>
      <c r="Q2945" s="16"/>
      <c r="R2945" s="16"/>
      <c r="S2945" s="16"/>
      <c r="T2945" s="17"/>
      <c r="U2945" s="11"/>
      <c r="V2945" s="16"/>
      <c r="W2945" s="11"/>
      <c r="X2945" s="11"/>
      <c r="Y2945" s="15"/>
      <c r="Z2945" s="11"/>
    </row>
    <row r="2946" spans="1:26" x14ac:dyDescent="0.25">
      <c r="A2946" s="11"/>
      <c r="B2946" s="11"/>
      <c r="C2946" s="11"/>
      <c r="D2946" s="11"/>
      <c r="E2946" s="12"/>
      <c r="F2946" s="13"/>
      <c r="G2946" s="13"/>
      <c r="H2946" s="13"/>
      <c r="I2946" s="11"/>
      <c r="J2946" s="11"/>
      <c r="K2946" s="11"/>
      <c r="L2946" s="11"/>
      <c r="M2946" s="15"/>
      <c r="N2946" s="15"/>
      <c r="O2946" s="15"/>
      <c r="P2946" s="15"/>
      <c r="Q2946" s="16"/>
      <c r="R2946" s="16"/>
      <c r="S2946" s="16"/>
      <c r="T2946" s="17"/>
      <c r="U2946" s="11"/>
      <c r="V2946" s="16"/>
      <c r="W2946" s="11"/>
      <c r="X2946" s="11"/>
      <c r="Y2946" s="15"/>
      <c r="Z2946" s="11"/>
    </row>
    <row r="2947" spans="1:26" x14ac:dyDescent="0.25">
      <c r="A2947" s="11"/>
      <c r="B2947" s="11"/>
      <c r="C2947" s="11"/>
      <c r="D2947" s="11"/>
      <c r="E2947" s="12"/>
      <c r="F2947" s="13"/>
      <c r="G2947" s="13"/>
      <c r="H2947" s="13"/>
      <c r="I2947" s="11"/>
      <c r="J2947" s="11"/>
      <c r="K2947" s="11"/>
      <c r="L2947" s="11"/>
      <c r="M2947" s="15"/>
      <c r="N2947" s="15"/>
      <c r="O2947" s="15"/>
      <c r="P2947" s="15"/>
      <c r="Q2947" s="16"/>
      <c r="R2947" s="16"/>
      <c r="S2947" s="16"/>
      <c r="T2947" s="17"/>
      <c r="U2947" s="11"/>
      <c r="V2947" s="16"/>
      <c r="W2947" s="11"/>
      <c r="X2947" s="11"/>
      <c r="Y2947" s="15"/>
      <c r="Z2947" s="11"/>
    </row>
    <row r="2948" spans="1:26" x14ac:dyDescent="0.25">
      <c r="A2948" s="11"/>
      <c r="B2948" s="11"/>
      <c r="C2948" s="11"/>
      <c r="D2948" s="11"/>
      <c r="E2948" s="12"/>
      <c r="F2948" s="13"/>
      <c r="G2948" s="13"/>
      <c r="H2948" s="13"/>
      <c r="I2948" s="11"/>
      <c r="J2948" s="11"/>
      <c r="K2948" s="11"/>
      <c r="L2948" s="11"/>
      <c r="M2948" s="15"/>
      <c r="N2948" s="15"/>
      <c r="O2948" s="15"/>
      <c r="P2948" s="15"/>
      <c r="Q2948" s="16"/>
      <c r="R2948" s="16"/>
      <c r="S2948" s="16"/>
      <c r="T2948" s="17"/>
      <c r="U2948" s="11"/>
      <c r="V2948" s="16"/>
      <c r="W2948" s="11"/>
      <c r="X2948" s="11"/>
      <c r="Y2948" s="15"/>
      <c r="Z2948" s="11"/>
    </row>
    <row r="2949" spans="1:26" x14ac:dyDescent="0.25">
      <c r="A2949" s="11"/>
      <c r="B2949" s="11"/>
      <c r="C2949" s="11"/>
      <c r="D2949" s="11"/>
      <c r="E2949" s="12"/>
      <c r="F2949" s="13"/>
      <c r="G2949" s="13"/>
      <c r="H2949" s="13"/>
      <c r="I2949" s="11"/>
      <c r="J2949" s="11"/>
      <c r="K2949" s="11"/>
      <c r="L2949" s="11"/>
      <c r="M2949" s="15"/>
      <c r="N2949" s="15"/>
      <c r="O2949" s="15"/>
      <c r="P2949" s="15"/>
      <c r="Q2949" s="16"/>
      <c r="R2949" s="16"/>
      <c r="S2949" s="16"/>
      <c r="T2949" s="17"/>
      <c r="U2949" s="11"/>
      <c r="V2949" s="16"/>
      <c r="W2949" s="11"/>
      <c r="X2949" s="11"/>
      <c r="Y2949" s="15"/>
      <c r="Z2949" s="11"/>
    </row>
    <row r="2950" spans="1:26" x14ac:dyDescent="0.25">
      <c r="A2950" s="11"/>
      <c r="B2950" s="11"/>
      <c r="C2950" s="11"/>
      <c r="D2950" s="11"/>
      <c r="E2950" s="12"/>
      <c r="F2950" s="13"/>
      <c r="G2950" s="13"/>
      <c r="H2950" s="13"/>
      <c r="I2950" s="11"/>
      <c r="J2950" s="11"/>
      <c r="K2950" s="11"/>
      <c r="L2950" s="11"/>
      <c r="M2950" s="15"/>
      <c r="N2950" s="15"/>
      <c r="O2950" s="15"/>
      <c r="P2950" s="15"/>
      <c r="Q2950" s="16"/>
      <c r="R2950" s="16"/>
      <c r="S2950" s="16"/>
      <c r="T2950" s="17"/>
      <c r="U2950" s="11"/>
      <c r="V2950" s="16"/>
      <c r="W2950" s="11"/>
      <c r="X2950" s="11"/>
      <c r="Y2950" s="15"/>
      <c r="Z2950" s="11"/>
    </row>
    <row r="2951" spans="1:26" x14ac:dyDescent="0.25">
      <c r="A2951" s="11"/>
      <c r="B2951" s="11"/>
      <c r="C2951" s="11"/>
      <c r="D2951" s="11"/>
      <c r="E2951" s="12"/>
      <c r="F2951" s="13"/>
      <c r="G2951" s="13"/>
      <c r="H2951" s="13"/>
      <c r="I2951" s="11"/>
      <c r="J2951" s="11"/>
      <c r="K2951" s="11"/>
      <c r="L2951" s="11"/>
      <c r="M2951" s="15"/>
      <c r="N2951" s="15"/>
      <c r="O2951" s="15"/>
      <c r="P2951" s="15"/>
      <c r="Q2951" s="16"/>
      <c r="R2951" s="16"/>
      <c r="S2951" s="16"/>
      <c r="T2951" s="17"/>
      <c r="U2951" s="11"/>
      <c r="V2951" s="16"/>
      <c r="W2951" s="11"/>
      <c r="X2951" s="11"/>
      <c r="Y2951" s="15"/>
      <c r="Z2951" s="11"/>
    </row>
    <row r="2952" spans="1:26" x14ac:dyDescent="0.25">
      <c r="A2952" s="11"/>
      <c r="B2952" s="11"/>
      <c r="C2952" s="11"/>
      <c r="D2952" s="11"/>
      <c r="E2952" s="12"/>
      <c r="F2952" s="13"/>
      <c r="G2952" s="13"/>
      <c r="H2952" s="13"/>
      <c r="I2952" s="11"/>
      <c r="J2952" s="11"/>
      <c r="K2952" s="11"/>
      <c r="L2952" s="11"/>
      <c r="M2952" s="15"/>
      <c r="N2952" s="15"/>
      <c r="O2952" s="15"/>
      <c r="P2952" s="15"/>
      <c r="Q2952" s="16"/>
      <c r="R2952" s="16"/>
      <c r="S2952" s="16"/>
      <c r="T2952" s="17"/>
      <c r="U2952" s="11"/>
      <c r="V2952" s="16"/>
      <c r="W2952" s="11"/>
      <c r="X2952" s="11"/>
      <c r="Y2952" s="15"/>
      <c r="Z2952" s="11"/>
    </row>
    <row r="2953" spans="1:26" x14ac:dyDescent="0.25">
      <c r="A2953" s="11"/>
      <c r="B2953" s="11"/>
      <c r="C2953" s="11"/>
      <c r="D2953" s="11"/>
      <c r="E2953" s="12"/>
      <c r="F2953" s="13"/>
      <c r="G2953" s="13"/>
      <c r="H2953" s="13"/>
      <c r="I2953" s="11"/>
      <c r="J2953" s="11"/>
      <c r="K2953" s="11"/>
      <c r="L2953" s="11"/>
      <c r="M2953" s="15"/>
      <c r="N2953" s="15"/>
      <c r="O2953" s="15"/>
      <c r="P2953" s="15"/>
      <c r="Q2953" s="16"/>
      <c r="R2953" s="16"/>
      <c r="S2953" s="16"/>
      <c r="T2953" s="17"/>
      <c r="U2953" s="11"/>
      <c r="V2953" s="16"/>
      <c r="W2953" s="11"/>
      <c r="X2953" s="11"/>
      <c r="Y2953" s="15"/>
      <c r="Z2953" s="11"/>
    </row>
    <row r="2954" spans="1:26" x14ac:dyDescent="0.25">
      <c r="A2954" s="11"/>
      <c r="B2954" s="11"/>
      <c r="C2954" s="11"/>
      <c r="D2954" s="11"/>
      <c r="E2954" s="12"/>
      <c r="F2954" s="13"/>
      <c r="G2954" s="13"/>
      <c r="H2954" s="13"/>
      <c r="I2954" s="11"/>
      <c r="J2954" s="11"/>
      <c r="K2954" s="11"/>
      <c r="L2954" s="11"/>
      <c r="M2954" s="15"/>
      <c r="N2954" s="15"/>
      <c r="O2954" s="15"/>
      <c r="P2954" s="15"/>
      <c r="Q2954" s="16"/>
      <c r="R2954" s="16"/>
      <c r="S2954" s="16"/>
      <c r="T2954" s="17"/>
      <c r="U2954" s="11"/>
      <c r="V2954" s="16"/>
      <c r="W2954" s="11"/>
      <c r="X2954" s="11"/>
      <c r="Y2954" s="15"/>
      <c r="Z2954" s="11"/>
    </row>
    <row r="2955" spans="1:26" x14ac:dyDescent="0.25">
      <c r="A2955" s="11"/>
      <c r="B2955" s="11"/>
      <c r="C2955" s="11"/>
      <c r="D2955" s="11"/>
      <c r="E2955" s="12"/>
      <c r="F2955" s="13"/>
      <c r="G2955" s="13"/>
      <c r="H2955" s="13"/>
      <c r="I2955" s="11"/>
      <c r="J2955" s="11"/>
      <c r="K2955" s="11"/>
      <c r="L2955" s="11"/>
      <c r="M2955" s="15"/>
      <c r="N2955" s="15"/>
      <c r="O2955" s="15"/>
      <c r="P2955" s="15"/>
      <c r="Q2955" s="16"/>
      <c r="R2955" s="16"/>
      <c r="S2955" s="16"/>
      <c r="T2955" s="17"/>
      <c r="U2955" s="11"/>
      <c r="V2955" s="16"/>
      <c r="W2955" s="11"/>
      <c r="X2955" s="11"/>
      <c r="Y2955" s="15"/>
      <c r="Z2955" s="11"/>
    </row>
    <row r="2956" spans="1:26" x14ac:dyDescent="0.25">
      <c r="A2956" s="11"/>
      <c r="B2956" s="11"/>
      <c r="C2956" s="11"/>
      <c r="D2956" s="11"/>
      <c r="E2956" s="12"/>
      <c r="F2956" s="13"/>
      <c r="G2956" s="13"/>
      <c r="H2956" s="13"/>
      <c r="I2956" s="11"/>
      <c r="J2956" s="11"/>
      <c r="K2956" s="11"/>
      <c r="L2956" s="11"/>
      <c r="M2956" s="15"/>
      <c r="N2956" s="15"/>
      <c r="O2956" s="15"/>
      <c r="P2956" s="15"/>
      <c r="Q2956" s="16"/>
      <c r="R2956" s="16"/>
      <c r="S2956" s="16"/>
      <c r="T2956" s="17"/>
      <c r="U2956" s="11"/>
      <c r="V2956" s="16"/>
      <c r="W2956" s="11"/>
      <c r="X2956" s="11"/>
      <c r="Y2956" s="15"/>
      <c r="Z2956" s="11"/>
    </row>
    <row r="2957" spans="1:26" x14ac:dyDescent="0.25">
      <c r="A2957" s="11"/>
      <c r="B2957" s="11"/>
      <c r="C2957" s="11"/>
      <c r="D2957" s="11"/>
      <c r="E2957" s="12"/>
      <c r="F2957" s="13"/>
      <c r="G2957" s="13"/>
      <c r="H2957" s="13"/>
      <c r="I2957" s="11"/>
      <c r="J2957" s="11"/>
      <c r="K2957" s="11"/>
      <c r="L2957" s="11"/>
      <c r="M2957" s="15"/>
      <c r="N2957" s="15"/>
      <c r="O2957" s="15"/>
      <c r="P2957" s="15"/>
      <c r="Q2957" s="16"/>
      <c r="R2957" s="16"/>
      <c r="S2957" s="16"/>
      <c r="T2957" s="17"/>
      <c r="U2957" s="11"/>
      <c r="V2957" s="16"/>
      <c r="W2957" s="11"/>
      <c r="X2957" s="11"/>
      <c r="Y2957" s="15"/>
      <c r="Z2957" s="11"/>
    </row>
    <row r="2958" spans="1:26" x14ac:dyDescent="0.25">
      <c r="A2958" s="11"/>
      <c r="B2958" s="11"/>
      <c r="C2958" s="11"/>
      <c r="D2958" s="11"/>
      <c r="E2958" s="12"/>
      <c r="F2958" s="13"/>
      <c r="G2958" s="13"/>
      <c r="H2958" s="13"/>
      <c r="I2958" s="11"/>
      <c r="J2958" s="11"/>
      <c r="K2958" s="11"/>
      <c r="L2958" s="11"/>
      <c r="M2958" s="15"/>
      <c r="N2958" s="15"/>
      <c r="O2958" s="15"/>
      <c r="P2958" s="15"/>
      <c r="Q2958" s="16"/>
      <c r="R2958" s="16"/>
      <c r="S2958" s="16"/>
      <c r="T2958" s="17"/>
      <c r="U2958" s="11"/>
      <c r="V2958" s="16"/>
      <c r="W2958" s="11"/>
      <c r="X2958" s="11"/>
      <c r="Y2958" s="15"/>
      <c r="Z2958" s="11"/>
    </row>
    <row r="2959" spans="1:26" x14ac:dyDescent="0.25">
      <c r="A2959" s="11"/>
      <c r="B2959" s="11"/>
      <c r="C2959" s="11"/>
      <c r="D2959" s="11"/>
      <c r="E2959" s="12"/>
      <c r="F2959" s="13"/>
      <c r="G2959" s="13"/>
      <c r="H2959" s="13"/>
      <c r="I2959" s="11"/>
      <c r="J2959" s="11"/>
      <c r="K2959" s="11"/>
      <c r="L2959" s="11"/>
      <c r="M2959" s="15"/>
      <c r="N2959" s="15"/>
      <c r="O2959" s="15"/>
      <c r="P2959" s="15"/>
      <c r="Q2959" s="16"/>
      <c r="R2959" s="16"/>
      <c r="S2959" s="16"/>
      <c r="T2959" s="17"/>
      <c r="U2959" s="11"/>
      <c r="V2959" s="16"/>
      <c r="W2959" s="11"/>
      <c r="X2959" s="11"/>
      <c r="Y2959" s="15"/>
      <c r="Z2959" s="11"/>
    </row>
    <row r="2960" spans="1:26" x14ac:dyDescent="0.25">
      <c r="A2960" s="11"/>
      <c r="B2960" s="11"/>
      <c r="C2960" s="11"/>
      <c r="D2960" s="11"/>
      <c r="E2960" s="12"/>
      <c r="F2960" s="13"/>
      <c r="G2960" s="13"/>
      <c r="H2960" s="13"/>
      <c r="I2960" s="11"/>
      <c r="J2960" s="11"/>
      <c r="K2960" s="11"/>
      <c r="L2960" s="11"/>
      <c r="M2960" s="15"/>
      <c r="N2960" s="15"/>
      <c r="O2960" s="15"/>
      <c r="P2960" s="15"/>
      <c r="Q2960" s="16"/>
      <c r="R2960" s="16"/>
      <c r="S2960" s="16"/>
      <c r="T2960" s="17"/>
      <c r="U2960" s="11"/>
      <c r="V2960" s="16"/>
      <c r="W2960" s="11"/>
      <c r="X2960" s="11"/>
      <c r="Y2960" s="15"/>
      <c r="Z2960" s="11"/>
    </row>
    <row r="2961" spans="1:26" x14ac:dyDescent="0.25">
      <c r="A2961" s="11"/>
      <c r="B2961" s="11"/>
      <c r="C2961" s="11"/>
      <c r="D2961" s="11"/>
      <c r="E2961" s="12"/>
      <c r="F2961" s="13"/>
      <c r="G2961" s="13"/>
      <c r="H2961" s="13"/>
      <c r="I2961" s="11"/>
      <c r="J2961" s="11"/>
      <c r="K2961" s="11"/>
      <c r="L2961" s="11"/>
      <c r="M2961" s="15"/>
      <c r="N2961" s="15"/>
      <c r="O2961" s="15"/>
      <c r="P2961" s="15"/>
      <c r="Q2961" s="16"/>
      <c r="R2961" s="16"/>
      <c r="S2961" s="16"/>
      <c r="T2961" s="17"/>
      <c r="U2961" s="11"/>
      <c r="V2961" s="16"/>
      <c r="W2961" s="11"/>
      <c r="X2961" s="11"/>
      <c r="Y2961" s="15"/>
      <c r="Z2961" s="11"/>
    </row>
    <row r="2962" spans="1:26" x14ac:dyDescent="0.25">
      <c r="A2962" s="11"/>
      <c r="B2962" s="11"/>
      <c r="C2962" s="11"/>
      <c r="D2962" s="11"/>
      <c r="E2962" s="12"/>
      <c r="F2962" s="13"/>
      <c r="G2962" s="13"/>
      <c r="H2962" s="13"/>
      <c r="I2962" s="11"/>
      <c r="J2962" s="11"/>
      <c r="K2962" s="11"/>
      <c r="L2962" s="11"/>
      <c r="M2962" s="15"/>
      <c r="N2962" s="15"/>
      <c r="O2962" s="15"/>
      <c r="P2962" s="15"/>
      <c r="Q2962" s="16"/>
      <c r="R2962" s="16"/>
      <c r="S2962" s="16"/>
      <c r="T2962" s="17"/>
      <c r="U2962" s="11"/>
      <c r="V2962" s="16"/>
      <c r="W2962" s="11"/>
      <c r="X2962" s="11"/>
      <c r="Y2962" s="15"/>
      <c r="Z2962" s="11"/>
    </row>
    <row r="2963" spans="1:26" x14ac:dyDescent="0.25">
      <c r="A2963" s="11"/>
      <c r="B2963" s="11"/>
      <c r="C2963" s="11"/>
      <c r="D2963" s="11"/>
      <c r="E2963" s="12"/>
      <c r="F2963" s="13"/>
      <c r="G2963" s="13"/>
      <c r="H2963" s="13"/>
      <c r="I2963" s="11"/>
      <c r="J2963" s="11"/>
      <c r="K2963" s="11"/>
      <c r="L2963" s="11"/>
      <c r="M2963" s="15"/>
      <c r="N2963" s="15"/>
      <c r="O2963" s="15"/>
      <c r="P2963" s="15"/>
      <c r="Q2963" s="16"/>
      <c r="R2963" s="16"/>
      <c r="S2963" s="16"/>
      <c r="T2963" s="17"/>
      <c r="U2963" s="11"/>
      <c r="V2963" s="16"/>
      <c r="W2963" s="11"/>
      <c r="X2963" s="11"/>
      <c r="Y2963" s="15"/>
      <c r="Z2963" s="11"/>
    </row>
    <row r="2964" spans="1:26" x14ac:dyDescent="0.25">
      <c r="A2964" s="11"/>
      <c r="B2964" s="11"/>
      <c r="C2964" s="11"/>
      <c r="D2964" s="11"/>
      <c r="E2964" s="12"/>
      <c r="F2964" s="13"/>
      <c r="G2964" s="13"/>
      <c r="H2964" s="13"/>
      <c r="I2964" s="11"/>
      <c r="J2964" s="11"/>
      <c r="K2964" s="11"/>
      <c r="L2964" s="11"/>
      <c r="M2964" s="15"/>
      <c r="N2964" s="15"/>
      <c r="O2964" s="15"/>
      <c r="P2964" s="15"/>
      <c r="Q2964" s="16"/>
      <c r="R2964" s="16"/>
      <c r="S2964" s="16"/>
      <c r="T2964" s="17"/>
      <c r="U2964" s="11"/>
      <c r="V2964" s="16"/>
      <c r="W2964" s="11"/>
      <c r="X2964" s="11"/>
      <c r="Y2964" s="15"/>
      <c r="Z2964" s="11"/>
    </row>
    <row r="2965" spans="1:26" x14ac:dyDescent="0.25">
      <c r="A2965" s="11"/>
      <c r="B2965" s="11"/>
      <c r="C2965" s="11"/>
      <c r="D2965" s="11"/>
      <c r="E2965" s="12"/>
      <c r="F2965" s="13"/>
      <c r="G2965" s="13"/>
      <c r="H2965" s="13"/>
      <c r="I2965" s="11"/>
      <c r="J2965" s="11"/>
      <c r="K2965" s="11"/>
      <c r="L2965" s="11"/>
      <c r="M2965" s="15"/>
      <c r="N2965" s="15"/>
      <c r="O2965" s="15"/>
      <c r="P2965" s="15"/>
      <c r="Q2965" s="16"/>
      <c r="R2965" s="16"/>
      <c r="S2965" s="16"/>
      <c r="T2965" s="17"/>
      <c r="U2965" s="11"/>
      <c r="V2965" s="16"/>
      <c r="W2965" s="11"/>
      <c r="X2965" s="11"/>
      <c r="Y2965" s="15"/>
      <c r="Z2965" s="11"/>
    </row>
    <row r="2966" spans="1:26" x14ac:dyDescent="0.25">
      <c r="A2966" s="11"/>
      <c r="B2966" s="11"/>
      <c r="C2966" s="11"/>
      <c r="D2966" s="11"/>
      <c r="E2966" s="12"/>
      <c r="F2966" s="13"/>
      <c r="G2966" s="13"/>
      <c r="H2966" s="13"/>
      <c r="I2966" s="11"/>
      <c r="J2966" s="11"/>
      <c r="K2966" s="11"/>
      <c r="L2966" s="11"/>
      <c r="M2966" s="15"/>
      <c r="N2966" s="15"/>
      <c r="O2966" s="15"/>
      <c r="P2966" s="15"/>
      <c r="Q2966" s="16"/>
      <c r="R2966" s="16"/>
      <c r="S2966" s="16"/>
      <c r="T2966" s="17"/>
      <c r="U2966" s="11"/>
      <c r="V2966" s="16"/>
      <c r="W2966" s="11"/>
      <c r="X2966" s="11"/>
      <c r="Y2966" s="15"/>
      <c r="Z2966" s="11"/>
    </row>
    <row r="2967" spans="1:26" x14ac:dyDescent="0.25">
      <c r="A2967" s="11"/>
      <c r="B2967" s="11"/>
      <c r="C2967" s="11"/>
      <c r="D2967" s="11"/>
      <c r="E2967" s="12"/>
      <c r="F2967" s="13"/>
      <c r="G2967" s="13"/>
      <c r="H2967" s="13"/>
      <c r="I2967" s="11"/>
      <c r="J2967" s="11"/>
      <c r="K2967" s="11"/>
      <c r="L2967" s="11"/>
      <c r="M2967" s="15"/>
      <c r="N2967" s="15"/>
      <c r="O2967" s="15"/>
      <c r="P2967" s="15"/>
      <c r="Q2967" s="16"/>
      <c r="R2967" s="16"/>
      <c r="S2967" s="16"/>
      <c r="T2967" s="17"/>
      <c r="U2967" s="11"/>
      <c r="V2967" s="16"/>
      <c r="W2967" s="11"/>
      <c r="X2967" s="11"/>
      <c r="Y2967" s="15"/>
      <c r="Z2967" s="11"/>
    </row>
    <row r="2968" spans="1:26" x14ac:dyDescent="0.25">
      <c r="A2968" s="11"/>
      <c r="B2968" s="11"/>
      <c r="C2968" s="11"/>
      <c r="D2968" s="11"/>
      <c r="E2968" s="12"/>
      <c r="F2968" s="13"/>
      <c r="G2968" s="13"/>
      <c r="H2968" s="13"/>
      <c r="I2968" s="11"/>
      <c r="J2968" s="11"/>
      <c r="K2968" s="11"/>
      <c r="L2968" s="11"/>
      <c r="M2968" s="15"/>
      <c r="N2968" s="15"/>
      <c r="O2968" s="15"/>
      <c r="P2968" s="15"/>
      <c r="Q2968" s="16"/>
      <c r="R2968" s="16"/>
      <c r="S2968" s="16"/>
      <c r="T2968" s="17"/>
      <c r="U2968" s="11"/>
      <c r="V2968" s="16"/>
      <c r="W2968" s="11"/>
      <c r="X2968" s="11"/>
      <c r="Y2968" s="15"/>
      <c r="Z2968" s="11"/>
    </row>
    <row r="2969" spans="1:26" x14ac:dyDescent="0.25">
      <c r="A2969" s="11"/>
      <c r="B2969" s="11"/>
      <c r="C2969" s="11"/>
      <c r="D2969" s="11"/>
      <c r="E2969" s="12"/>
      <c r="F2969" s="13"/>
      <c r="G2969" s="13"/>
      <c r="H2969" s="13"/>
      <c r="I2969" s="11"/>
      <c r="J2969" s="11"/>
      <c r="K2969" s="11"/>
      <c r="L2969" s="11"/>
      <c r="M2969" s="15"/>
      <c r="N2969" s="15"/>
      <c r="O2969" s="15"/>
      <c r="P2969" s="15"/>
      <c r="Q2969" s="16"/>
      <c r="R2969" s="16"/>
      <c r="S2969" s="16"/>
      <c r="T2969" s="17"/>
      <c r="U2969" s="11"/>
      <c r="V2969" s="16"/>
      <c r="W2969" s="11"/>
      <c r="X2969" s="11"/>
      <c r="Y2969" s="15"/>
      <c r="Z2969" s="11"/>
    </row>
    <row r="2970" spans="1:26" x14ac:dyDescent="0.25">
      <c r="A2970" s="11"/>
      <c r="B2970" s="11"/>
      <c r="C2970" s="11"/>
      <c r="D2970" s="11"/>
      <c r="E2970" s="12"/>
      <c r="F2970" s="13"/>
      <c r="G2970" s="13"/>
      <c r="H2970" s="13"/>
      <c r="I2970" s="11"/>
      <c r="J2970" s="11"/>
      <c r="K2970" s="11"/>
      <c r="L2970" s="11"/>
      <c r="M2970" s="15"/>
      <c r="N2970" s="15"/>
      <c r="O2970" s="15"/>
      <c r="P2970" s="15"/>
      <c r="Q2970" s="16"/>
      <c r="R2970" s="16"/>
      <c r="S2970" s="16"/>
      <c r="T2970" s="17"/>
      <c r="U2970" s="11"/>
      <c r="V2970" s="16"/>
      <c r="W2970" s="11"/>
      <c r="X2970" s="11"/>
      <c r="Y2970" s="15"/>
      <c r="Z2970" s="11"/>
    </row>
    <row r="2971" spans="1:26" x14ac:dyDescent="0.25">
      <c r="A2971" s="11"/>
      <c r="B2971" s="11"/>
      <c r="C2971" s="11"/>
      <c r="D2971" s="11"/>
      <c r="E2971" s="12"/>
      <c r="F2971" s="13"/>
      <c r="G2971" s="13"/>
      <c r="H2971" s="13"/>
      <c r="I2971" s="11"/>
      <c r="J2971" s="11"/>
      <c r="K2971" s="11"/>
      <c r="L2971" s="11"/>
      <c r="M2971" s="15"/>
      <c r="N2971" s="15"/>
      <c r="O2971" s="15"/>
      <c r="P2971" s="15"/>
      <c r="Q2971" s="16"/>
      <c r="R2971" s="16"/>
      <c r="S2971" s="16"/>
      <c r="T2971" s="17"/>
      <c r="U2971" s="11"/>
      <c r="V2971" s="16"/>
      <c r="W2971" s="11"/>
      <c r="X2971" s="11"/>
      <c r="Y2971" s="15"/>
      <c r="Z2971" s="11"/>
    </row>
    <row r="2972" spans="1:26" x14ac:dyDescent="0.25">
      <c r="A2972" s="11"/>
      <c r="B2972" s="11"/>
      <c r="C2972" s="11"/>
      <c r="D2972" s="11"/>
      <c r="E2972" s="12"/>
      <c r="F2972" s="13"/>
      <c r="G2972" s="13"/>
      <c r="H2972" s="13"/>
      <c r="I2972" s="11"/>
      <c r="J2972" s="11"/>
      <c r="K2972" s="11"/>
      <c r="L2972" s="11"/>
      <c r="M2972" s="15"/>
      <c r="N2972" s="15"/>
      <c r="O2972" s="15"/>
      <c r="P2972" s="15"/>
      <c r="Q2972" s="16"/>
      <c r="R2972" s="16"/>
      <c r="S2972" s="16"/>
      <c r="T2972" s="17"/>
      <c r="U2972" s="11"/>
      <c r="V2972" s="16"/>
      <c r="W2972" s="11"/>
      <c r="X2972" s="11"/>
      <c r="Y2972" s="15"/>
      <c r="Z2972" s="11"/>
    </row>
    <row r="2973" spans="1:26" x14ac:dyDescent="0.25">
      <c r="A2973" s="11"/>
      <c r="B2973" s="11"/>
      <c r="C2973" s="11"/>
      <c r="D2973" s="11"/>
      <c r="E2973" s="12"/>
      <c r="F2973" s="13"/>
      <c r="G2973" s="13"/>
      <c r="H2973" s="13"/>
      <c r="I2973" s="11"/>
      <c r="J2973" s="11"/>
      <c r="K2973" s="11"/>
      <c r="L2973" s="11"/>
      <c r="M2973" s="15"/>
      <c r="N2973" s="15"/>
      <c r="O2973" s="15"/>
      <c r="P2973" s="15"/>
      <c r="Q2973" s="16"/>
      <c r="R2973" s="16"/>
      <c r="S2973" s="16"/>
      <c r="T2973" s="17"/>
      <c r="U2973" s="11"/>
      <c r="V2973" s="16"/>
      <c r="W2973" s="11"/>
      <c r="X2973" s="11"/>
      <c r="Y2973" s="15"/>
      <c r="Z2973" s="11"/>
    </row>
    <row r="2974" spans="1:26" x14ac:dyDescent="0.25">
      <c r="A2974" s="11"/>
      <c r="B2974" s="11"/>
      <c r="C2974" s="11"/>
      <c r="D2974" s="11"/>
      <c r="E2974" s="12"/>
      <c r="F2974" s="13"/>
      <c r="G2974" s="13"/>
      <c r="H2974" s="13"/>
      <c r="I2974" s="11"/>
      <c r="J2974" s="11"/>
      <c r="K2974" s="11"/>
      <c r="L2974" s="11"/>
      <c r="M2974" s="15"/>
      <c r="N2974" s="15"/>
      <c r="O2974" s="15"/>
      <c r="P2974" s="15"/>
      <c r="Q2974" s="16"/>
      <c r="R2974" s="16"/>
      <c r="S2974" s="16"/>
      <c r="T2974" s="17"/>
      <c r="U2974" s="11"/>
      <c r="V2974" s="16"/>
      <c r="W2974" s="11"/>
      <c r="X2974" s="11"/>
      <c r="Y2974" s="15"/>
      <c r="Z2974" s="11"/>
    </row>
    <row r="2975" spans="1:26" x14ac:dyDescent="0.25">
      <c r="A2975" s="11"/>
      <c r="B2975" s="11"/>
      <c r="C2975" s="11"/>
      <c r="D2975" s="11"/>
      <c r="E2975" s="12"/>
      <c r="F2975" s="13"/>
      <c r="G2975" s="13"/>
      <c r="H2975" s="13"/>
      <c r="I2975" s="11"/>
      <c r="J2975" s="11"/>
      <c r="K2975" s="11"/>
      <c r="L2975" s="11"/>
      <c r="M2975" s="15"/>
      <c r="N2975" s="15"/>
      <c r="O2975" s="15"/>
      <c r="P2975" s="15"/>
      <c r="Q2975" s="16"/>
      <c r="R2975" s="16"/>
      <c r="S2975" s="16"/>
      <c r="T2975" s="17"/>
      <c r="U2975" s="11"/>
      <c r="V2975" s="16"/>
      <c r="W2975" s="11"/>
      <c r="X2975" s="11"/>
      <c r="Y2975" s="15"/>
      <c r="Z2975" s="11"/>
    </row>
    <row r="2976" spans="1:26" x14ac:dyDescent="0.25">
      <c r="A2976" s="11"/>
      <c r="B2976" s="11"/>
      <c r="C2976" s="11"/>
      <c r="D2976" s="11"/>
      <c r="E2976" s="12"/>
      <c r="F2976" s="13"/>
      <c r="G2976" s="13"/>
      <c r="H2976" s="13"/>
      <c r="I2976" s="11"/>
      <c r="J2976" s="11"/>
      <c r="K2976" s="11"/>
      <c r="L2976" s="11"/>
      <c r="M2976" s="15"/>
      <c r="N2976" s="15"/>
      <c r="O2976" s="15"/>
      <c r="P2976" s="15"/>
      <c r="Q2976" s="16"/>
      <c r="R2976" s="16"/>
      <c r="S2976" s="16"/>
      <c r="T2976" s="17"/>
      <c r="U2976" s="11"/>
      <c r="V2976" s="16"/>
      <c r="W2976" s="11"/>
      <c r="X2976" s="11"/>
      <c r="Y2976" s="15"/>
      <c r="Z2976" s="11"/>
    </row>
    <row r="2977" spans="1:26" x14ac:dyDescent="0.25">
      <c r="A2977" s="11"/>
      <c r="B2977" s="11"/>
      <c r="C2977" s="11"/>
      <c r="D2977" s="11"/>
      <c r="E2977" s="12"/>
      <c r="F2977" s="13"/>
      <c r="G2977" s="13"/>
      <c r="H2977" s="13"/>
      <c r="I2977" s="11"/>
      <c r="J2977" s="11"/>
      <c r="K2977" s="11"/>
      <c r="L2977" s="11"/>
      <c r="M2977" s="15"/>
      <c r="N2977" s="15"/>
      <c r="O2977" s="15"/>
      <c r="P2977" s="15"/>
      <c r="Q2977" s="16"/>
      <c r="R2977" s="16"/>
      <c r="S2977" s="16"/>
      <c r="T2977" s="17"/>
      <c r="U2977" s="11"/>
      <c r="V2977" s="16"/>
      <c r="W2977" s="11"/>
      <c r="X2977" s="11"/>
      <c r="Y2977" s="15"/>
      <c r="Z2977" s="11"/>
    </row>
    <row r="2978" spans="1:26" x14ac:dyDescent="0.25">
      <c r="A2978" s="11"/>
      <c r="B2978" s="11"/>
      <c r="C2978" s="11"/>
      <c r="D2978" s="11"/>
      <c r="E2978" s="12"/>
      <c r="F2978" s="13"/>
      <c r="G2978" s="13"/>
      <c r="H2978" s="13"/>
      <c r="I2978" s="11"/>
      <c r="J2978" s="11"/>
      <c r="K2978" s="11"/>
      <c r="L2978" s="11"/>
      <c r="M2978" s="15"/>
      <c r="N2978" s="15"/>
      <c r="O2978" s="15"/>
      <c r="P2978" s="15"/>
      <c r="Q2978" s="16"/>
      <c r="R2978" s="16"/>
      <c r="S2978" s="16"/>
      <c r="T2978" s="17"/>
      <c r="U2978" s="11"/>
      <c r="V2978" s="16"/>
      <c r="W2978" s="11"/>
      <c r="X2978" s="11"/>
      <c r="Y2978" s="15"/>
      <c r="Z2978" s="11"/>
    </row>
    <row r="2979" spans="1:26" x14ac:dyDescent="0.25">
      <c r="A2979" s="11"/>
      <c r="B2979" s="11"/>
      <c r="C2979" s="11"/>
      <c r="D2979" s="11"/>
      <c r="E2979" s="12"/>
      <c r="F2979" s="13"/>
      <c r="G2979" s="13"/>
      <c r="H2979" s="13"/>
      <c r="I2979" s="11"/>
      <c r="J2979" s="11"/>
      <c r="K2979" s="11"/>
      <c r="L2979" s="11"/>
      <c r="M2979" s="15"/>
      <c r="N2979" s="15"/>
      <c r="O2979" s="15"/>
      <c r="P2979" s="15"/>
      <c r="Q2979" s="16"/>
      <c r="R2979" s="16"/>
      <c r="S2979" s="16"/>
      <c r="T2979" s="17"/>
      <c r="U2979" s="11"/>
      <c r="V2979" s="16"/>
      <c r="W2979" s="11"/>
      <c r="X2979" s="11"/>
      <c r="Y2979" s="15"/>
      <c r="Z2979" s="11"/>
    </row>
    <row r="2980" spans="1:26" x14ac:dyDescent="0.25">
      <c r="A2980" s="11"/>
      <c r="B2980" s="11"/>
      <c r="C2980" s="11"/>
      <c r="D2980" s="11"/>
      <c r="E2980" s="12"/>
      <c r="F2980" s="13"/>
      <c r="G2980" s="13"/>
      <c r="H2980" s="13"/>
      <c r="I2980" s="11"/>
      <c r="J2980" s="11"/>
      <c r="K2980" s="11"/>
      <c r="L2980" s="11"/>
      <c r="M2980" s="15"/>
      <c r="N2980" s="15"/>
      <c r="O2980" s="15"/>
      <c r="P2980" s="15"/>
      <c r="Q2980" s="16"/>
      <c r="R2980" s="16"/>
      <c r="S2980" s="16"/>
      <c r="T2980" s="17"/>
      <c r="U2980" s="11"/>
      <c r="V2980" s="16"/>
      <c r="W2980" s="11"/>
      <c r="X2980" s="11"/>
      <c r="Y2980" s="15"/>
      <c r="Z2980" s="11"/>
    </row>
    <row r="2981" spans="1:26" x14ac:dyDescent="0.25">
      <c r="A2981" s="11"/>
      <c r="B2981" s="11"/>
      <c r="C2981" s="11"/>
      <c r="D2981" s="11"/>
      <c r="E2981" s="12"/>
      <c r="F2981" s="13"/>
      <c r="G2981" s="13"/>
      <c r="H2981" s="13"/>
      <c r="I2981" s="11"/>
      <c r="J2981" s="11"/>
      <c r="K2981" s="11"/>
      <c r="L2981" s="11"/>
      <c r="M2981" s="15"/>
      <c r="N2981" s="15"/>
      <c r="O2981" s="15"/>
      <c r="P2981" s="15"/>
      <c r="Q2981" s="16"/>
      <c r="R2981" s="16"/>
      <c r="S2981" s="16"/>
      <c r="T2981" s="17"/>
      <c r="U2981" s="11"/>
      <c r="V2981" s="16"/>
      <c r="W2981" s="11"/>
      <c r="X2981" s="11"/>
      <c r="Y2981" s="15"/>
      <c r="Z2981" s="11"/>
    </row>
    <row r="2982" spans="1:26" x14ac:dyDescent="0.25">
      <c r="A2982" s="11"/>
      <c r="B2982" s="11"/>
      <c r="C2982" s="11"/>
      <c r="D2982" s="11"/>
      <c r="E2982" s="12"/>
      <c r="F2982" s="13"/>
      <c r="G2982" s="13"/>
      <c r="H2982" s="13"/>
      <c r="I2982" s="11"/>
      <c r="J2982" s="11"/>
      <c r="K2982" s="11"/>
      <c r="L2982" s="11"/>
      <c r="M2982" s="15"/>
      <c r="N2982" s="15"/>
      <c r="O2982" s="15"/>
      <c r="P2982" s="15"/>
      <c r="Q2982" s="16"/>
      <c r="R2982" s="16"/>
      <c r="S2982" s="16"/>
      <c r="T2982" s="17"/>
      <c r="U2982" s="11"/>
      <c r="V2982" s="16"/>
      <c r="W2982" s="11"/>
      <c r="X2982" s="11"/>
      <c r="Y2982" s="15"/>
      <c r="Z2982" s="11"/>
    </row>
    <row r="2983" spans="1:26" x14ac:dyDescent="0.25">
      <c r="A2983" s="11"/>
      <c r="B2983" s="11"/>
      <c r="C2983" s="11"/>
      <c r="D2983" s="11"/>
      <c r="E2983" s="12"/>
      <c r="F2983" s="13"/>
      <c r="G2983" s="13"/>
      <c r="H2983" s="13"/>
      <c r="I2983" s="11"/>
      <c r="J2983" s="11"/>
      <c r="K2983" s="11"/>
      <c r="L2983" s="11"/>
      <c r="M2983" s="15"/>
      <c r="N2983" s="15"/>
      <c r="O2983" s="15"/>
      <c r="P2983" s="15"/>
      <c r="Q2983" s="16"/>
      <c r="R2983" s="16"/>
      <c r="S2983" s="16"/>
      <c r="T2983" s="17"/>
      <c r="U2983" s="11"/>
      <c r="V2983" s="16"/>
      <c r="W2983" s="11"/>
      <c r="X2983" s="11"/>
      <c r="Y2983" s="15"/>
      <c r="Z2983" s="11"/>
    </row>
    <row r="2984" spans="1:26" x14ac:dyDescent="0.25">
      <c r="A2984" s="11"/>
      <c r="B2984" s="11"/>
      <c r="C2984" s="11"/>
      <c r="D2984" s="11"/>
      <c r="E2984" s="12"/>
      <c r="F2984" s="13"/>
      <c r="G2984" s="13"/>
      <c r="H2984" s="13"/>
      <c r="I2984" s="11"/>
      <c r="J2984" s="11"/>
      <c r="K2984" s="11"/>
      <c r="L2984" s="11"/>
      <c r="M2984" s="15"/>
      <c r="N2984" s="15"/>
      <c r="O2984" s="15"/>
      <c r="P2984" s="15"/>
      <c r="Q2984" s="16"/>
      <c r="R2984" s="16"/>
      <c r="S2984" s="16"/>
      <c r="T2984" s="17"/>
      <c r="U2984" s="11"/>
      <c r="V2984" s="16"/>
      <c r="W2984" s="11"/>
      <c r="X2984" s="11"/>
      <c r="Y2984" s="15"/>
      <c r="Z2984" s="11"/>
    </row>
    <row r="2985" spans="1:26" x14ac:dyDescent="0.25">
      <c r="A2985" s="11"/>
      <c r="B2985" s="11"/>
      <c r="C2985" s="11"/>
      <c r="D2985" s="11"/>
      <c r="E2985" s="12"/>
      <c r="F2985" s="13"/>
      <c r="G2985" s="13"/>
      <c r="H2985" s="13"/>
      <c r="I2985" s="11"/>
      <c r="J2985" s="11"/>
      <c r="K2985" s="11"/>
      <c r="L2985" s="11"/>
      <c r="M2985" s="15"/>
      <c r="N2985" s="15"/>
      <c r="O2985" s="15"/>
      <c r="P2985" s="15"/>
      <c r="Q2985" s="16"/>
      <c r="R2985" s="16"/>
      <c r="S2985" s="16"/>
      <c r="T2985" s="17"/>
      <c r="U2985" s="11"/>
      <c r="V2985" s="16"/>
      <c r="W2985" s="11"/>
      <c r="X2985" s="11"/>
      <c r="Y2985" s="15"/>
      <c r="Z2985" s="11"/>
    </row>
    <row r="2986" spans="1:26" x14ac:dyDescent="0.25">
      <c r="A2986" s="11"/>
      <c r="B2986" s="11"/>
      <c r="C2986" s="11"/>
      <c r="D2986" s="11"/>
      <c r="E2986" s="12"/>
      <c r="F2986" s="13"/>
      <c r="G2986" s="13"/>
      <c r="H2986" s="13"/>
      <c r="I2986" s="11"/>
      <c r="J2986" s="11"/>
      <c r="K2986" s="11"/>
      <c r="L2986" s="11"/>
      <c r="M2986" s="15"/>
      <c r="N2986" s="15"/>
      <c r="O2986" s="15"/>
      <c r="P2986" s="15"/>
      <c r="Q2986" s="16"/>
      <c r="R2986" s="16"/>
      <c r="S2986" s="16"/>
      <c r="T2986" s="17"/>
      <c r="U2986" s="11"/>
      <c r="V2986" s="16"/>
      <c r="W2986" s="11"/>
      <c r="X2986" s="11"/>
      <c r="Y2986" s="15"/>
      <c r="Z2986" s="11"/>
    </row>
    <row r="2987" spans="1:26" x14ac:dyDescent="0.25">
      <c r="A2987" s="11"/>
      <c r="B2987" s="11"/>
      <c r="C2987" s="11"/>
      <c r="D2987" s="11"/>
      <c r="E2987" s="12"/>
      <c r="F2987" s="13"/>
      <c r="G2987" s="13"/>
      <c r="H2987" s="13"/>
      <c r="I2987" s="11"/>
      <c r="J2987" s="11"/>
      <c r="K2987" s="11"/>
      <c r="L2987" s="11"/>
      <c r="M2987" s="15"/>
      <c r="N2987" s="15"/>
      <c r="O2987" s="15"/>
      <c r="P2987" s="15"/>
      <c r="Q2987" s="16"/>
      <c r="R2987" s="16"/>
      <c r="S2987" s="16"/>
      <c r="T2987" s="17"/>
      <c r="U2987" s="11"/>
      <c r="V2987" s="16"/>
      <c r="W2987" s="11"/>
      <c r="X2987" s="11"/>
      <c r="Y2987" s="15"/>
      <c r="Z2987" s="11"/>
    </row>
    <row r="2988" spans="1:26" x14ac:dyDescent="0.25">
      <c r="A2988" s="11"/>
      <c r="B2988" s="11"/>
      <c r="C2988" s="11"/>
      <c r="D2988" s="11"/>
      <c r="E2988" s="12"/>
      <c r="F2988" s="13"/>
      <c r="G2988" s="13"/>
      <c r="H2988" s="13"/>
      <c r="I2988" s="11"/>
      <c r="J2988" s="11"/>
      <c r="K2988" s="11"/>
      <c r="L2988" s="11"/>
      <c r="M2988" s="15"/>
      <c r="N2988" s="15"/>
      <c r="O2988" s="15"/>
      <c r="P2988" s="15"/>
      <c r="Q2988" s="16"/>
      <c r="R2988" s="16"/>
      <c r="S2988" s="16"/>
      <c r="T2988" s="17"/>
      <c r="U2988" s="11"/>
      <c r="V2988" s="16"/>
      <c r="W2988" s="11"/>
      <c r="X2988" s="11"/>
      <c r="Y2988" s="15"/>
      <c r="Z2988" s="11"/>
    </row>
    <row r="2989" spans="1:26" x14ac:dyDescent="0.25">
      <c r="A2989" s="11"/>
      <c r="B2989" s="11"/>
      <c r="C2989" s="11"/>
      <c r="D2989" s="11"/>
      <c r="E2989" s="12"/>
      <c r="F2989" s="13"/>
      <c r="G2989" s="13"/>
      <c r="H2989" s="13"/>
      <c r="I2989" s="11"/>
      <c r="J2989" s="11"/>
      <c r="K2989" s="11"/>
      <c r="L2989" s="11"/>
      <c r="M2989" s="15"/>
      <c r="N2989" s="15"/>
      <c r="O2989" s="15"/>
      <c r="P2989" s="15"/>
      <c r="Q2989" s="16"/>
      <c r="R2989" s="16"/>
      <c r="S2989" s="16"/>
      <c r="T2989" s="17"/>
      <c r="U2989" s="11"/>
      <c r="V2989" s="16"/>
      <c r="W2989" s="11"/>
      <c r="X2989" s="11"/>
      <c r="Y2989" s="15"/>
      <c r="Z2989" s="11"/>
    </row>
    <row r="2990" spans="1:26" x14ac:dyDescent="0.25">
      <c r="A2990" s="11"/>
      <c r="B2990" s="11"/>
      <c r="C2990" s="11"/>
      <c r="D2990" s="11"/>
      <c r="E2990" s="12"/>
      <c r="F2990" s="13"/>
      <c r="G2990" s="13"/>
      <c r="H2990" s="13"/>
      <c r="I2990" s="11"/>
      <c r="J2990" s="11"/>
      <c r="K2990" s="11"/>
      <c r="L2990" s="11"/>
      <c r="M2990" s="15"/>
      <c r="N2990" s="15"/>
      <c r="O2990" s="15"/>
      <c r="P2990" s="15"/>
      <c r="Q2990" s="16"/>
      <c r="R2990" s="16"/>
      <c r="S2990" s="16"/>
      <c r="T2990" s="17"/>
      <c r="U2990" s="11"/>
      <c r="V2990" s="16"/>
      <c r="W2990" s="11"/>
      <c r="X2990" s="11"/>
      <c r="Y2990" s="15"/>
      <c r="Z2990" s="11"/>
    </row>
    <row r="2991" spans="1:26" x14ac:dyDescent="0.25">
      <c r="A2991" s="11"/>
      <c r="B2991" s="11"/>
      <c r="C2991" s="11"/>
      <c r="D2991" s="11"/>
      <c r="E2991" s="12"/>
      <c r="F2991" s="13"/>
      <c r="G2991" s="13"/>
      <c r="H2991" s="13"/>
      <c r="I2991" s="11"/>
      <c r="J2991" s="11"/>
      <c r="K2991" s="11"/>
      <c r="L2991" s="11"/>
      <c r="M2991" s="15"/>
      <c r="N2991" s="15"/>
      <c r="O2991" s="15"/>
      <c r="P2991" s="15"/>
      <c r="Q2991" s="16"/>
      <c r="R2991" s="16"/>
      <c r="S2991" s="16"/>
      <c r="T2991" s="17"/>
      <c r="U2991" s="11"/>
      <c r="V2991" s="16"/>
      <c r="W2991" s="11"/>
      <c r="X2991" s="11"/>
      <c r="Y2991" s="15"/>
      <c r="Z2991" s="11"/>
    </row>
    <row r="2992" spans="1:26" x14ac:dyDescent="0.25">
      <c r="A2992" s="11"/>
      <c r="B2992" s="11"/>
      <c r="C2992" s="11"/>
      <c r="D2992" s="11"/>
      <c r="E2992" s="12"/>
      <c r="F2992" s="13"/>
      <c r="G2992" s="13"/>
      <c r="H2992" s="13"/>
      <c r="I2992" s="11"/>
      <c r="J2992" s="11"/>
      <c r="K2992" s="11"/>
      <c r="L2992" s="11"/>
      <c r="M2992" s="15"/>
      <c r="N2992" s="15"/>
      <c r="O2992" s="15"/>
      <c r="P2992" s="15"/>
      <c r="Q2992" s="16"/>
      <c r="R2992" s="16"/>
      <c r="S2992" s="16"/>
      <c r="T2992" s="17"/>
      <c r="U2992" s="11"/>
      <c r="V2992" s="16"/>
      <c r="W2992" s="11"/>
      <c r="X2992" s="11"/>
      <c r="Y2992" s="15"/>
      <c r="Z2992" s="11"/>
    </row>
    <row r="2993" spans="1:26" x14ac:dyDescent="0.25">
      <c r="A2993" s="11"/>
      <c r="B2993" s="11"/>
      <c r="C2993" s="11"/>
      <c r="D2993" s="11"/>
      <c r="E2993" s="12"/>
      <c r="F2993" s="13"/>
      <c r="G2993" s="13"/>
      <c r="H2993" s="13"/>
      <c r="I2993" s="11"/>
      <c r="J2993" s="11"/>
      <c r="K2993" s="11"/>
      <c r="L2993" s="11"/>
      <c r="M2993" s="15"/>
      <c r="N2993" s="15"/>
      <c r="O2993" s="15"/>
      <c r="P2993" s="15"/>
      <c r="Q2993" s="16"/>
      <c r="R2993" s="16"/>
      <c r="S2993" s="16"/>
      <c r="T2993" s="17"/>
      <c r="U2993" s="11"/>
      <c r="V2993" s="16"/>
      <c r="W2993" s="11"/>
      <c r="X2993" s="11"/>
      <c r="Y2993" s="15"/>
      <c r="Z2993" s="11"/>
    </row>
    <row r="2994" spans="1:26" x14ac:dyDescent="0.25">
      <c r="A2994" s="11"/>
      <c r="B2994" s="11"/>
      <c r="C2994" s="11"/>
      <c r="D2994" s="11"/>
      <c r="E2994" s="12"/>
      <c r="F2994" s="13"/>
      <c r="G2994" s="13"/>
      <c r="H2994" s="13"/>
      <c r="I2994" s="11"/>
      <c r="J2994" s="11"/>
      <c r="K2994" s="11"/>
      <c r="L2994" s="11"/>
      <c r="M2994" s="15"/>
      <c r="N2994" s="15"/>
      <c r="O2994" s="15"/>
      <c r="P2994" s="15"/>
      <c r="Q2994" s="16"/>
      <c r="R2994" s="16"/>
      <c r="S2994" s="16"/>
      <c r="T2994" s="17"/>
      <c r="U2994" s="11"/>
      <c r="V2994" s="16"/>
      <c r="W2994" s="11"/>
      <c r="X2994" s="11"/>
      <c r="Y2994" s="15"/>
      <c r="Z2994" s="11"/>
    </row>
    <row r="2995" spans="1:26" x14ac:dyDescent="0.25">
      <c r="A2995" s="11"/>
      <c r="B2995" s="11"/>
      <c r="C2995" s="11"/>
      <c r="D2995" s="11"/>
      <c r="E2995" s="12"/>
      <c r="F2995" s="13"/>
      <c r="G2995" s="13"/>
      <c r="H2995" s="13"/>
      <c r="I2995" s="11"/>
      <c r="J2995" s="11"/>
      <c r="K2995" s="11"/>
      <c r="L2995" s="11"/>
      <c r="M2995" s="15"/>
      <c r="N2995" s="15"/>
      <c r="O2995" s="15"/>
      <c r="P2995" s="15"/>
      <c r="Q2995" s="16"/>
      <c r="R2995" s="16"/>
      <c r="S2995" s="16"/>
      <c r="T2995" s="17"/>
      <c r="U2995" s="11"/>
      <c r="V2995" s="16"/>
      <c r="W2995" s="11"/>
      <c r="X2995" s="11"/>
      <c r="Y2995" s="15"/>
      <c r="Z2995" s="11"/>
    </row>
    <row r="2996" spans="1:26" x14ac:dyDescent="0.25">
      <c r="A2996" s="11"/>
      <c r="B2996" s="11"/>
      <c r="C2996" s="11"/>
      <c r="D2996" s="11"/>
      <c r="E2996" s="12"/>
      <c r="F2996" s="13"/>
      <c r="G2996" s="13"/>
      <c r="H2996" s="13"/>
      <c r="I2996" s="11"/>
      <c r="J2996" s="11"/>
      <c r="K2996" s="11"/>
      <c r="L2996" s="11"/>
      <c r="M2996" s="15"/>
      <c r="N2996" s="15"/>
      <c r="O2996" s="15"/>
      <c r="P2996" s="15"/>
      <c r="Q2996" s="16"/>
      <c r="R2996" s="16"/>
      <c r="S2996" s="16"/>
      <c r="T2996" s="17"/>
      <c r="U2996" s="11"/>
      <c r="V2996" s="16"/>
      <c r="W2996" s="11"/>
      <c r="X2996" s="11"/>
      <c r="Y2996" s="15"/>
      <c r="Z2996" s="11"/>
    </row>
    <row r="2997" spans="1:26" x14ac:dyDescent="0.25">
      <c r="A2997" s="11"/>
      <c r="B2997" s="11"/>
      <c r="C2997" s="11"/>
      <c r="D2997" s="11"/>
      <c r="E2997" s="12"/>
      <c r="F2997" s="13"/>
      <c r="G2997" s="13"/>
      <c r="H2997" s="13"/>
      <c r="I2997" s="11"/>
      <c r="J2997" s="11"/>
      <c r="K2997" s="11"/>
      <c r="L2997" s="11"/>
      <c r="M2997" s="15"/>
      <c r="N2997" s="15"/>
      <c r="O2997" s="15"/>
      <c r="P2997" s="15"/>
      <c r="Q2997" s="16"/>
      <c r="R2997" s="16"/>
      <c r="S2997" s="16"/>
      <c r="T2997" s="17"/>
      <c r="U2997" s="11"/>
      <c r="V2997" s="16"/>
      <c r="W2997" s="11"/>
      <c r="X2997" s="11"/>
      <c r="Y2997" s="15"/>
      <c r="Z2997" s="11"/>
    </row>
    <row r="2998" spans="1:26" x14ac:dyDescent="0.25">
      <c r="A2998" s="11"/>
      <c r="B2998" s="11"/>
      <c r="C2998" s="11"/>
      <c r="D2998" s="11"/>
      <c r="E2998" s="12"/>
      <c r="F2998" s="13"/>
      <c r="G2998" s="13"/>
      <c r="H2998" s="13"/>
      <c r="I2998" s="11"/>
      <c r="J2998" s="11"/>
      <c r="K2998" s="11"/>
      <c r="L2998" s="11"/>
      <c r="M2998" s="15"/>
      <c r="N2998" s="15"/>
      <c r="O2998" s="15"/>
      <c r="P2998" s="15"/>
      <c r="Q2998" s="16"/>
      <c r="R2998" s="16"/>
      <c r="S2998" s="16"/>
      <c r="T2998" s="17"/>
      <c r="U2998" s="11"/>
      <c r="V2998" s="16"/>
      <c r="W2998" s="11"/>
      <c r="X2998" s="11"/>
      <c r="Y2998" s="15"/>
      <c r="Z2998"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435D-35AE-4F75-B26A-86B97D64EC8D}">
  <dimension ref="A1:AN219"/>
  <sheetViews>
    <sheetView topLeftCell="A211" workbookViewId="0">
      <selection activeCell="AN2" sqref="AN2"/>
    </sheetView>
  </sheetViews>
  <sheetFormatPr defaultRowHeight="15" x14ac:dyDescent="0.25"/>
  <cols>
    <col min="1" max="1" width="11.5703125" style="32" bestFit="1" customWidth="1"/>
    <col min="2" max="2" width="39" style="32" bestFit="1" customWidth="1"/>
    <col min="3" max="3" width="13.7109375" style="32" bestFit="1" customWidth="1"/>
    <col min="4" max="4" width="20.5703125" style="32" bestFit="1" customWidth="1"/>
    <col min="5" max="5" width="12.7109375" style="32" bestFit="1" customWidth="1"/>
    <col min="6" max="6" width="11.85546875" style="32" bestFit="1" customWidth="1"/>
    <col min="7" max="7" width="10.42578125" style="32" bestFit="1" customWidth="1"/>
    <col min="8" max="8" width="19.42578125" style="32" bestFit="1" customWidth="1"/>
    <col min="9" max="9" width="18.85546875" style="32" bestFit="1" customWidth="1"/>
    <col min="10" max="10" width="6.42578125" style="32" bestFit="1" customWidth="1"/>
    <col min="11" max="11" width="13.5703125" style="32" bestFit="1" customWidth="1"/>
    <col min="12" max="12" width="16.5703125" style="32" bestFit="1" customWidth="1"/>
    <col min="13" max="13" width="8.85546875" style="32" bestFit="1" customWidth="1"/>
    <col min="14" max="14" width="10.7109375" style="32" bestFit="1" customWidth="1"/>
    <col min="15" max="15" width="9.85546875" style="32" bestFit="1" customWidth="1"/>
    <col min="16" max="16" width="14.28515625" style="32" bestFit="1" customWidth="1"/>
    <col min="17" max="17" width="9.28515625" style="32" bestFit="1" customWidth="1"/>
    <col min="18" max="18" width="20.7109375" style="32" bestFit="1" customWidth="1"/>
    <col min="19" max="19" width="12.42578125" style="32" bestFit="1" customWidth="1"/>
    <col min="20" max="20" width="16" style="32" bestFit="1" customWidth="1"/>
    <col min="21" max="21" width="8.5703125" style="32" bestFit="1" customWidth="1"/>
    <col min="22" max="22" width="10" style="32" bestFit="1" customWidth="1"/>
    <col min="23" max="23" width="11.7109375" style="32" bestFit="1" customWidth="1"/>
    <col min="24" max="24" width="11.28515625" style="32" bestFit="1" customWidth="1"/>
    <col min="25" max="25" width="9.28515625" style="32" bestFit="1" customWidth="1"/>
    <col min="26" max="26" width="10" style="32" bestFit="1" customWidth="1"/>
    <col min="27" max="27" width="10.85546875" style="32" bestFit="1" customWidth="1"/>
    <col min="28" max="28" width="16.85546875" style="32" bestFit="1" customWidth="1"/>
    <col min="29" max="29" width="7" style="32" bestFit="1" customWidth="1"/>
    <col min="30" max="30" width="110.85546875" style="32" bestFit="1" customWidth="1"/>
    <col min="31" max="31" width="255.7109375" style="32" bestFit="1" customWidth="1"/>
    <col min="32" max="32" width="11.42578125" style="32" bestFit="1" customWidth="1"/>
    <col min="33" max="33" width="28" style="32" bestFit="1" customWidth="1"/>
    <col min="34" max="34" width="9.85546875" style="32" bestFit="1" customWidth="1"/>
    <col min="35" max="35" width="11" style="32" bestFit="1" customWidth="1"/>
    <col min="36" max="36" width="6" style="32" bestFit="1" customWidth="1"/>
    <col min="37" max="37" width="39.85546875" style="32" bestFit="1" customWidth="1"/>
    <col min="38" max="38" width="14.5703125" style="32" bestFit="1" customWidth="1"/>
    <col min="39" max="39" width="255.7109375" style="32" bestFit="1" customWidth="1"/>
    <col min="40" max="40" width="8.7109375" style="32" customWidth="1"/>
    <col min="41" max="16384" width="9.140625" style="32"/>
  </cols>
  <sheetData>
    <row r="1" spans="1:40" x14ac:dyDescent="0.25">
      <c r="A1" s="32" t="s">
        <v>0</v>
      </c>
      <c r="B1" s="32" t="s">
        <v>1</v>
      </c>
      <c r="C1" s="32" t="s">
        <v>2</v>
      </c>
      <c r="D1" s="32" t="s">
        <v>3</v>
      </c>
      <c r="E1" s="32" t="s">
        <v>4</v>
      </c>
      <c r="F1" s="32" t="s">
        <v>5</v>
      </c>
      <c r="G1" s="32" t="s">
        <v>6</v>
      </c>
      <c r="H1" s="32" t="s">
        <v>7</v>
      </c>
      <c r="I1" s="32" t="s">
        <v>8</v>
      </c>
      <c r="J1" s="32" t="s">
        <v>9</v>
      </c>
      <c r="K1" s="32" t="s">
        <v>10</v>
      </c>
      <c r="L1" s="32" t="s">
        <v>11</v>
      </c>
      <c r="M1" s="32" t="s">
        <v>988</v>
      </c>
      <c r="N1" s="32" t="s">
        <v>13</v>
      </c>
      <c r="O1" s="32" t="s">
        <v>14</v>
      </c>
      <c r="P1" s="32" t="s">
        <v>15</v>
      </c>
      <c r="Q1" s="32" t="s">
        <v>16</v>
      </c>
      <c r="R1" s="32" t="s">
        <v>17</v>
      </c>
      <c r="S1" s="32" t="s">
        <v>18</v>
      </c>
      <c r="T1" s="32" t="s">
        <v>19</v>
      </c>
      <c r="U1" s="32" t="s">
        <v>20</v>
      </c>
      <c r="V1" s="32" t="s">
        <v>21</v>
      </c>
      <c r="W1" s="32" t="s">
        <v>22</v>
      </c>
      <c r="X1" s="32" t="s">
        <v>23</v>
      </c>
      <c r="Y1" s="32" t="s">
        <v>24</v>
      </c>
      <c r="Z1" s="32" t="s">
        <v>25</v>
      </c>
      <c r="AA1" s="32" t="s">
        <v>26</v>
      </c>
      <c r="AB1" s="32" t="s">
        <v>989</v>
      </c>
      <c r="AC1" s="32" t="s">
        <v>28</v>
      </c>
      <c r="AD1" s="32" t="s">
        <v>1886</v>
      </c>
      <c r="AE1" s="32" t="s">
        <v>30</v>
      </c>
      <c r="AF1" s="32" t="s">
        <v>31</v>
      </c>
      <c r="AG1" s="32" t="s">
        <v>32</v>
      </c>
      <c r="AH1" s="32" t="s">
        <v>1887</v>
      </c>
      <c r="AI1" s="32" t="s">
        <v>33</v>
      </c>
      <c r="AJ1" s="32" t="s">
        <v>34</v>
      </c>
      <c r="AK1" s="32" t="s">
        <v>35</v>
      </c>
      <c r="AL1" s="32" t="s">
        <v>986</v>
      </c>
      <c r="AM1" s="32" t="s">
        <v>987</v>
      </c>
    </row>
    <row r="2" spans="1:40" x14ac:dyDescent="0.25">
      <c r="A2" s="32">
        <v>22500629</v>
      </c>
      <c r="B2" s="32" t="s">
        <v>990</v>
      </c>
      <c r="C2" s="32" t="s">
        <v>991</v>
      </c>
      <c r="D2" s="32" t="s">
        <v>992</v>
      </c>
      <c r="E2" s="32" t="s">
        <v>993</v>
      </c>
      <c r="F2" s="32" t="s">
        <v>993</v>
      </c>
      <c r="G2" s="40">
        <v>45664</v>
      </c>
      <c r="H2" s="40" t="s">
        <v>994</v>
      </c>
      <c r="I2" s="40" t="s">
        <v>994</v>
      </c>
      <c r="J2" s="32" t="s">
        <v>995</v>
      </c>
      <c r="K2" s="32">
        <v>45664</v>
      </c>
      <c r="L2" s="32">
        <v>399000</v>
      </c>
      <c r="M2" s="32">
        <v>348000</v>
      </c>
      <c r="O2" s="32" t="s">
        <v>994</v>
      </c>
      <c r="P2" s="32">
        <v>8330</v>
      </c>
      <c r="Q2" s="32" t="s">
        <v>38</v>
      </c>
      <c r="R2" s="32" t="s">
        <v>996</v>
      </c>
      <c r="S2" s="32" t="s">
        <v>45</v>
      </c>
      <c r="T2" s="32" t="s">
        <v>997</v>
      </c>
      <c r="U2" s="32">
        <v>85747</v>
      </c>
      <c r="V2" s="32">
        <v>32.099975000000001</v>
      </c>
      <c r="W2" s="32">
        <v>-110.720078</v>
      </c>
      <c r="X2" s="32">
        <v>1578</v>
      </c>
      <c r="Y2" s="32">
        <v>2025</v>
      </c>
      <c r="Z2" s="32">
        <v>3</v>
      </c>
      <c r="AA2" s="32">
        <v>2</v>
      </c>
      <c r="AB2" s="32" t="s">
        <v>510</v>
      </c>
      <c r="AC2" s="32" t="s">
        <v>998</v>
      </c>
      <c r="AD2" s="32" t="s">
        <v>999</v>
      </c>
      <c r="AE2" s="32" t="s">
        <v>1000</v>
      </c>
      <c r="AF2" s="32" t="s">
        <v>1001</v>
      </c>
      <c r="AG2" s="32" t="s">
        <v>1002</v>
      </c>
      <c r="AH2" s="32" t="s">
        <v>1003</v>
      </c>
      <c r="AI2" s="32" t="str">
        <f t="shared" ref="AI2:AI54" si="0">IFERROR(_xlfn.TEXTBEFORE(_xlfn.TEXTAFTER(AM2,"Construction|Model Name|"),";"),"")</f>
        <v>Pearl</v>
      </c>
      <c r="AJ2" s="32">
        <v>7337</v>
      </c>
      <c r="AK2" s="32" t="s">
        <v>1004</v>
      </c>
      <c r="AL2" s="36">
        <v>513</v>
      </c>
      <c r="AM2" s="30" t="s">
        <v>1673</v>
      </c>
      <c r="AN2" s="41">
        <f t="shared" ref="AN2:AN65" si="1">IF(J2="A",1,IF(J2="P",2,IF(J2="C",3,"-")))</f>
        <v>1</v>
      </c>
    </row>
    <row r="3" spans="1:40" x14ac:dyDescent="0.25">
      <c r="A3" s="32">
        <v>22500633</v>
      </c>
      <c r="B3" s="32" t="s">
        <v>990</v>
      </c>
      <c r="C3" s="32" t="s">
        <v>991</v>
      </c>
      <c r="D3" s="32" t="s">
        <v>992</v>
      </c>
      <c r="E3" s="32" t="s">
        <v>993</v>
      </c>
      <c r="F3" s="32" t="s">
        <v>993</v>
      </c>
      <c r="G3" s="40">
        <v>45664</v>
      </c>
      <c r="H3" s="40" t="s">
        <v>994</v>
      </c>
      <c r="I3" s="40" t="s">
        <v>994</v>
      </c>
      <c r="J3" s="32" t="s">
        <v>995</v>
      </c>
      <c r="K3" s="32">
        <v>45664</v>
      </c>
      <c r="L3" s="32">
        <v>410520</v>
      </c>
      <c r="M3" s="32">
        <v>344000</v>
      </c>
      <c r="O3" s="32" t="s">
        <v>994</v>
      </c>
      <c r="P3" s="32">
        <v>8335</v>
      </c>
      <c r="Q3" s="32" t="s">
        <v>38</v>
      </c>
      <c r="R3" s="32" t="s">
        <v>996</v>
      </c>
      <c r="S3" s="32" t="s">
        <v>45</v>
      </c>
      <c r="T3" s="32" t="s">
        <v>997</v>
      </c>
      <c r="U3" s="32">
        <v>85747</v>
      </c>
      <c r="V3" s="32">
        <v>32.099800000000002</v>
      </c>
      <c r="W3" s="32">
        <v>-110.719573</v>
      </c>
      <c r="X3" s="32">
        <v>1578</v>
      </c>
      <c r="Y3" s="32">
        <v>2025</v>
      </c>
      <c r="Z3" s="32">
        <v>3</v>
      </c>
      <c r="AA3" s="32">
        <v>2</v>
      </c>
      <c r="AB3" s="32" t="s">
        <v>510</v>
      </c>
      <c r="AC3" s="32" t="s">
        <v>998</v>
      </c>
      <c r="AD3" s="32" t="s">
        <v>1005</v>
      </c>
      <c r="AE3" s="32" t="s">
        <v>1006</v>
      </c>
      <c r="AF3" s="32" t="s">
        <v>1007</v>
      </c>
      <c r="AG3" s="32" t="s">
        <v>1002</v>
      </c>
      <c r="AH3" s="32" t="s">
        <v>1003</v>
      </c>
      <c r="AI3" s="32" t="str">
        <f t="shared" si="0"/>
        <v>Pearl</v>
      </c>
      <c r="AJ3" s="32">
        <v>7337</v>
      </c>
      <c r="AK3" s="32" t="s">
        <v>1004</v>
      </c>
      <c r="AL3" s="36">
        <v>513</v>
      </c>
      <c r="AM3" s="30" t="s">
        <v>1674</v>
      </c>
      <c r="AN3" s="41">
        <f t="shared" si="1"/>
        <v>1</v>
      </c>
    </row>
    <row r="4" spans="1:40" x14ac:dyDescent="0.25">
      <c r="A4" s="32">
        <v>22505502</v>
      </c>
      <c r="B4" s="32" t="s">
        <v>990</v>
      </c>
      <c r="C4" s="32" t="s">
        <v>991</v>
      </c>
      <c r="D4" s="32" t="s">
        <v>992</v>
      </c>
      <c r="E4" s="32" t="s">
        <v>993</v>
      </c>
      <c r="F4" s="32" t="s">
        <v>993</v>
      </c>
      <c r="G4" s="40">
        <v>45712</v>
      </c>
      <c r="H4" s="40">
        <v>46069</v>
      </c>
      <c r="I4" s="40">
        <v>46048</v>
      </c>
      <c r="J4" s="32" t="s">
        <v>37</v>
      </c>
      <c r="K4" s="32">
        <v>46076</v>
      </c>
      <c r="L4" s="32">
        <v>491920</v>
      </c>
      <c r="M4" s="32">
        <v>468120</v>
      </c>
      <c r="N4" s="32">
        <v>468120</v>
      </c>
      <c r="O4" s="32">
        <v>181.79</v>
      </c>
      <c r="P4" s="32">
        <v>8300</v>
      </c>
      <c r="Q4" s="32" t="s">
        <v>38</v>
      </c>
      <c r="R4" s="32" t="s">
        <v>996</v>
      </c>
      <c r="S4" s="32" t="s">
        <v>45</v>
      </c>
      <c r="T4" s="32" t="s">
        <v>997</v>
      </c>
      <c r="U4" s="32">
        <v>85747</v>
      </c>
      <c r="V4" s="32">
        <v>32.100673</v>
      </c>
      <c r="W4" s="32">
        <v>-110.720017</v>
      </c>
      <c r="X4" s="32">
        <v>2575</v>
      </c>
      <c r="Y4" s="32">
        <v>2025</v>
      </c>
      <c r="Z4" s="32">
        <v>5</v>
      </c>
      <c r="AA4" s="32">
        <v>3</v>
      </c>
      <c r="AB4" s="32" t="s">
        <v>510</v>
      </c>
      <c r="AC4" s="32" t="s">
        <v>1008</v>
      </c>
      <c r="AD4" s="32" t="s">
        <v>1009</v>
      </c>
      <c r="AE4" s="32" t="s">
        <v>1010</v>
      </c>
      <c r="AF4" s="32" t="s">
        <v>1011</v>
      </c>
      <c r="AG4" s="32" t="s">
        <v>1002</v>
      </c>
      <c r="AH4" s="32" t="s">
        <v>1003</v>
      </c>
      <c r="AI4" s="32" t="str">
        <f t="shared" si="0"/>
        <v>Emerald</v>
      </c>
      <c r="AJ4" s="32">
        <v>7337</v>
      </c>
      <c r="AK4" s="32" t="s">
        <v>1004</v>
      </c>
      <c r="AL4" s="36">
        <v>336</v>
      </c>
      <c r="AM4" s="30" t="s">
        <v>1675</v>
      </c>
      <c r="AN4" s="41">
        <f t="shared" si="1"/>
        <v>3</v>
      </c>
    </row>
    <row r="5" spans="1:40" x14ac:dyDescent="0.25">
      <c r="A5" s="32">
        <v>22511535</v>
      </c>
      <c r="B5" s="32" t="s">
        <v>990</v>
      </c>
      <c r="C5" s="32" t="s">
        <v>991</v>
      </c>
      <c r="D5" s="32" t="s">
        <v>992</v>
      </c>
      <c r="E5" s="32" t="s">
        <v>993</v>
      </c>
      <c r="F5" s="32" t="s">
        <v>993</v>
      </c>
      <c r="G5" s="40">
        <v>45769</v>
      </c>
      <c r="H5" s="40" t="s">
        <v>994</v>
      </c>
      <c r="I5" s="40" t="s">
        <v>994</v>
      </c>
      <c r="J5" s="32" t="s">
        <v>995</v>
      </c>
      <c r="K5" s="32">
        <v>45771</v>
      </c>
      <c r="L5" s="32">
        <v>410420</v>
      </c>
      <c r="M5" s="32">
        <v>372420</v>
      </c>
      <c r="O5" s="32" t="s">
        <v>994</v>
      </c>
      <c r="P5" s="32">
        <v>8293</v>
      </c>
      <c r="Q5" s="32" t="s">
        <v>38</v>
      </c>
      <c r="R5" s="32" t="s">
        <v>996</v>
      </c>
      <c r="S5" s="32" t="s">
        <v>45</v>
      </c>
      <c r="T5" s="32" t="s">
        <v>997</v>
      </c>
      <c r="U5" s="32">
        <v>85747</v>
      </c>
      <c r="V5" s="32">
        <v>32.100796000000003</v>
      </c>
      <c r="W5" s="32">
        <v>-110.719494</v>
      </c>
      <c r="X5" s="32">
        <v>1832</v>
      </c>
      <c r="Y5" s="32">
        <v>2025</v>
      </c>
      <c r="Z5" s="32">
        <v>4</v>
      </c>
      <c r="AA5" s="32">
        <v>2</v>
      </c>
      <c r="AB5" s="32" t="s">
        <v>510</v>
      </c>
      <c r="AC5" s="32" t="s">
        <v>998</v>
      </c>
      <c r="AD5" s="32" t="s">
        <v>1012</v>
      </c>
      <c r="AE5" s="32" t="s">
        <v>1013</v>
      </c>
      <c r="AF5" s="32" t="s">
        <v>1014</v>
      </c>
      <c r="AG5" s="32" t="s">
        <v>1002</v>
      </c>
      <c r="AH5" s="32" t="s">
        <v>1003</v>
      </c>
      <c r="AI5" s="32" t="str">
        <f t="shared" si="0"/>
        <v>Garnet</v>
      </c>
      <c r="AJ5" s="32">
        <v>7337</v>
      </c>
      <c r="AK5" s="32" t="s">
        <v>1004</v>
      </c>
      <c r="AL5" s="37">
        <v>408</v>
      </c>
      <c r="AM5" s="31" t="s">
        <v>1676</v>
      </c>
      <c r="AN5" s="41">
        <f t="shared" si="1"/>
        <v>1</v>
      </c>
    </row>
    <row r="6" spans="1:40" x14ac:dyDescent="0.25">
      <c r="A6" s="32">
        <v>22511821</v>
      </c>
      <c r="B6" s="32" t="s">
        <v>990</v>
      </c>
      <c r="C6" s="32" t="s">
        <v>991</v>
      </c>
      <c r="D6" s="32" t="s">
        <v>992</v>
      </c>
      <c r="E6" s="32" t="s">
        <v>993</v>
      </c>
      <c r="F6" s="32" t="s">
        <v>993</v>
      </c>
      <c r="G6" s="40">
        <v>45767</v>
      </c>
      <c r="H6" s="40">
        <v>46008</v>
      </c>
      <c r="I6" s="40">
        <v>45979</v>
      </c>
      <c r="J6" s="32" t="s">
        <v>37</v>
      </c>
      <c r="K6" s="32">
        <v>46013</v>
      </c>
      <c r="L6" s="32">
        <v>398330</v>
      </c>
      <c r="M6" s="32">
        <v>395330</v>
      </c>
      <c r="N6" s="32">
        <v>395330</v>
      </c>
      <c r="O6" s="32">
        <v>215.79</v>
      </c>
      <c r="P6" s="32">
        <v>8294</v>
      </c>
      <c r="Q6" s="32" t="s">
        <v>38</v>
      </c>
      <c r="R6" s="32" t="s">
        <v>996</v>
      </c>
      <c r="S6" s="32" t="s">
        <v>45</v>
      </c>
      <c r="T6" s="32" t="s">
        <v>997</v>
      </c>
      <c r="U6" s="32">
        <v>85747</v>
      </c>
      <c r="V6" s="32">
        <v>32.100793000000003</v>
      </c>
      <c r="W6" s="32">
        <v>-110.720063</v>
      </c>
      <c r="X6" s="32">
        <v>1832</v>
      </c>
      <c r="Y6" s="32">
        <v>2025</v>
      </c>
      <c r="Z6" s="32">
        <v>4</v>
      </c>
      <c r="AA6" s="32">
        <v>2</v>
      </c>
      <c r="AB6" s="32" t="s">
        <v>510</v>
      </c>
      <c r="AC6" s="32" t="s">
        <v>998</v>
      </c>
      <c r="AD6" s="32" t="s">
        <v>1015</v>
      </c>
      <c r="AE6" s="32" t="s">
        <v>1016</v>
      </c>
      <c r="AF6" s="32" t="s">
        <v>1017</v>
      </c>
      <c r="AG6" s="32" t="s">
        <v>1002</v>
      </c>
      <c r="AH6" s="32" t="s">
        <v>1003</v>
      </c>
      <c r="AI6" s="32" t="str">
        <f t="shared" si="0"/>
        <v>Garnet</v>
      </c>
      <c r="AJ6" s="32">
        <v>7337</v>
      </c>
      <c r="AK6" s="32" t="s">
        <v>1004</v>
      </c>
      <c r="AL6" s="36">
        <v>212</v>
      </c>
      <c r="AM6" s="30" t="s">
        <v>1677</v>
      </c>
      <c r="AN6" s="41">
        <f t="shared" si="1"/>
        <v>3</v>
      </c>
    </row>
    <row r="7" spans="1:40" x14ac:dyDescent="0.25">
      <c r="A7" s="32">
        <v>22511824</v>
      </c>
      <c r="B7" s="32" t="s">
        <v>990</v>
      </c>
      <c r="C7" s="32" t="s">
        <v>991</v>
      </c>
      <c r="D7" s="32" t="s">
        <v>992</v>
      </c>
      <c r="E7" s="32" t="s">
        <v>993</v>
      </c>
      <c r="F7" s="32" t="s">
        <v>993</v>
      </c>
      <c r="G7" s="40">
        <v>45771</v>
      </c>
      <c r="H7" s="40">
        <v>46111</v>
      </c>
      <c r="I7" s="40">
        <v>46083</v>
      </c>
      <c r="J7" s="32" t="s">
        <v>37</v>
      </c>
      <c r="K7" s="32">
        <v>46112</v>
      </c>
      <c r="L7" s="32">
        <v>451840</v>
      </c>
      <c r="M7" s="32">
        <v>444840</v>
      </c>
      <c r="N7" s="32">
        <v>444840</v>
      </c>
      <c r="O7" s="32">
        <v>172.75</v>
      </c>
      <c r="P7" s="32">
        <v>8313</v>
      </c>
      <c r="Q7" s="32" t="s">
        <v>38</v>
      </c>
      <c r="R7" s="32" t="s">
        <v>1018</v>
      </c>
      <c r="S7" s="32" t="s">
        <v>45</v>
      </c>
      <c r="T7" s="32" t="s">
        <v>997</v>
      </c>
      <c r="U7" s="32">
        <v>85747</v>
      </c>
      <c r="V7" s="32">
        <v>32.100470000000001</v>
      </c>
      <c r="W7" s="32">
        <v>-110.720386</v>
      </c>
      <c r="X7" s="32">
        <v>2575</v>
      </c>
      <c r="Y7" s="32">
        <v>2025</v>
      </c>
      <c r="Z7" s="32">
        <v>5</v>
      </c>
      <c r="AA7" s="32">
        <v>3</v>
      </c>
      <c r="AB7" s="32" t="s">
        <v>510</v>
      </c>
      <c r="AC7" s="32" t="s">
        <v>1008</v>
      </c>
      <c r="AD7" s="32" t="s">
        <v>1019</v>
      </c>
      <c r="AE7" s="32" t="s">
        <v>1020</v>
      </c>
      <c r="AF7" s="32" t="s">
        <v>1021</v>
      </c>
      <c r="AG7" s="32" t="s">
        <v>1002</v>
      </c>
      <c r="AH7" s="32" t="s">
        <v>1003</v>
      </c>
      <c r="AI7" s="32" t="str">
        <f t="shared" si="0"/>
        <v>Emerald</v>
      </c>
      <c r="AJ7" s="32">
        <v>7337</v>
      </c>
      <c r="AK7" s="32" t="s">
        <v>1004</v>
      </c>
      <c r="AL7" s="32">
        <v>312</v>
      </c>
      <c r="AM7" s="32" t="s">
        <v>1678</v>
      </c>
      <c r="AN7" s="41">
        <f t="shared" si="1"/>
        <v>3</v>
      </c>
    </row>
    <row r="8" spans="1:40" x14ac:dyDescent="0.25">
      <c r="A8" s="32">
        <v>22511827</v>
      </c>
      <c r="B8" s="32" t="s">
        <v>990</v>
      </c>
      <c r="C8" s="32" t="s">
        <v>991</v>
      </c>
      <c r="D8" s="32" t="s">
        <v>992</v>
      </c>
      <c r="E8" s="32" t="s">
        <v>993</v>
      </c>
      <c r="F8" s="32" t="s">
        <v>993</v>
      </c>
      <c r="G8" s="40">
        <v>45769</v>
      </c>
      <c r="H8" s="40">
        <v>46121</v>
      </c>
      <c r="I8" s="40">
        <v>46098</v>
      </c>
      <c r="J8" s="32" t="s">
        <v>37</v>
      </c>
      <c r="K8" s="32">
        <v>46122</v>
      </c>
      <c r="L8" s="32">
        <v>412920</v>
      </c>
      <c r="M8" s="32">
        <v>403920</v>
      </c>
      <c r="N8" s="32">
        <v>403920</v>
      </c>
      <c r="O8" s="32">
        <v>220.48</v>
      </c>
      <c r="P8" s="32">
        <v>8319</v>
      </c>
      <c r="Q8" s="32" t="s">
        <v>38</v>
      </c>
      <c r="R8" s="32" t="s">
        <v>1018</v>
      </c>
      <c r="S8" s="32" t="s">
        <v>45</v>
      </c>
      <c r="T8" s="32" t="s">
        <v>997</v>
      </c>
      <c r="U8" s="32">
        <v>85747</v>
      </c>
      <c r="V8" s="32">
        <v>32.100290999999999</v>
      </c>
      <c r="W8" s="32">
        <v>-110.72034499999999</v>
      </c>
      <c r="X8" s="32">
        <v>1832</v>
      </c>
      <c r="Y8" s="32">
        <v>2025</v>
      </c>
      <c r="Z8" s="32">
        <v>4</v>
      </c>
      <c r="AA8" s="32">
        <v>2</v>
      </c>
      <c r="AB8" s="32" t="s">
        <v>510</v>
      </c>
      <c r="AC8" s="32" t="s">
        <v>998</v>
      </c>
      <c r="AD8" s="32" t="s">
        <v>1022</v>
      </c>
      <c r="AE8" s="32" t="s">
        <v>1023</v>
      </c>
      <c r="AF8" s="32" t="s">
        <v>1024</v>
      </c>
      <c r="AG8" s="32" t="s">
        <v>1002</v>
      </c>
      <c r="AH8" s="32" t="s">
        <v>1003</v>
      </c>
      <c r="AI8" s="32" t="str">
        <f t="shared" si="0"/>
        <v>Garnet</v>
      </c>
      <c r="AJ8" s="32">
        <v>7337</v>
      </c>
      <c r="AK8" s="32" t="s">
        <v>1004</v>
      </c>
      <c r="AL8" s="36">
        <v>329</v>
      </c>
      <c r="AM8" s="30" t="s">
        <v>1679</v>
      </c>
      <c r="AN8" s="41">
        <f t="shared" si="1"/>
        <v>3</v>
      </c>
    </row>
    <row r="9" spans="1:40" x14ac:dyDescent="0.25">
      <c r="A9" s="32">
        <v>22512347</v>
      </c>
      <c r="B9" s="32" t="s">
        <v>1025</v>
      </c>
      <c r="C9" s="32" t="s">
        <v>1026</v>
      </c>
      <c r="D9" s="32" t="s">
        <v>1027</v>
      </c>
      <c r="E9" s="32" t="s">
        <v>993</v>
      </c>
      <c r="F9" s="32" t="s">
        <v>993</v>
      </c>
      <c r="G9" s="40">
        <v>45778</v>
      </c>
      <c r="H9" s="40">
        <v>46149</v>
      </c>
      <c r="I9" s="40">
        <v>46121</v>
      </c>
      <c r="J9" s="32" t="s">
        <v>37</v>
      </c>
      <c r="K9" s="32">
        <v>46149</v>
      </c>
      <c r="L9" s="32">
        <v>519990</v>
      </c>
      <c r="M9" s="32">
        <v>464290</v>
      </c>
      <c r="N9" s="32">
        <v>464290</v>
      </c>
      <c r="O9" s="32">
        <v>168.89</v>
      </c>
      <c r="P9" s="32">
        <v>8291</v>
      </c>
      <c r="Q9" s="32" t="s">
        <v>38</v>
      </c>
      <c r="R9" s="32" t="s">
        <v>1028</v>
      </c>
      <c r="S9" s="32" t="s">
        <v>1029</v>
      </c>
      <c r="T9" s="32" t="s">
        <v>997</v>
      </c>
      <c r="U9" s="32">
        <v>85641</v>
      </c>
      <c r="V9" s="32">
        <v>32.099766000000002</v>
      </c>
      <c r="W9" s="32">
        <v>-110.718429</v>
      </c>
      <c r="X9" s="32">
        <v>2749</v>
      </c>
      <c r="Y9" s="32">
        <v>2025</v>
      </c>
      <c r="Z9" s="32">
        <v>5</v>
      </c>
      <c r="AA9" s="32">
        <v>4</v>
      </c>
      <c r="AB9" s="32" t="s">
        <v>510</v>
      </c>
      <c r="AC9" s="32" t="s">
        <v>1008</v>
      </c>
      <c r="AD9" s="32" t="s">
        <v>1030</v>
      </c>
      <c r="AE9" s="32" t="s">
        <v>1031</v>
      </c>
      <c r="AF9" s="32" t="s">
        <v>1032</v>
      </c>
      <c r="AG9" s="32" t="s">
        <v>1033</v>
      </c>
      <c r="AH9" s="32" t="s">
        <v>1003</v>
      </c>
      <c r="AI9" s="32" t="str">
        <f t="shared" si="0"/>
        <v>Wayfarer C</v>
      </c>
      <c r="AJ9" s="32">
        <v>7206</v>
      </c>
      <c r="AK9" s="32" t="s">
        <v>1034</v>
      </c>
      <c r="AL9" s="32">
        <v>233</v>
      </c>
      <c r="AM9" s="32" t="s">
        <v>1680</v>
      </c>
      <c r="AN9" s="41">
        <f t="shared" si="1"/>
        <v>3</v>
      </c>
    </row>
    <row r="10" spans="1:40" x14ac:dyDescent="0.25">
      <c r="A10" s="32">
        <v>22513156</v>
      </c>
      <c r="B10" s="32" t="s">
        <v>1035</v>
      </c>
      <c r="C10" s="32" t="s">
        <v>1036</v>
      </c>
      <c r="D10" s="32" t="s">
        <v>1037</v>
      </c>
      <c r="E10" s="32" t="s">
        <v>993</v>
      </c>
      <c r="F10" s="32" t="s">
        <v>993</v>
      </c>
      <c r="G10" s="40">
        <v>45786</v>
      </c>
      <c r="H10" s="40" t="s">
        <v>994</v>
      </c>
      <c r="I10" s="40">
        <v>46039</v>
      </c>
      <c r="J10" s="32" t="s">
        <v>1038</v>
      </c>
      <c r="K10" s="32">
        <v>46053</v>
      </c>
      <c r="L10" s="32">
        <v>509945</v>
      </c>
      <c r="M10" s="32">
        <v>488900</v>
      </c>
      <c r="O10" s="32" t="s">
        <v>994</v>
      </c>
      <c r="P10" s="32">
        <v>14130</v>
      </c>
      <c r="Q10" s="32" t="s">
        <v>48</v>
      </c>
      <c r="R10" s="32" t="s">
        <v>1039</v>
      </c>
      <c r="S10" s="32" t="s">
        <v>1029</v>
      </c>
      <c r="T10" s="32" t="s">
        <v>997</v>
      </c>
      <c r="U10" s="32">
        <v>85641</v>
      </c>
      <c r="V10" s="32">
        <v>32.090229999999998</v>
      </c>
      <c r="W10" s="32">
        <v>-110.691225</v>
      </c>
      <c r="X10" s="32">
        <v>2624</v>
      </c>
      <c r="Y10" s="32">
        <v>2025</v>
      </c>
      <c r="Z10" s="32">
        <v>4</v>
      </c>
      <c r="AA10" s="32">
        <v>3</v>
      </c>
      <c r="AB10" s="32" t="s">
        <v>510</v>
      </c>
      <c r="AC10" s="32" t="s">
        <v>1008</v>
      </c>
      <c r="AD10" s="32" t="s">
        <v>1040</v>
      </c>
      <c r="AE10" s="32" t="s">
        <v>1041</v>
      </c>
      <c r="AF10" s="32" t="s">
        <v>1042</v>
      </c>
      <c r="AG10" s="32" t="s">
        <v>1043</v>
      </c>
      <c r="AH10" s="32" t="s">
        <v>1003</v>
      </c>
      <c r="AI10" s="32" t="str">
        <f t="shared" si="0"/>
        <v/>
      </c>
      <c r="AJ10" s="32">
        <v>4950</v>
      </c>
      <c r="AK10" s="32" t="s">
        <v>1044</v>
      </c>
      <c r="AL10" s="36">
        <v>169</v>
      </c>
      <c r="AM10" s="30" t="s">
        <v>1681</v>
      </c>
      <c r="AN10" s="41">
        <f t="shared" si="1"/>
        <v>2</v>
      </c>
    </row>
    <row r="11" spans="1:40" x14ac:dyDescent="0.25">
      <c r="A11" s="32">
        <v>22513201</v>
      </c>
      <c r="B11" s="32" t="s">
        <v>1035</v>
      </c>
      <c r="C11" s="32" t="s">
        <v>1036</v>
      </c>
      <c r="D11" s="32" t="s">
        <v>1037</v>
      </c>
      <c r="E11" s="32" t="s">
        <v>993</v>
      </c>
      <c r="F11" s="32" t="s">
        <v>993</v>
      </c>
      <c r="G11" s="40">
        <v>45786</v>
      </c>
      <c r="H11" s="40">
        <v>46157</v>
      </c>
      <c r="I11" s="40">
        <v>46113</v>
      </c>
      <c r="J11" s="32" t="s">
        <v>37</v>
      </c>
      <c r="K11" s="32">
        <v>46161</v>
      </c>
      <c r="L11" s="32">
        <v>521775</v>
      </c>
      <c r="M11" s="32">
        <v>442900</v>
      </c>
      <c r="N11" s="32">
        <v>439900</v>
      </c>
      <c r="O11" s="32">
        <v>180.36</v>
      </c>
      <c r="P11" s="32">
        <v>14138</v>
      </c>
      <c r="Q11" s="32" t="s">
        <v>48</v>
      </c>
      <c r="R11" s="32" t="s">
        <v>1039</v>
      </c>
      <c r="S11" s="32" t="s">
        <v>1029</v>
      </c>
      <c r="T11" s="32" t="s">
        <v>997</v>
      </c>
      <c r="U11" s="32">
        <v>85641</v>
      </c>
      <c r="V11" s="32">
        <v>32.090156</v>
      </c>
      <c r="W11" s="32">
        <v>-110.691067</v>
      </c>
      <c r="X11" s="32">
        <v>2439</v>
      </c>
      <c r="Y11" s="32">
        <v>2025</v>
      </c>
      <c r="Z11" s="32">
        <v>4</v>
      </c>
      <c r="AA11" s="32">
        <v>3</v>
      </c>
      <c r="AB11" s="32" t="s">
        <v>510</v>
      </c>
      <c r="AC11" s="32" t="s">
        <v>1008</v>
      </c>
      <c r="AD11" s="32" t="s">
        <v>1045</v>
      </c>
      <c r="AE11" s="32" t="s">
        <v>1046</v>
      </c>
      <c r="AF11" s="32" t="s">
        <v>1047</v>
      </c>
      <c r="AG11" s="32" t="s">
        <v>1043</v>
      </c>
      <c r="AH11" s="32" t="s">
        <v>1003</v>
      </c>
      <c r="AI11" s="32" t="str">
        <f t="shared" si="0"/>
        <v/>
      </c>
      <c r="AJ11" s="32">
        <v>4950</v>
      </c>
      <c r="AK11" s="32" t="s">
        <v>1044</v>
      </c>
      <c r="AL11" s="36">
        <v>328</v>
      </c>
      <c r="AM11" s="30" t="s">
        <v>1682</v>
      </c>
      <c r="AN11" s="41">
        <f t="shared" si="1"/>
        <v>3</v>
      </c>
    </row>
    <row r="12" spans="1:40" x14ac:dyDescent="0.25">
      <c r="A12" s="32">
        <v>22515808</v>
      </c>
      <c r="B12" s="32" t="s">
        <v>1048</v>
      </c>
      <c r="C12" s="32" t="s">
        <v>1049</v>
      </c>
      <c r="D12" s="32" t="s">
        <v>1050</v>
      </c>
      <c r="E12" s="32" t="s">
        <v>993</v>
      </c>
      <c r="F12" s="32" t="s">
        <v>993</v>
      </c>
      <c r="G12" s="40">
        <v>45818</v>
      </c>
      <c r="H12" s="40">
        <v>46014</v>
      </c>
      <c r="I12" s="40">
        <v>45999</v>
      </c>
      <c r="J12" s="32" t="s">
        <v>37</v>
      </c>
      <c r="K12" s="32">
        <v>46028</v>
      </c>
      <c r="L12" s="32">
        <v>567625</v>
      </c>
      <c r="M12" s="32">
        <v>529990</v>
      </c>
      <c r="N12" s="32">
        <v>519990</v>
      </c>
      <c r="O12" s="32">
        <v>208</v>
      </c>
      <c r="P12" s="32">
        <v>7954</v>
      </c>
      <c r="Q12" s="32" t="s">
        <v>38</v>
      </c>
      <c r="R12" s="32" t="s">
        <v>1051</v>
      </c>
      <c r="S12" s="32" t="s">
        <v>45</v>
      </c>
      <c r="T12" s="32" t="s">
        <v>997</v>
      </c>
      <c r="U12" s="32">
        <v>85747</v>
      </c>
      <c r="V12" s="32">
        <v>32.107021000000003</v>
      </c>
      <c r="W12" s="32">
        <v>-110.716606</v>
      </c>
      <c r="X12" s="32">
        <v>2500</v>
      </c>
      <c r="Y12" s="32">
        <v>2025</v>
      </c>
      <c r="Z12" s="32">
        <v>4</v>
      </c>
      <c r="AA12" s="32">
        <v>4</v>
      </c>
      <c r="AB12" s="32" t="s">
        <v>510</v>
      </c>
      <c r="AC12" s="32" t="s">
        <v>998</v>
      </c>
      <c r="AD12" s="32" t="s">
        <v>1052</v>
      </c>
      <c r="AE12" s="32" t="s">
        <v>1053</v>
      </c>
      <c r="AF12" s="32" t="s">
        <v>1054</v>
      </c>
      <c r="AG12" s="32" t="s">
        <v>1055</v>
      </c>
      <c r="AH12" s="32" t="s">
        <v>1056</v>
      </c>
      <c r="AI12" s="32" t="str">
        <f t="shared" si="0"/>
        <v>Cassandra</v>
      </c>
      <c r="AJ12" s="32">
        <v>6875</v>
      </c>
      <c r="AK12" s="32" t="s">
        <v>1057</v>
      </c>
      <c r="AL12" s="32">
        <v>210</v>
      </c>
      <c r="AM12" s="32" t="s">
        <v>1683</v>
      </c>
      <c r="AN12" s="41">
        <f t="shared" si="1"/>
        <v>3</v>
      </c>
    </row>
    <row r="13" spans="1:40" x14ac:dyDescent="0.25">
      <c r="A13" s="32">
        <v>22515821</v>
      </c>
      <c r="B13" s="32" t="s">
        <v>1048</v>
      </c>
      <c r="C13" s="32" t="s">
        <v>1049</v>
      </c>
      <c r="D13" s="32" t="s">
        <v>1050</v>
      </c>
      <c r="E13" s="32" t="s">
        <v>993</v>
      </c>
      <c r="F13" s="32" t="s">
        <v>993</v>
      </c>
      <c r="G13" s="40">
        <v>45818</v>
      </c>
      <c r="H13" s="40">
        <v>46020</v>
      </c>
      <c r="I13" s="40">
        <v>45985</v>
      </c>
      <c r="J13" s="32" t="s">
        <v>37</v>
      </c>
      <c r="K13" s="32">
        <v>46028</v>
      </c>
      <c r="L13" s="32">
        <v>505751</v>
      </c>
      <c r="M13" s="32">
        <v>509990</v>
      </c>
      <c r="N13" s="32">
        <v>489990</v>
      </c>
      <c r="O13" s="32">
        <v>220.72</v>
      </c>
      <c r="P13" s="32">
        <v>7917</v>
      </c>
      <c r="Q13" s="32" t="s">
        <v>38</v>
      </c>
      <c r="R13" s="32" t="s">
        <v>1051</v>
      </c>
      <c r="S13" s="32" t="s">
        <v>45</v>
      </c>
      <c r="T13" s="32" t="s">
        <v>997</v>
      </c>
      <c r="U13" s="32">
        <v>85747</v>
      </c>
      <c r="V13" s="32">
        <v>32.107246000000004</v>
      </c>
      <c r="W13" s="32">
        <v>-110.715825</v>
      </c>
      <c r="X13" s="32">
        <v>2220</v>
      </c>
      <c r="Y13" s="32">
        <v>2025</v>
      </c>
      <c r="Z13" s="32">
        <v>4</v>
      </c>
      <c r="AA13" s="32">
        <v>2</v>
      </c>
      <c r="AB13" s="32" t="s">
        <v>510</v>
      </c>
      <c r="AC13" s="32" t="s">
        <v>998</v>
      </c>
      <c r="AD13" s="32" t="s">
        <v>1058</v>
      </c>
      <c r="AE13" s="32" t="s">
        <v>1059</v>
      </c>
      <c r="AF13" s="32" t="s">
        <v>1060</v>
      </c>
      <c r="AG13" s="32" t="s">
        <v>1055</v>
      </c>
      <c r="AH13" s="32" t="s">
        <v>1056</v>
      </c>
      <c r="AI13" s="32" t="str">
        <f t="shared" si="0"/>
        <v>Raleigh</v>
      </c>
      <c r="AJ13" s="32">
        <v>6875</v>
      </c>
      <c r="AK13" s="32" t="s">
        <v>1057</v>
      </c>
      <c r="AL13" s="36">
        <v>210</v>
      </c>
      <c r="AM13" s="30" t="s">
        <v>1684</v>
      </c>
      <c r="AN13" s="41">
        <f t="shared" si="1"/>
        <v>3</v>
      </c>
    </row>
    <row r="14" spans="1:40" x14ac:dyDescent="0.25">
      <c r="A14" s="32">
        <v>22515927</v>
      </c>
      <c r="B14" s="32" t="s">
        <v>990</v>
      </c>
      <c r="C14" s="32" t="s">
        <v>991</v>
      </c>
      <c r="D14" s="32" t="s">
        <v>992</v>
      </c>
      <c r="E14" s="32" t="s">
        <v>993</v>
      </c>
      <c r="F14" s="32" t="s">
        <v>993</v>
      </c>
      <c r="G14" s="40">
        <v>45819</v>
      </c>
      <c r="H14" s="40" t="s">
        <v>994</v>
      </c>
      <c r="I14" s="40" t="s">
        <v>994</v>
      </c>
      <c r="J14" s="32" t="s">
        <v>995</v>
      </c>
      <c r="K14" s="32">
        <v>45819</v>
      </c>
      <c r="L14" s="32">
        <v>403030</v>
      </c>
      <c r="M14" s="32">
        <v>347030</v>
      </c>
      <c r="O14" s="32" t="s">
        <v>994</v>
      </c>
      <c r="P14" s="32">
        <v>8302</v>
      </c>
      <c r="Q14" s="32" t="s">
        <v>38</v>
      </c>
      <c r="R14" s="32" t="s">
        <v>1018</v>
      </c>
      <c r="S14" s="32" t="s">
        <v>45</v>
      </c>
      <c r="T14" s="32" t="s">
        <v>997</v>
      </c>
      <c r="U14" s="32">
        <v>85747</v>
      </c>
      <c r="V14" s="32">
        <v>32.100752</v>
      </c>
      <c r="W14" s="32">
        <v>-110.721076</v>
      </c>
      <c r="X14" s="32">
        <v>1578</v>
      </c>
      <c r="Y14" s="32">
        <v>2025</v>
      </c>
      <c r="Z14" s="32">
        <v>3</v>
      </c>
      <c r="AA14" s="32">
        <v>2</v>
      </c>
      <c r="AB14" s="32" t="s">
        <v>510</v>
      </c>
      <c r="AC14" s="32" t="s">
        <v>998</v>
      </c>
      <c r="AD14" s="32" t="s">
        <v>1061</v>
      </c>
      <c r="AE14" s="32" t="s">
        <v>1062</v>
      </c>
      <c r="AF14" s="32" t="s">
        <v>1063</v>
      </c>
      <c r="AG14" s="32" t="s">
        <v>1002</v>
      </c>
      <c r="AH14" s="32" t="s">
        <v>1003</v>
      </c>
      <c r="AI14" s="32" t="str">
        <f t="shared" si="0"/>
        <v/>
      </c>
      <c r="AJ14" s="32">
        <v>5358</v>
      </c>
      <c r="AK14" s="32" t="s">
        <v>1004</v>
      </c>
      <c r="AL14" s="36">
        <v>358</v>
      </c>
      <c r="AM14" s="30" t="s">
        <v>1685</v>
      </c>
      <c r="AN14" s="41">
        <f t="shared" si="1"/>
        <v>1</v>
      </c>
    </row>
    <row r="15" spans="1:40" x14ac:dyDescent="0.25">
      <c r="A15" s="32">
        <v>22517562</v>
      </c>
      <c r="B15" s="32" t="s">
        <v>1035</v>
      </c>
      <c r="C15" s="32" t="s">
        <v>1036</v>
      </c>
      <c r="D15" s="32" t="s">
        <v>1037</v>
      </c>
      <c r="E15" s="32" t="s">
        <v>993</v>
      </c>
      <c r="F15" s="32" t="s">
        <v>993</v>
      </c>
      <c r="G15" s="40">
        <v>45837</v>
      </c>
      <c r="H15" s="40">
        <v>46043</v>
      </c>
      <c r="I15" s="40">
        <v>45970</v>
      </c>
      <c r="J15" s="32" t="s">
        <v>37</v>
      </c>
      <c r="K15" s="32">
        <v>46044</v>
      </c>
      <c r="L15" s="32">
        <v>409900</v>
      </c>
      <c r="M15" s="32">
        <v>399900</v>
      </c>
      <c r="N15" s="32">
        <v>399900</v>
      </c>
      <c r="O15" s="32">
        <v>220.33</v>
      </c>
      <c r="P15" s="32">
        <v>14147</v>
      </c>
      <c r="Q15" s="32" t="s">
        <v>48</v>
      </c>
      <c r="R15" s="32" t="s">
        <v>1039</v>
      </c>
      <c r="S15" s="32" t="s">
        <v>1029</v>
      </c>
      <c r="T15" s="32" t="s">
        <v>997</v>
      </c>
      <c r="U15" s="32">
        <v>85641</v>
      </c>
      <c r="V15" s="32">
        <v>32.090549000000003</v>
      </c>
      <c r="W15" s="32">
        <v>-110.69085</v>
      </c>
      <c r="X15" s="32">
        <v>1815</v>
      </c>
      <c r="Y15" s="32">
        <v>2025</v>
      </c>
      <c r="Z15" s="32">
        <v>4</v>
      </c>
      <c r="AA15" s="32">
        <v>2</v>
      </c>
      <c r="AB15" s="32" t="s">
        <v>510</v>
      </c>
      <c r="AC15" s="32" t="s">
        <v>998</v>
      </c>
      <c r="AD15" s="32" t="s">
        <v>1064</v>
      </c>
      <c r="AE15" s="32" t="s">
        <v>1065</v>
      </c>
      <c r="AF15" s="32" t="s">
        <v>1066</v>
      </c>
      <c r="AG15" s="32" t="s">
        <v>1043</v>
      </c>
      <c r="AH15" s="32" t="s">
        <v>1003</v>
      </c>
      <c r="AI15" s="32" t="str">
        <f t="shared" si="0"/>
        <v/>
      </c>
      <c r="AJ15" s="32">
        <v>4950</v>
      </c>
      <c r="AK15" s="32" t="s">
        <v>1044</v>
      </c>
      <c r="AL15" s="36">
        <v>133</v>
      </c>
      <c r="AM15" s="30" t="s">
        <v>1686</v>
      </c>
      <c r="AN15" s="41">
        <f t="shared" si="1"/>
        <v>3</v>
      </c>
    </row>
    <row r="16" spans="1:40" x14ac:dyDescent="0.25">
      <c r="A16" s="32">
        <v>22517568</v>
      </c>
      <c r="B16" s="32" t="s">
        <v>1025</v>
      </c>
      <c r="C16" s="32" t="s">
        <v>1026</v>
      </c>
      <c r="D16" s="32" t="s">
        <v>1067</v>
      </c>
      <c r="E16" s="32" t="s">
        <v>993</v>
      </c>
      <c r="F16" s="32" t="s">
        <v>993</v>
      </c>
      <c r="G16" s="40">
        <v>45838</v>
      </c>
      <c r="H16" s="40">
        <v>46112</v>
      </c>
      <c r="I16" s="40">
        <v>46090</v>
      </c>
      <c r="J16" s="32" t="s">
        <v>37</v>
      </c>
      <c r="K16" s="32">
        <v>46112</v>
      </c>
      <c r="L16" s="32">
        <v>362690</v>
      </c>
      <c r="M16" s="32">
        <v>364940</v>
      </c>
      <c r="N16" s="32">
        <v>364940</v>
      </c>
      <c r="O16" s="32">
        <v>218.79</v>
      </c>
      <c r="P16" s="32">
        <v>8548</v>
      </c>
      <c r="Q16" s="32" t="s">
        <v>38</v>
      </c>
      <c r="R16" s="32" t="s">
        <v>1068</v>
      </c>
      <c r="S16" s="32" t="s">
        <v>1029</v>
      </c>
      <c r="T16" s="32" t="s">
        <v>997</v>
      </c>
      <c r="U16" s="32">
        <v>85641</v>
      </c>
      <c r="V16" s="32">
        <v>32.096395999999999</v>
      </c>
      <c r="W16" s="32">
        <v>-110.695358</v>
      </c>
      <c r="X16" s="32">
        <v>1668</v>
      </c>
      <c r="Y16" s="32">
        <v>2025</v>
      </c>
      <c r="Z16" s="32">
        <v>3</v>
      </c>
      <c r="AA16" s="32">
        <v>2</v>
      </c>
      <c r="AB16" s="32" t="s">
        <v>510</v>
      </c>
      <c r="AC16" s="32" t="s">
        <v>998</v>
      </c>
      <c r="AD16" s="32" t="s">
        <v>1069</v>
      </c>
      <c r="AE16" s="32" t="s">
        <v>1070</v>
      </c>
      <c r="AF16" s="32" t="s">
        <v>1071</v>
      </c>
      <c r="AG16" s="32" t="s">
        <v>1033</v>
      </c>
      <c r="AH16" s="32" t="s">
        <v>1003</v>
      </c>
      <c r="AI16" s="32" t="str">
        <f t="shared" si="0"/>
        <v>Mesquite A</v>
      </c>
      <c r="AJ16" s="32">
        <v>5256</v>
      </c>
      <c r="AK16" s="32" t="s">
        <v>1072</v>
      </c>
      <c r="AL16" s="32">
        <v>169</v>
      </c>
      <c r="AM16" s="32" t="s">
        <v>1687</v>
      </c>
      <c r="AN16" s="41">
        <f t="shared" si="1"/>
        <v>3</v>
      </c>
    </row>
    <row r="17" spans="1:40" x14ac:dyDescent="0.25">
      <c r="A17" s="32">
        <v>22518480</v>
      </c>
      <c r="B17" s="32" t="s">
        <v>1025</v>
      </c>
      <c r="C17" s="32" t="s">
        <v>1026</v>
      </c>
      <c r="D17" s="32" t="s">
        <v>1027</v>
      </c>
      <c r="E17" s="32" t="s">
        <v>993</v>
      </c>
      <c r="F17" s="32" t="s">
        <v>993</v>
      </c>
      <c r="G17" s="40">
        <v>45849</v>
      </c>
      <c r="H17" s="40">
        <v>46139</v>
      </c>
      <c r="I17" s="40">
        <v>46111</v>
      </c>
      <c r="J17" s="32" t="s">
        <v>37</v>
      </c>
      <c r="K17" s="32">
        <v>46139</v>
      </c>
      <c r="L17" s="32">
        <v>404490</v>
      </c>
      <c r="M17" s="32">
        <v>364940</v>
      </c>
      <c r="N17" s="32">
        <v>364940</v>
      </c>
      <c r="O17" s="32">
        <v>188.21</v>
      </c>
      <c r="P17" s="32">
        <v>8556</v>
      </c>
      <c r="Q17" s="32" t="s">
        <v>38</v>
      </c>
      <c r="R17" s="32" t="s">
        <v>1068</v>
      </c>
      <c r="S17" s="32" t="s">
        <v>1029</v>
      </c>
      <c r="T17" s="32" t="s">
        <v>997</v>
      </c>
      <c r="U17" s="32">
        <v>85641</v>
      </c>
      <c r="V17" s="32">
        <v>32.096299999999999</v>
      </c>
      <c r="W17" s="32">
        <v>-110.69525</v>
      </c>
      <c r="X17" s="32">
        <v>1939</v>
      </c>
      <c r="Y17" s="32">
        <v>2025</v>
      </c>
      <c r="Z17" s="32">
        <v>3</v>
      </c>
      <c r="AA17" s="32">
        <v>3</v>
      </c>
      <c r="AB17" s="32" t="s">
        <v>510</v>
      </c>
      <c r="AC17" s="32" t="s">
        <v>998</v>
      </c>
      <c r="AD17" s="32" t="s">
        <v>1073</v>
      </c>
      <c r="AE17" s="32" t="s">
        <v>1074</v>
      </c>
      <c r="AF17" s="32" t="s">
        <v>1075</v>
      </c>
      <c r="AG17" s="32" t="s">
        <v>1033</v>
      </c>
      <c r="AH17" s="32" t="s">
        <v>1003</v>
      </c>
      <c r="AI17" s="32" t="str">
        <f t="shared" si="0"/>
        <v>Ocotillo C</v>
      </c>
      <c r="AJ17" s="32">
        <v>5256</v>
      </c>
      <c r="AK17" s="32" t="s">
        <v>1072</v>
      </c>
      <c r="AL17" s="36">
        <v>262</v>
      </c>
      <c r="AM17" s="30" t="s">
        <v>1688</v>
      </c>
      <c r="AN17" s="41">
        <f t="shared" si="1"/>
        <v>3</v>
      </c>
    </row>
    <row r="18" spans="1:40" x14ac:dyDescent="0.25">
      <c r="A18" s="32">
        <v>22519250</v>
      </c>
      <c r="B18" s="32" t="s">
        <v>1076</v>
      </c>
      <c r="C18" s="32" t="s">
        <v>1077</v>
      </c>
      <c r="D18" s="32" t="s">
        <v>1078</v>
      </c>
      <c r="E18" s="32" t="s">
        <v>993</v>
      </c>
      <c r="F18" s="32" t="s">
        <v>993</v>
      </c>
      <c r="G18" s="40">
        <v>45859</v>
      </c>
      <c r="H18" s="40">
        <v>46014</v>
      </c>
      <c r="I18" s="40">
        <v>45936</v>
      </c>
      <c r="J18" s="32" t="s">
        <v>37</v>
      </c>
      <c r="K18" s="32">
        <v>46015</v>
      </c>
      <c r="L18" s="32">
        <v>604990</v>
      </c>
      <c r="M18" s="32">
        <v>599990</v>
      </c>
      <c r="N18" s="32">
        <v>599990</v>
      </c>
      <c r="O18" s="32">
        <v>296.58</v>
      </c>
      <c r="P18" s="32">
        <v>7925</v>
      </c>
      <c r="Q18" s="32" t="s">
        <v>38</v>
      </c>
      <c r="R18" s="32" t="s">
        <v>1079</v>
      </c>
      <c r="S18" s="32" t="s">
        <v>45</v>
      </c>
      <c r="T18" s="32" t="s">
        <v>997</v>
      </c>
      <c r="U18" s="32">
        <v>85747</v>
      </c>
      <c r="V18" s="32">
        <v>32.107959000000001</v>
      </c>
      <c r="W18" s="32">
        <v>-110.701179</v>
      </c>
      <c r="X18" s="32">
        <v>2023</v>
      </c>
      <c r="Y18" s="32">
        <v>2025</v>
      </c>
      <c r="Z18" s="32">
        <v>2</v>
      </c>
      <c r="AA18" s="32">
        <v>3</v>
      </c>
      <c r="AB18" s="32" t="s">
        <v>510</v>
      </c>
      <c r="AC18" s="32" t="s">
        <v>998</v>
      </c>
      <c r="AD18" s="32" t="s">
        <v>1080</v>
      </c>
      <c r="AE18" s="32" t="s">
        <v>1081</v>
      </c>
      <c r="AF18" s="32" t="s">
        <v>1082</v>
      </c>
      <c r="AG18" s="32" t="s">
        <v>1083</v>
      </c>
      <c r="AH18" s="32" t="s">
        <v>1003</v>
      </c>
      <c r="AI18" s="32" t="str">
        <f t="shared" si="0"/>
        <v>Pursuit</v>
      </c>
      <c r="AJ18" s="32">
        <v>8189</v>
      </c>
      <c r="AK18" s="32" t="s">
        <v>1084</v>
      </c>
      <c r="AL18" s="32">
        <v>77</v>
      </c>
      <c r="AM18" s="32" t="s">
        <v>1689</v>
      </c>
      <c r="AN18" s="41">
        <f t="shared" si="1"/>
        <v>3</v>
      </c>
    </row>
    <row r="19" spans="1:40" x14ac:dyDescent="0.25">
      <c r="A19" s="32">
        <v>22520291</v>
      </c>
      <c r="B19" s="32" t="s">
        <v>1076</v>
      </c>
      <c r="C19" s="32" t="s">
        <v>1077</v>
      </c>
      <c r="D19" s="32" t="s">
        <v>1078</v>
      </c>
      <c r="E19" s="32" t="s">
        <v>993</v>
      </c>
      <c r="F19" s="32" t="s">
        <v>993</v>
      </c>
      <c r="G19" s="40">
        <v>45873</v>
      </c>
      <c r="H19" s="40">
        <v>46142</v>
      </c>
      <c r="I19" s="40">
        <v>46119</v>
      </c>
      <c r="J19" s="32" t="s">
        <v>37</v>
      </c>
      <c r="K19" s="32">
        <v>46143</v>
      </c>
      <c r="L19" s="32">
        <v>472990</v>
      </c>
      <c r="M19" s="32">
        <v>419990</v>
      </c>
      <c r="N19" s="32">
        <v>385510</v>
      </c>
      <c r="O19" s="32">
        <v>204.62</v>
      </c>
      <c r="P19" s="32">
        <v>7956</v>
      </c>
      <c r="Q19" s="32" t="s">
        <v>38</v>
      </c>
      <c r="R19" s="32" t="s">
        <v>1085</v>
      </c>
      <c r="S19" s="32" t="s">
        <v>45</v>
      </c>
      <c r="T19" s="32" t="s">
        <v>997</v>
      </c>
      <c r="U19" s="32">
        <v>85747</v>
      </c>
      <c r="V19" s="32">
        <v>32.106909999999999</v>
      </c>
      <c r="W19" s="32">
        <v>-110.704212</v>
      </c>
      <c r="X19" s="32">
        <v>1884</v>
      </c>
      <c r="Y19" s="32">
        <v>2025</v>
      </c>
      <c r="Z19" s="32">
        <v>2</v>
      </c>
      <c r="AA19" s="32">
        <v>2</v>
      </c>
      <c r="AB19" s="32" t="s">
        <v>510</v>
      </c>
      <c r="AC19" s="32" t="s">
        <v>998</v>
      </c>
      <c r="AD19" s="32" t="s">
        <v>1086</v>
      </c>
      <c r="AE19" s="32" t="s">
        <v>1087</v>
      </c>
      <c r="AF19" s="32" t="s">
        <v>1088</v>
      </c>
      <c r="AG19" s="32" t="s">
        <v>1083</v>
      </c>
      <c r="AH19" s="32" t="s">
        <v>1003</v>
      </c>
      <c r="AI19" s="32" t="str">
        <f t="shared" si="0"/>
        <v>Sanctuary</v>
      </c>
      <c r="AJ19" s="32">
        <v>7274</v>
      </c>
      <c r="AK19" s="32" t="s">
        <v>1084</v>
      </c>
      <c r="AL19" s="37">
        <v>246</v>
      </c>
      <c r="AM19" s="31" t="s">
        <v>1690</v>
      </c>
      <c r="AN19" s="41">
        <f t="shared" si="1"/>
        <v>3</v>
      </c>
    </row>
    <row r="20" spans="1:40" x14ac:dyDescent="0.25">
      <c r="A20" s="32">
        <v>22520300</v>
      </c>
      <c r="B20" s="32" t="s">
        <v>1076</v>
      </c>
      <c r="C20" s="32" t="s">
        <v>1077</v>
      </c>
      <c r="D20" s="32" t="s">
        <v>1078</v>
      </c>
      <c r="E20" s="32" t="s">
        <v>993</v>
      </c>
      <c r="F20" s="32" t="s">
        <v>993</v>
      </c>
      <c r="G20" s="40">
        <v>45873</v>
      </c>
      <c r="H20" s="40">
        <v>46093</v>
      </c>
      <c r="I20" s="40">
        <v>46069</v>
      </c>
      <c r="J20" s="32" t="s">
        <v>37</v>
      </c>
      <c r="K20" s="32">
        <v>46094</v>
      </c>
      <c r="L20" s="32">
        <v>600990</v>
      </c>
      <c r="M20" s="32">
        <v>574990</v>
      </c>
      <c r="N20" s="32">
        <v>534690</v>
      </c>
      <c r="O20" s="32">
        <v>230.87</v>
      </c>
      <c r="P20" s="32">
        <v>7900</v>
      </c>
      <c r="Q20" s="32" t="s">
        <v>38</v>
      </c>
      <c r="R20" s="32" t="s">
        <v>1085</v>
      </c>
      <c r="S20" s="32" t="s">
        <v>45</v>
      </c>
      <c r="T20" s="32" t="s">
        <v>997</v>
      </c>
      <c r="U20" s="32">
        <v>85747</v>
      </c>
      <c r="V20" s="32">
        <v>32.108015000000002</v>
      </c>
      <c r="W20" s="32">
        <v>-110.70439500000001</v>
      </c>
      <c r="X20" s="32">
        <v>2316</v>
      </c>
      <c r="Y20" s="32">
        <v>2025</v>
      </c>
      <c r="Z20" s="32">
        <v>3</v>
      </c>
      <c r="AA20" s="32">
        <v>2</v>
      </c>
      <c r="AB20" s="32" t="s">
        <v>510</v>
      </c>
      <c r="AC20" s="32" t="s">
        <v>998</v>
      </c>
      <c r="AD20" s="32" t="s">
        <v>1089</v>
      </c>
      <c r="AE20" s="32" t="s">
        <v>1090</v>
      </c>
      <c r="AF20" s="32" t="s">
        <v>1091</v>
      </c>
      <c r="AG20" s="32" t="s">
        <v>1083</v>
      </c>
      <c r="AH20" s="32" t="s">
        <v>1003</v>
      </c>
      <c r="AI20" s="32" t="str">
        <f t="shared" si="0"/>
        <v/>
      </c>
      <c r="AJ20" s="32">
        <v>8886</v>
      </c>
      <c r="AK20" s="32" t="s">
        <v>1084</v>
      </c>
      <c r="AL20" s="36">
        <v>197</v>
      </c>
      <c r="AM20" s="30" t="s">
        <v>1691</v>
      </c>
      <c r="AN20" s="41">
        <f t="shared" si="1"/>
        <v>3</v>
      </c>
    </row>
    <row r="21" spans="1:40" x14ac:dyDescent="0.25">
      <c r="A21" s="32">
        <v>22520550</v>
      </c>
      <c r="B21" s="32" t="s">
        <v>1076</v>
      </c>
      <c r="C21" s="32" t="s">
        <v>1077</v>
      </c>
      <c r="D21" s="32" t="s">
        <v>1078</v>
      </c>
      <c r="E21" s="32" t="s">
        <v>993</v>
      </c>
      <c r="F21" s="32" t="s">
        <v>993</v>
      </c>
      <c r="G21" s="40">
        <v>45875</v>
      </c>
      <c r="H21" s="40">
        <v>46133</v>
      </c>
      <c r="I21" s="40">
        <v>46099</v>
      </c>
      <c r="J21" s="32" t="s">
        <v>37</v>
      </c>
      <c r="K21" s="32">
        <v>46134</v>
      </c>
      <c r="L21" s="32">
        <v>472990</v>
      </c>
      <c r="M21" s="32">
        <v>399990</v>
      </c>
      <c r="N21" s="32">
        <v>387990</v>
      </c>
      <c r="O21" s="32">
        <v>208.71</v>
      </c>
      <c r="P21" s="32">
        <v>8125</v>
      </c>
      <c r="Q21" s="32" t="s">
        <v>38</v>
      </c>
      <c r="R21" s="32" t="s">
        <v>1085</v>
      </c>
      <c r="S21" s="32" t="s">
        <v>45</v>
      </c>
      <c r="T21" s="32" t="s">
        <v>997</v>
      </c>
      <c r="U21" s="32">
        <v>85747</v>
      </c>
      <c r="V21" s="32">
        <v>32.104253</v>
      </c>
      <c r="W21" s="32">
        <v>-110.702068</v>
      </c>
      <c r="X21" s="32">
        <v>1859</v>
      </c>
      <c r="Y21" s="32">
        <v>2025</v>
      </c>
      <c r="Z21" s="32">
        <v>2</v>
      </c>
      <c r="AA21" s="32">
        <v>2</v>
      </c>
      <c r="AB21" s="32" t="s">
        <v>510</v>
      </c>
      <c r="AC21" s="32" t="s">
        <v>998</v>
      </c>
      <c r="AD21" s="32" t="s">
        <v>1092</v>
      </c>
      <c r="AE21" s="32" t="s">
        <v>1093</v>
      </c>
      <c r="AF21" s="32" t="s">
        <v>1094</v>
      </c>
      <c r="AG21" s="32" t="s">
        <v>1083</v>
      </c>
      <c r="AH21" s="32" t="s">
        <v>1003</v>
      </c>
      <c r="AI21" s="32" t="str">
        <f t="shared" si="0"/>
        <v>Haven</v>
      </c>
      <c r="AJ21" s="32">
        <v>6593</v>
      </c>
      <c r="AK21" s="32" t="s">
        <v>1084</v>
      </c>
      <c r="AL21" s="36">
        <v>225</v>
      </c>
      <c r="AM21" s="30" t="s">
        <v>1692</v>
      </c>
      <c r="AN21" s="41">
        <f t="shared" si="1"/>
        <v>3</v>
      </c>
    </row>
    <row r="22" spans="1:40" x14ac:dyDescent="0.25">
      <c r="A22" s="32">
        <v>22520634</v>
      </c>
      <c r="B22" s="32" t="s">
        <v>1048</v>
      </c>
      <c r="C22" s="32" t="s">
        <v>1049</v>
      </c>
      <c r="D22" s="32" t="s">
        <v>1050</v>
      </c>
      <c r="E22" s="32" t="s">
        <v>993</v>
      </c>
      <c r="F22" s="32" t="s">
        <v>993</v>
      </c>
      <c r="G22" s="40">
        <v>45876</v>
      </c>
      <c r="H22" s="40">
        <v>46001</v>
      </c>
      <c r="I22" s="40">
        <v>45975</v>
      </c>
      <c r="J22" s="32" t="s">
        <v>37</v>
      </c>
      <c r="K22" s="32">
        <v>46007</v>
      </c>
      <c r="L22" s="32">
        <v>549990</v>
      </c>
      <c r="M22" s="32">
        <v>564990</v>
      </c>
      <c r="N22" s="32">
        <v>546368</v>
      </c>
      <c r="O22" s="32">
        <v>241.76</v>
      </c>
      <c r="P22" s="32">
        <v>7937</v>
      </c>
      <c r="Q22" s="32" t="s">
        <v>38</v>
      </c>
      <c r="R22" s="32" t="s">
        <v>1051</v>
      </c>
      <c r="S22" s="32" t="s">
        <v>45</v>
      </c>
      <c r="T22" s="32" t="s">
        <v>997</v>
      </c>
      <c r="U22" s="32">
        <v>85747</v>
      </c>
      <c r="V22" s="32">
        <v>32.106980999999998</v>
      </c>
      <c r="W22" s="32">
        <v>-110.716019</v>
      </c>
      <c r="X22" s="32">
        <v>2260</v>
      </c>
      <c r="Y22" s="32">
        <v>2025</v>
      </c>
      <c r="Z22" s="32">
        <v>4</v>
      </c>
      <c r="AA22" s="32">
        <v>3</v>
      </c>
      <c r="AB22" s="32" t="s">
        <v>510</v>
      </c>
      <c r="AC22" s="32" t="s">
        <v>998</v>
      </c>
      <c r="AD22" s="32" t="s">
        <v>1095</v>
      </c>
      <c r="AE22" s="32" t="s">
        <v>1096</v>
      </c>
      <c r="AF22" s="32" t="s">
        <v>1097</v>
      </c>
      <c r="AG22" s="32" t="s">
        <v>1055</v>
      </c>
      <c r="AH22" s="32" t="s">
        <v>1056</v>
      </c>
      <c r="AI22" s="32" t="str">
        <f t="shared" si="0"/>
        <v>Townsend</v>
      </c>
      <c r="AJ22" s="32">
        <v>7728</v>
      </c>
      <c r="AK22" s="32" t="s">
        <v>1098</v>
      </c>
      <c r="AL22" s="32">
        <v>131</v>
      </c>
      <c r="AM22" s="32" t="s">
        <v>1693</v>
      </c>
      <c r="AN22" s="41">
        <f t="shared" si="1"/>
        <v>3</v>
      </c>
    </row>
    <row r="23" spans="1:40" x14ac:dyDescent="0.25">
      <c r="A23" s="32">
        <v>22520738</v>
      </c>
      <c r="B23" s="32" t="s">
        <v>1076</v>
      </c>
      <c r="C23" s="32" t="s">
        <v>1077</v>
      </c>
      <c r="D23" s="32" t="s">
        <v>1078</v>
      </c>
      <c r="E23" s="32" t="s">
        <v>993</v>
      </c>
      <c r="F23" s="32" t="s">
        <v>993</v>
      </c>
      <c r="G23" s="40">
        <v>45877</v>
      </c>
      <c r="H23" s="40">
        <v>46003</v>
      </c>
      <c r="I23" s="40">
        <v>45974</v>
      </c>
      <c r="J23" s="32" t="s">
        <v>37</v>
      </c>
      <c r="K23" s="32">
        <v>46003</v>
      </c>
      <c r="L23" s="32">
        <v>468990</v>
      </c>
      <c r="M23" s="32">
        <v>452990</v>
      </c>
      <c r="N23" s="32">
        <v>424610</v>
      </c>
      <c r="O23" s="32">
        <v>228.41</v>
      </c>
      <c r="P23" s="32">
        <v>8013</v>
      </c>
      <c r="Q23" s="32" t="s">
        <v>38</v>
      </c>
      <c r="R23" s="32" t="s">
        <v>1085</v>
      </c>
      <c r="S23" s="32" t="s">
        <v>45</v>
      </c>
      <c r="T23" s="32" t="s">
        <v>997</v>
      </c>
      <c r="U23" s="32">
        <v>85747</v>
      </c>
      <c r="V23" s="32">
        <v>32.106088</v>
      </c>
      <c r="W23" s="32">
        <v>-110.70319499999999</v>
      </c>
      <c r="X23" s="32">
        <v>1859</v>
      </c>
      <c r="Y23" s="32">
        <v>2025</v>
      </c>
      <c r="Z23" s="32">
        <v>2</v>
      </c>
      <c r="AA23" s="32">
        <v>2</v>
      </c>
      <c r="AB23" s="32" t="s">
        <v>510</v>
      </c>
      <c r="AC23" s="32" t="s">
        <v>998</v>
      </c>
      <c r="AD23" s="32" t="s">
        <v>1099</v>
      </c>
      <c r="AE23" s="32" t="s">
        <v>1100</v>
      </c>
      <c r="AF23" s="32" t="s">
        <v>1101</v>
      </c>
      <c r="AG23" s="32" t="s">
        <v>1083</v>
      </c>
      <c r="AH23" s="32" t="s">
        <v>1003</v>
      </c>
      <c r="AI23" s="32" t="str">
        <f t="shared" si="0"/>
        <v>Haven</v>
      </c>
      <c r="AJ23" s="32">
        <v>6360</v>
      </c>
      <c r="AK23" s="32" t="s">
        <v>1084</v>
      </c>
      <c r="AL23" s="32">
        <v>97</v>
      </c>
      <c r="AM23" s="32" t="s">
        <v>1694</v>
      </c>
      <c r="AN23" s="41">
        <f t="shared" si="1"/>
        <v>3</v>
      </c>
    </row>
    <row r="24" spans="1:40" x14ac:dyDescent="0.25">
      <c r="A24" s="32">
        <v>22520994</v>
      </c>
      <c r="B24" s="32" t="s">
        <v>1076</v>
      </c>
      <c r="C24" s="32" t="s">
        <v>1077</v>
      </c>
      <c r="D24" s="32" t="s">
        <v>1078</v>
      </c>
      <c r="E24" s="32" t="s">
        <v>993</v>
      </c>
      <c r="F24" s="32" t="s">
        <v>993</v>
      </c>
      <c r="G24" s="40">
        <v>45880</v>
      </c>
      <c r="H24" s="40">
        <v>46170</v>
      </c>
      <c r="I24" s="40">
        <v>46141</v>
      </c>
      <c r="J24" s="32" t="s">
        <v>37</v>
      </c>
      <c r="K24" s="32">
        <v>46171</v>
      </c>
      <c r="L24" s="32">
        <v>417990</v>
      </c>
      <c r="M24" s="32">
        <v>359990</v>
      </c>
      <c r="N24" s="32">
        <v>358790</v>
      </c>
      <c r="O24" s="32">
        <v>223.68</v>
      </c>
      <c r="P24" s="32">
        <v>8302</v>
      </c>
      <c r="Q24" s="32" t="s">
        <v>38</v>
      </c>
      <c r="R24" s="32" t="s">
        <v>1102</v>
      </c>
      <c r="S24" s="32" t="s">
        <v>45</v>
      </c>
      <c r="T24" s="32" t="s">
        <v>997</v>
      </c>
      <c r="U24" s="32">
        <v>85747</v>
      </c>
      <c r="V24" s="32">
        <v>32.104123000000001</v>
      </c>
      <c r="W24" s="32">
        <v>-110.699214</v>
      </c>
      <c r="X24" s="32">
        <v>1604</v>
      </c>
      <c r="Y24" s="32">
        <v>2025</v>
      </c>
      <c r="Z24" s="32">
        <v>2</v>
      </c>
      <c r="AA24" s="32">
        <v>2</v>
      </c>
      <c r="AB24" s="32" t="s">
        <v>510</v>
      </c>
      <c r="AC24" s="32" t="s">
        <v>998</v>
      </c>
      <c r="AD24" s="32" t="s">
        <v>1103</v>
      </c>
      <c r="AE24" s="32" t="s">
        <v>1104</v>
      </c>
      <c r="AF24" s="32" t="s">
        <v>1105</v>
      </c>
      <c r="AG24" s="32" t="s">
        <v>1083</v>
      </c>
      <c r="AH24" s="32" t="s">
        <v>1003</v>
      </c>
      <c r="AI24" s="32" t="str">
        <f t="shared" si="0"/>
        <v>Hideaway</v>
      </c>
      <c r="AJ24" s="32">
        <v>6544</v>
      </c>
      <c r="AK24" s="32" t="s">
        <v>1084</v>
      </c>
      <c r="AL24" s="36">
        <v>257</v>
      </c>
      <c r="AM24" s="30" t="s">
        <v>1695</v>
      </c>
      <c r="AN24" s="41">
        <f t="shared" si="1"/>
        <v>3</v>
      </c>
    </row>
    <row r="25" spans="1:40" x14ac:dyDescent="0.25">
      <c r="A25" s="32">
        <v>22520997</v>
      </c>
      <c r="B25" s="32" t="s">
        <v>1076</v>
      </c>
      <c r="C25" s="32" t="s">
        <v>1077</v>
      </c>
      <c r="D25" s="32" t="s">
        <v>1078</v>
      </c>
      <c r="E25" s="32" t="s">
        <v>993</v>
      </c>
      <c r="F25" s="32" t="s">
        <v>993</v>
      </c>
      <c r="G25" s="40">
        <v>45880</v>
      </c>
      <c r="H25" s="40">
        <v>46078</v>
      </c>
      <c r="I25" s="40">
        <v>46042</v>
      </c>
      <c r="J25" s="32" t="s">
        <v>37</v>
      </c>
      <c r="K25" s="32">
        <v>46157</v>
      </c>
      <c r="L25" s="32">
        <v>436990</v>
      </c>
      <c r="M25" s="32">
        <v>393990</v>
      </c>
      <c r="N25" s="32">
        <v>378470</v>
      </c>
      <c r="O25" s="32">
        <v>235.95</v>
      </c>
      <c r="P25" s="32">
        <v>8389</v>
      </c>
      <c r="Q25" s="32" t="s">
        <v>38</v>
      </c>
      <c r="R25" s="32" t="s">
        <v>1106</v>
      </c>
      <c r="S25" s="32" t="s">
        <v>45</v>
      </c>
      <c r="T25" s="32" t="s">
        <v>997</v>
      </c>
      <c r="U25" s="32">
        <v>85747</v>
      </c>
      <c r="V25" s="32">
        <v>32.104734000000001</v>
      </c>
      <c r="W25" s="32">
        <v>-110.699246</v>
      </c>
      <c r="X25" s="32">
        <v>1604</v>
      </c>
      <c r="Y25" s="32">
        <v>2025</v>
      </c>
      <c r="Z25" s="32">
        <v>2</v>
      </c>
      <c r="AA25" s="32">
        <v>2</v>
      </c>
      <c r="AB25" s="32" t="s">
        <v>510</v>
      </c>
      <c r="AC25" s="32" t="s">
        <v>998</v>
      </c>
      <c r="AD25" s="32" t="s">
        <v>1107</v>
      </c>
      <c r="AE25" s="32" t="s">
        <v>1108</v>
      </c>
      <c r="AF25" s="32" t="s">
        <v>1109</v>
      </c>
      <c r="AG25" s="32" t="s">
        <v>1083</v>
      </c>
      <c r="AH25" s="32" t="s">
        <v>1003</v>
      </c>
      <c r="AI25" s="32" t="str">
        <f t="shared" si="0"/>
        <v>Hideaway</v>
      </c>
      <c r="AJ25" s="32">
        <v>6240</v>
      </c>
      <c r="AK25" s="32" t="s">
        <v>1084</v>
      </c>
      <c r="AL25" s="36">
        <v>162</v>
      </c>
      <c r="AM25" s="30" t="s">
        <v>1696</v>
      </c>
      <c r="AN25" s="41">
        <f t="shared" si="1"/>
        <v>3</v>
      </c>
    </row>
    <row r="26" spans="1:40" x14ac:dyDescent="0.25">
      <c r="A26" s="32">
        <v>22520999</v>
      </c>
      <c r="B26" s="32" t="s">
        <v>1076</v>
      </c>
      <c r="C26" s="32" t="s">
        <v>1077</v>
      </c>
      <c r="D26" s="32" t="s">
        <v>1078</v>
      </c>
      <c r="E26" s="32" t="s">
        <v>993</v>
      </c>
      <c r="F26" s="32" t="s">
        <v>993</v>
      </c>
      <c r="G26" s="40">
        <v>45880</v>
      </c>
      <c r="H26" s="40" t="s">
        <v>994</v>
      </c>
      <c r="I26" s="40" t="s">
        <v>994</v>
      </c>
      <c r="J26" s="32" t="s">
        <v>995</v>
      </c>
      <c r="K26" s="32">
        <v>45880</v>
      </c>
      <c r="L26" s="32">
        <v>600990</v>
      </c>
      <c r="M26" s="32">
        <v>544990</v>
      </c>
      <c r="O26" s="32" t="s">
        <v>994</v>
      </c>
      <c r="P26" s="32">
        <v>8014</v>
      </c>
      <c r="Q26" s="32" t="s">
        <v>38</v>
      </c>
      <c r="R26" s="32" t="s">
        <v>1110</v>
      </c>
      <c r="S26" s="32" t="s">
        <v>45</v>
      </c>
      <c r="T26" s="32" t="s">
        <v>997</v>
      </c>
      <c r="U26" s="32">
        <v>85747</v>
      </c>
      <c r="V26" s="32">
        <v>32.106045999999999</v>
      </c>
      <c r="W26" s="32">
        <v>-110.702777</v>
      </c>
      <c r="X26" s="32">
        <v>2474</v>
      </c>
      <c r="Y26" s="32">
        <v>2025</v>
      </c>
      <c r="Z26" s="32">
        <v>2</v>
      </c>
      <c r="AA26" s="32">
        <v>3</v>
      </c>
      <c r="AB26" s="32" t="s">
        <v>510</v>
      </c>
      <c r="AC26" s="32" t="s">
        <v>998</v>
      </c>
      <c r="AD26" s="32" t="s">
        <v>1111</v>
      </c>
      <c r="AE26" s="32" t="s">
        <v>1112</v>
      </c>
      <c r="AF26" s="32" t="s">
        <v>1113</v>
      </c>
      <c r="AG26" s="32" t="s">
        <v>1083</v>
      </c>
      <c r="AH26" s="32" t="s">
        <v>1003</v>
      </c>
      <c r="AI26" s="32" t="str">
        <f t="shared" si="0"/>
        <v>Endeavor</v>
      </c>
      <c r="AJ26" s="32">
        <v>8565</v>
      </c>
      <c r="AK26" s="32" t="s">
        <v>1084</v>
      </c>
      <c r="AL26" s="36">
        <v>297</v>
      </c>
      <c r="AM26" s="30" t="s">
        <v>1697</v>
      </c>
      <c r="AN26" s="41">
        <f t="shared" si="1"/>
        <v>1</v>
      </c>
    </row>
    <row r="27" spans="1:40" x14ac:dyDescent="0.25">
      <c r="A27" s="32">
        <v>22521009</v>
      </c>
      <c r="B27" s="32" t="s">
        <v>1076</v>
      </c>
      <c r="C27" s="32" t="s">
        <v>1077</v>
      </c>
      <c r="D27" s="32" t="s">
        <v>1078</v>
      </c>
      <c r="E27" s="32" t="s">
        <v>993</v>
      </c>
      <c r="F27" s="32" t="s">
        <v>993</v>
      </c>
      <c r="G27" s="40">
        <v>45880</v>
      </c>
      <c r="H27" s="40">
        <v>46107</v>
      </c>
      <c r="I27" s="40">
        <v>46072</v>
      </c>
      <c r="J27" s="32" t="s">
        <v>37</v>
      </c>
      <c r="K27" s="32">
        <v>46107</v>
      </c>
      <c r="L27" s="32">
        <v>536990</v>
      </c>
      <c r="M27" s="32">
        <v>469990</v>
      </c>
      <c r="N27" s="32">
        <v>441790</v>
      </c>
      <c r="O27" s="32">
        <v>205.2</v>
      </c>
      <c r="P27" s="32">
        <v>13559</v>
      </c>
      <c r="Q27" s="32" t="s">
        <v>48</v>
      </c>
      <c r="R27" s="32" t="s">
        <v>1114</v>
      </c>
      <c r="S27" s="32" t="s">
        <v>45</v>
      </c>
      <c r="T27" s="32" t="s">
        <v>997</v>
      </c>
      <c r="U27" s="32">
        <v>85747</v>
      </c>
      <c r="V27" s="32">
        <v>32.105786000000002</v>
      </c>
      <c r="W27" s="32">
        <v>-110.699986</v>
      </c>
      <c r="X27" s="32">
        <v>2153</v>
      </c>
      <c r="Y27" s="32">
        <v>2025</v>
      </c>
      <c r="Z27" s="32">
        <v>2</v>
      </c>
      <c r="AA27" s="32">
        <v>3</v>
      </c>
      <c r="AB27" s="32" t="s">
        <v>510</v>
      </c>
      <c r="AC27" s="32" t="s">
        <v>998</v>
      </c>
      <c r="AD27" s="32" t="s">
        <v>1115</v>
      </c>
      <c r="AE27" s="32" t="s">
        <v>1116</v>
      </c>
      <c r="AF27" s="32" t="s">
        <v>1117</v>
      </c>
      <c r="AG27" s="32" t="s">
        <v>1083</v>
      </c>
      <c r="AH27" s="32" t="s">
        <v>1003</v>
      </c>
      <c r="AI27" s="32" t="str">
        <f t="shared" si="0"/>
        <v>Pursuit</v>
      </c>
      <c r="AJ27" s="32">
        <v>8094</v>
      </c>
      <c r="AK27" s="32" t="s">
        <v>1084</v>
      </c>
      <c r="AL27" s="32">
        <v>192</v>
      </c>
      <c r="AM27" s="32" t="s">
        <v>1698</v>
      </c>
      <c r="AN27" s="41">
        <f t="shared" si="1"/>
        <v>3</v>
      </c>
    </row>
    <row r="28" spans="1:40" x14ac:dyDescent="0.25">
      <c r="A28" s="32">
        <v>22521016</v>
      </c>
      <c r="B28" s="32" t="s">
        <v>1076</v>
      </c>
      <c r="C28" s="32" t="s">
        <v>1077</v>
      </c>
      <c r="D28" s="32" t="s">
        <v>1078</v>
      </c>
      <c r="E28" s="32" t="s">
        <v>993</v>
      </c>
      <c r="F28" s="32" t="s">
        <v>993</v>
      </c>
      <c r="G28" s="40">
        <v>45880</v>
      </c>
      <c r="H28" s="40">
        <v>46170</v>
      </c>
      <c r="I28" s="40">
        <v>46132</v>
      </c>
      <c r="J28" s="32" t="s">
        <v>37</v>
      </c>
      <c r="K28" s="32">
        <v>46171</v>
      </c>
      <c r="L28" s="32">
        <v>493990</v>
      </c>
      <c r="M28" s="32">
        <v>429990</v>
      </c>
      <c r="N28" s="32">
        <v>394010</v>
      </c>
      <c r="O28" s="32">
        <v>209.13</v>
      </c>
      <c r="P28" s="32">
        <v>8109</v>
      </c>
      <c r="Q28" s="32" t="s">
        <v>38</v>
      </c>
      <c r="R28" s="32" t="s">
        <v>1085</v>
      </c>
      <c r="S28" s="32" t="s">
        <v>45</v>
      </c>
      <c r="T28" s="32" t="s">
        <v>997</v>
      </c>
      <c r="U28" s="32">
        <v>85747</v>
      </c>
      <c r="V28" s="32">
        <v>32.104458999999999</v>
      </c>
      <c r="W28" s="32">
        <v>-110.702326</v>
      </c>
      <c r="X28" s="32">
        <v>1884</v>
      </c>
      <c r="Y28" s="32">
        <v>2025</v>
      </c>
      <c r="Z28" s="32">
        <v>2</v>
      </c>
      <c r="AA28" s="32">
        <v>3</v>
      </c>
      <c r="AB28" s="32" t="s">
        <v>510</v>
      </c>
      <c r="AC28" s="32" t="s">
        <v>998</v>
      </c>
      <c r="AD28" s="32" t="s">
        <v>1118</v>
      </c>
      <c r="AE28" s="32" t="s">
        <v>1119</v>
      </c>
      <c r="AF28" s="32" t="s">
        <v>1120</v>
      </c>
      <c r="AG28" s="32" t="s">
        <v>1083</v>
      </c>
      <c r="AH28" s="32" t="s">
        <v>1003</v>
      </c>
      <c r="AI28" s="32" t="str">
        <f t="shared" si="0"/>
        <v>Sanctuary</v>
      </c>
      <c r="AJ28" s="32">
        <v>6593</v>
      </c>
      <c r="AK28" s="32" t="s">
        <v>1084</v>
      </c>
      <c r="AL28" s="37">
        <v>252</v>
      </c>
      <c r="AM28" s="31" t="s">
        <v>1699</v>
      </c>
      <c r="AN28" s="41">
        <f t="shared" si="1"/>
        <v>3</v>
      </c>
    </row>
    <row r="29" spans="1:40" x14ac:dyDescent="0.25">
      <c r="A29" s="32">
        <v>22521123</v>
      </c>
      <c r="B29" s="32" t="s">
        <v>1025</v>
      </c>
      <c r="C29" s="32" t="s">
        <v>1026</v>
      </c>
      <c r="D29" s="32" t="s">
        <v>1027</v>
      </c>
      <c r="E29" s="32" t="s">
        <v>993</v>
      </c>
      <c r="F29" s="32" t="s">
        <v>993</v>
      </c>
      <c r="G29" s="40">
        <v>45881</v>
      </c>
      <c r="H29" s="40">
        <v>46164</v>
      </c>
      <c r="I29" s="40">
        <v>46125</v>
      </c>
      <c r="J29" s="32" t="s">
        <v>37</v>
      </c>
      <c r="K29" s="32">
        <v>46164</v>
      </c>
      <c r="L29" s="32">
        <v>528940</v>
      </c>
      <c r="M29" s="32">
        <v>449840</v>
      </c>
      <c r="N29" s="32">
        <v>449840</v>
      </c>
      <c r="O29" s="32">
        <v>163.63999999999999</v>
      </c>
      <c r="P29" s="32">
        <v>8256</v>
      </c>
      <c r="Q29" s="32" t="s">
        <v>38</v>
      </c>
      <c r="R29" s="32" t="s">
        <v>1028</v>
      </c>
      <c r="S29" s="32" t="s">
        <v>1029</v>
      </c>
      <c r="T29" s="32" t="s">
        <v>997</v>
      </c>
      <c r="U29" s="32">
        <v>85641</v>
      </c>
      <c r="V29" s="32">
        <v>32.099755999999999</v>
      </c>
      <c r="W29" s="32">
        <v>-110.71842100000001</v>
      </c>
      <c r="X29" s="32">
        <v>2749</v>
      </c>
      <c r="Y29" s="32">
        <v>2025</v>
      </c>
      <c r="Z29" s="32">
        <v>5</v>
      </c>
      <c r="AA29" s="32">
        <v>4</v>
      </c>
      <c r="AB29" s="32" t="s">
        <v>510</v>
      </c>
      <c r="AC29" s="32" t="s">
        <v>1008</v>
      </c>
      <c r="AD29" s="32" t="s">
        <v>1121</v>
      </c>
      <c r="AE29" s="32" t="s">
        <v>1122</v>
      </c>
      <c r="AF29" s="32" t="s">
        <v>1123</v>
      </c>
      <c r="AG29" s="32" t="s">
        <v>1033</v>
      </c>
      <c r="AH29" s="32" t="s">
        <v>1003</v>
      </c>
      <c r="AI29" s="32" t="str">
        <f t="shared" si="0"/>
        <v>Wayfarer B</v>
      </c>
      <c r="AJ29" s="32">
        <v>8461</v>
      </c>
      <c r="AK29" s="32" t="s">
        <v>1034</v>
      </c>
      <c r="AL29" s="36">
        <v>244</v>
      </c>
      <c r="AM29" s="30" t="s">
        <v>1700</v>
      </c>
      <c r="AN29" s="41">
        <f t="shared" si="1"/>
        <v>3</v>
      </c>
    </row>
    <row r="30" spans="1:40" x14ac:dyDescent="0.25">
      <c r="A30" s="32">
        <v>22521817</v>
      </c>
      <c r="B30" s="32" t="s">
        <v>1048</v>
      </c>
      <c r="C30" s="32" t="s">
        <v>1049</v>
      </c>
      <c r="D30" s="32" t="s">
        <v>1050</v>
      </c>
      <c r="E30" s="32" t="s">
        <v>993</v>
      </c>
      <c r="F30" s="32" t="s">
        <v>993</v>
      </c>
      <c r="G30" s="40">
        <v>45889</v>
      </c>
      <c r="H30" s="40">
        <v>46057</v>
      </c>
      <c r="I30" s="40">
        <v>46007</v>
      </c>
      <c r="J30" s="32" t="s">
        <v>37</v>
      </c>
      <c r="K30" s="32">
        <v>46059</v>
      </c>
      <c r="L30" s="32">
        <v>610245</v>
      </c>
      <c r="M30" s="32">
        <v>569990</v>
      </c>
      <c r="N30" s="32">
        <v>569990</v>
      </c>
      <c r="O30" s="32">
        <v>252.21</v>
      </c>
      <c r="P30" s="32">
        <v>7926</v>
      </c>
      <c r="Q30" s="32" t="s">
        <v>38</v>
      </c>
      <c r="R30" s="32" t="s">
        <v>1051</v>
      </c>
      <c r="S30" s="32" t="s">
        <v>45</v>
      </c>
      <c r="T30" s="32" t="s">
        <v>997</v>
      </c>
      <c r="U30" s="32">
        <v>85747</v>
      </c>
      <c r="V30" s="32">
        <v>32.107436</v>
      </c>
      <c r="W30" s="32">
        <v>-110.71633199999999</v>
      </c>
      <c r="X30" s="32">
        <v>2260</v>
      </c>
      <c r="Y30" s="32">
        <v>2025</v>
      </c>
      <c r="Z30" s="32">
        <v>4</v>
      </c>
      <c r="AA30" s="32">
        <v>3</v>
      </c>
      <c r="AB30" s="32" t="s">
        <v>510</v>
      </c>
      <c r="AC30" s="32" t="s">
        <v>998</v>
      </c>
      <c r="AD30" s="32" t="s">
        <v>1124</v>
      </c>
      <c r="AE30" s="32" t="s">
        <v>1125</v>
      </c>
      <c r="AF30" s="32" t="s">
        <v>1126</v>
      </c>
      <c r="AG30" s="32" t="s">
        <v>1055</v>
      </c>
      <c r="AH30" s="32" t="s">
        <v>1056</v>
      </c>
      <c r="AI30" s="32" t="str">
        <f t="shared" si="0"/>
        <v>Townsend</v>
      </c>
      <c r="AJ30" s="32">
        <v>7728</v>
      </c>
      <c r="AK30" s="32" t="s">
        <v>1098</v>
      </c>
      <c r="AL30" s="32">
        <v>141</v>
      </c>
      <c r="AM30" s="32" t="s">
        <v>1701</v>
      </c>
      <c r="AN30" s="41">
        <f t="shared" si="1"/>
        <v>3</v>
      </c>
    </row>
    <row r="31" spans="1:40" x14ac:dyDescent="0.25">
      <c r="A31" s="32">
        <v>22522927</v>
      </c>
      <c r="B31" s="32" t="s">
        <v>1025</v>
      </c>
      <c r="C31" s="32" t="s">
        <v>1026</v>
      </c>
      <c r="D31" s="32" t="s">
        <v>1027</v>
      </c>
      <c r="E31" s="32" t="s">
        <v>993</v>
      </c>
      <c r="F31" s="32" t="s">
        <v>993</v>
      </c>
      <c r="G31" s="40">
        <v>45903</v>
      </c>
      <c r="H31" s="40">
        <v>46035</v>
      </c>
      <c r="I31" s="40">
        <v>45995</v>
      </c>
      <c r="J31" s="32" t="s">
        <v>37</v>
      </c>
      <c r="K31" s="32">
        <v>46035</v>
      </c>
      <c r="L31" s="32">
        <v>439940</v>
      </c>
      <c r="M31" s="32">
        <v>432940</v>
      </c>
      <c r="N31" s="32">
        <v>432940</v>
      </c>
      <c r="O31" s="32">
        <v>202.78</v>
      </c>
      <c r="P31" s="32">
        <v>8277</v>
      </c>
      <c r="Q31" s="32" t="s">
        <v>38</v>
      </c>
      <c r="R31" s="32" t="s">
        <v>1127</v>
      </c>
      <c r="S31" s="32" t="s">
        <v>1029</v>
      </c>
      <c r="T31" s="32" t="s">
        <v>997</v>
      </c>
      <c r="U31" s="32">
        <v>85641</v>
      </c>
      <c r="V31" s="32">
        <v>32.101281</v>
      </c>
      <c r="W31" s="32">
        <v>-110.717894</v>
      </c>
      <c r="X31" s="32">
        <v>2135</v>
      </c>
      <c r="Y31" s="32">
        <v>2025</v>
      </c>
      <c r="Z31" s="32">
        <v>4</v>
      </c>
      <c r="AA31" s="32">
        <v>2</v>
      </c>
      <c r="AB31" s="32" t="s">
        <v>510</v>
      </c>
      <c r="AC31" s="32" t="s">
        <v>998</v>
      </c>
      <c r="AD31" s="32" t="s">
        <v>1128</v>
      </c>
      <c r="AE31" s="32" t="s">
        <v>1129</v>
      </c>
      <c r="AF31" s="32" t="s">
        <v>1130</v>
      </c>
      <c r="AG31" s="32" t="s">
        <v>1033</v>
      </c>
      <c r="AH31" s="32" t="s">
        <v>1003</v>
      </c>
      <c r="AI31" s="32" t="str">
        <f t="shared" si="0"/>
        <v>Traverse B</v>
      </c>
      <c r="AJ31" s="32">
        <v>8866</v>
      </c>
      <c r="AK31" s="32" t="s">
        <v>1034</v>
      </c>
      <c r="AL31" s="32">
        <v>93</v>
      </c>
      <c r="AM31" s="32" t="s">
        <v>1702</v>
      </c>
      <c r="AN31" s="41">
        <f t="shared" si="1"/>
        <v>3</v>
      </c>
    </row>
    <row r="32" spans="1:40" x14ac:dyDescent="0.25">
      <c r="A32" s="32">
        <v>22523428</v>
      </c>
      <c r="B32" s="32" t="s">
        <v>1025</v>
      </c>
      <c r="C32" s="32" t="s">
        <v>1026</v>
      </c>
      <c r="D32" s="32" t="s">
        <v>1027</v>
      </c>
      <c r="E32" s="32" t="s">
        <v>993</v>
      </c>
      <c r="F32" s="32" t="s">
        <v>993</v>
      </c>
      <c r="G32" s="40">
        <v>45908</v>
      </c>
      <c r="H32" s="40">
        <v>46073</v>
      </c>
      <c r="I32" s="40">
        <v>46026</v>
      </c>
      <c r="J32" s="32" t="s">
        <v>37</v>
      </c>
      <c r="K32" s="32">
        <v>46073</v>
      </c>
      <c r="L32" s="32">
        <v>374940</v>
      </c>
      <c r="M32" s="32">
        <v>364940</v>
      </c>
      <c r="N32" s="32">
        <v>360000</v>
      </c>
      <c r="O32" s="32">
        <v>253.88</v>
      </c>
      <c r="P32" s="32">
        <v>13982</v>
      </c>
      <c r="Q32" s="32" t="s">
        <v>48</v>
      </c>
      <c r="R32" s="32" t="s">
        <v>1131</v>
      </c>
      <c r="S32" s="32" t="s">
        <v>1029</v>
      </c>
      <c r="T32" s="32" t="s">
        <v>997</v>
      </c>
      <c r="U32" s="32">
        <v>85641</v>
      </c>
      <c r="V32" s="32">
        <v>32.095593000000001</v>
      </c>
      <c r="W32" s="32">
        <v>-110.694318</v>
      </c>
      <c r="X32" s="32">
        <v>1418</v>
      </c>
      <c r="Y32" s="32">
        <v>2025</v>
      </c>
      <c r="Z32" s="32">
        <v>3</v>
      </c>
      <c r="AA32" s="32">
        <v>2</v>
      </c>
      <c r="AB32" s="32" t="s">
        <v>510</v>
      </c>
      <c r="AC32" s="32" t="s">
        <v>998</v>
      </c>
      <c r="AD32" s="32" t="s">
        <v>1132</v>
      </c>
      <c r="AE32" s="32" t="s">
        <v>1133</v>
      </c>
      <c r="AF32" s="32" t="s">
        <v>1134</v>
      </c>
      <c r="AG32" s="32" t="s">
        <v>1033</v>
      </c>
      <c r="AH32" s="32" t="s">
        <v>1003</v>
      </c>
      <c r="AI32" s="32" t="str">
        <f t="shared" si="0"/>
        <v>Daisy C</v>
      </c>
      <c r="AJ32" s="32">
        <v>6482</v>
      </c>
      <c r="AK32" s="32" t="s">
        <v>1072</v>
      </c>
      <c r="AL32" s="32">
        <v>119</v>
      </c>
      <c r="AM32" s="32" t="s">
        <v>1703</v>
      </c>
      <c r="AN32" s="41">
        <f t="shared" si="1"/>
        <v>3</v>
      </c>
    </row>
    <row r="33" spans="1:40" x14ac:dyDescent="0.25">
      <c r="A33" s="32">
        <v>22523827</v>
      </c>
      <c r="B33" s="32" t="s">
        <v>1025</v>
      </c>
      <c r="C33" s="32" t="s">
        <v>1026</v>
      </c>
      <c r="D33" s="32" t="s">
        <v>1027</v>
      </c>
      <c r="E33" s="32" t="s">
        <v>993</v>
      </c>
      <c r="F33" s="32" t="s">
        <v>993</v>
      </c>
      <c r="G33" s="40">
        <v>45912</v>
      </c>
      <c r="H33" s="40">
        <v>46038</v>
      </c>
      <c r="I33" s="40">
        <v>46013</v>
      </c>
      <c r="J33" s="32" t="s">
        <v>37</v>
      </c>
      <c r="K33" s="32">
        <v>46038</v>
      </c>
      <c r="L33" s="32">
        <v>393690</v>
      </c>
      <c r="M33" s="32">
        <v>373290</v>
      </c>
      <c r="N33" s="32">
        <v>373290</v>
      </c>
      <c r="O33" s="32">
        <v>222.33</v>
      </c>
      <c r="P33" s="32">
        <v>13974</v>
      </c>
      <c r="Q33" s="32" t="s">
        <v>48</v>
      </c>
      <c r="R33" s="32" t="s">
        <v>1135</v>
      </c>
      <c r="S33" s="32" t="s">
        <v>1029</v>
      </c>
      <c r="T33" s="32" t="s">
        <v>997</v>
      </c>
      <c r="U33" s="32">
        <v>85641</v>
      </c>
      <c r="V33" s="32">
        <v>32.095624999999998</v>
      </c>
      <c r="W33" s="32">
        <v>-110.694475</v>
      </c>
      <c r="X33" s="32">
        <v>1679</v>
      </c>
      <c r="Y33" s="32">
        <v>2025</v>
      </c>
      <c r="Z33" s="32">
        <v>4</v>
      </c>
      <c r="AA33" s="32">
        <v>2</v>
      </c>
      <c r="AB33" s="32" t="s">
        <v>510</v>
      </c>
      <c r="AC33" s="32" t="s">
        <v>998</v>
      </c>
      <c r="AD33" s="32" t="s">
        <v>1136</v>
      </c>
      <c r="AE33" s="32" t="s">
        <v>1137</v>
      </c>
      <c r="AF33" s="32" t="s">
        <v>1138</v>
      </c>
      <c r="AG33" s="32" t="s">
        <v>1033</v>
      </c>
      <c r="AH33" s="32" t="s">
        <v>1003</v>
      </c>
      <c r="AI33" s="32" t="str">
        <f t="shared" si="0"/>
        <v>Dolly A</v>
      </c>
      <c r="AJ33" s="32">
        <v>9427</v>
      </c>
      <c r="AK33" s="32" t="s">
        <v>1072</v>
      </c>
      <c r="AL33" s="37">
        <v>101</v>
      </c>
      <c r="AM33" s="31" t="s">
        <v>1704</v>
      </c>
      <c r="AN33" s="41">
        <f t="shared" si="1"/>
        <v>3</v>
      </c>
    </row>
    <row r="34" spans="1:40" x14ac:dyDescent="0.25">
      <c r="A34" s="32">
        <v>22523832</v>
      </c>
      <c r="B34" s="32" t="s">
        <v>1025</v>
      </c>
      <c r="C34" s="32" t="s">
        <v>1026</v>
      </c>
      <c r="D34" s="32" t="s">
        <v>1027</v>
      </c>
      <c r="E34" s="32" t="s">
        <v>993</v>
      </c>
      <c r="F34" s="32" t="s">
        <v>993</v>
      </c>
      <c r="G34" s="40">
        <v>45912</v>
      </c>
      <c r="H34" s="40">
        <v>46121</v>
      </c>
      <c r="I34" s="40">
        <v>46100</v>
      </c>
      <c r="J34" s="32" t="s">
        <v>37</v>
      </c>
      <c r="K34" s="32">
        <v>46121</v>
      </c>
      <c r="L34" s="32">
        <v>395940</v>
      </c>
      <c r="M34" s="32">
        <v>371590</v>
      </c>
      <c r="N34" s="32">
        <v>371590</v>
      </c>
      <c r="O34" s="32">
        <v>196.82</v>
      </c>
      <c r="P34" s="32">
        <v>13990</v>
      </c>
      <c r="Q34" s="32" t="s">
        <v>48</v>
      </c>
      <c r="R34" s="32" t="s">
        <v>1135</v>
      </c>
      <c r="S34" s="32" t="s">
        <v>1029</v>
      </c>
      <c r="T34" s="32" t="s">
        <v>997</v>
      </c>
      <c r="U34" s="32">
        <v>85641</v>
      </c>
      <c r="V34" s="32">
        <v>32.095618999999999</v>
      </c>
      <c r="W34" s="32">
        <v>-110.69417300000001</v>
      </c>
      <c r="X34" s="32">
        <v>1888</v>
      </c>
      <c r="Y34" s="32">
        <v>2025</v>
      </c>
      <c r="Z34" s="32">
        <v>4</v>
      </c>
      <c r="AA34" s="32">
        <v>3</v>
      </c>
      <c r="AB34" s="32" t="s">
        <v>510</v>
      </c>
      <c r="AC34" s="32" t="s">
        <v>1008</v>
      </c>
      <c r="AD34" s="32" t="s">
        <v>1139</v>
      </c>
      <c r="AE34" s="32" t="s">
        <v>1140</v>
      </c>
      <c r="AF34" s="32" t="s">
        <v>1141</v>
      </c>
      <c r="AG34" s="32" t="s">
        <v>1033</v>
      </c>
      <c r="AH34" s="32" t="s">
        <v>1003</v>
      </c>
      <c r="AI34" s="32" t="str">
        <f t="shared" si="0"/>
        <v>Gwen B</v>
      </c>
      <c r="AJ34" s="32">
        <v>5888</v>
      </c>
      <c r="AK34" s="32" t="s">
        <v>1072</v>
      </c>
      <c r="AL34" s="32">
        <v>188</v>
      </c>
      <c r="AM34" s="32" t="s">
        <v>1705</v>
      </c>
      <c r="AN34" s="41">
        <f t="shared" si="1"/>
        <v>3</v>
      </c>
    </row>
    <row r="35" spans="1:40" x14ac:dyDescent="0.25">
      <c r="A35" s="32">
        <v>22524949</v>
      </c>
      <c r="B35" s="32" t="s">
        <v>990</v>
      </c>
      <c r="C35" s="32" t="s">
        <v>991</v>
      </c>
      <c r="D35" s="32" t="s">
        <v>992</v>
      </c>
      <c r="E35" s="32" t="s">
        <v>993</v>
      </c>
      <c r="F35" s="32" t="s">
        <v>993</v>
      </c>
      <c r="G35" s="40">
        <v>45925</v>
      </c>
      <c r="H35" s="40" t="s">
        <v>994</v>
      </c>
      <c r="I35" s="40">
        <v>46176</v>
      </c>
      <c r="J35" s="32" t="s">
        <v>1038</v>
      </c>
      <c r="K35" s="32">
        <v>46176</v>
      </c>
      <c r="L35" s="32">
        <v>412530</v>
      </c>
      <c r="M35" s="32">
        <v>395530</v>
      </c>
      <c r="O35" s="32" t="s">
        <v>994</v>
      </c>
      <c r="P35" s="32">
        <v>8290</v>
      </c>
      <c r="Q35" s="32" t="s">
        <v>38</v>
      </c>
      <c r="R35" s="32" t="s">
        <v>1018</v>
      </c>
      <c r="S35" s="32" t="s">
        <v>45</v>
      </c>
      <c r="T35" s="32" t="s">
        <v>997</v>
      </c>
      <c r="U35" s="32">
        <v>85747</v>
      </c>
      <c r="V35" s="32">
        <v>32.100997</v>
      </c>
      <c r="W35" s="32">
        <v>-110.721076</v>
      </c>
      <c r="X35" s="32">
        <v>2027</v>
      </c>
      <c r="Y35" s="32">
        <v>2025</v>
      </c>
      <c r="Z35" s="32">
        <v>4</v>
      </c>
      <c r="AA35" s="32">
        <v>3</v>
      </c>
      <c r="AB35" s="32" t="s">
        <v>510</v>
      </c>
      <c r="AC35" s="32" t="s">
        <v>998</v>
      </c>
      <c r="AD35" s="32" t="s">
        <v>1142</v>
      </c>
      <c r="AE35" s="32" t="s">
        <v>1143</v>
      </c>
      <c r="AF35" s="32" t="s">
        <v>1144</v>
      </c>
      <c r="AG35" s="32" t="s">
        <v>1002</v>
      </c>
      <c r="AH35" s="32" t="s">
        <v>1003</v>
      </c>
      <c r="AI35" s="32" t="str">
        <f t="shared" si="0"/>
        <v>Topaz</v>
      </c>
      <c r="AJ35" s="32">
        <v>7337</v>
      </c>
      <c r="AK35" s="32" t="s">
        <v>1004</v>
      </c>
      <c r="AL35" s="32">
        <v>251</v>
      </c>
      <c r="AM35" s="32" t="s">
        <v>1706</v>
      </c>
      <c r="AN35" s="41">
        <f t="shared" si="1"/>
        <v>2</v>
      </c>
    </row>
    <row r="36" spans="1:40" x14ac:dyDescent="0.25">
      <c r="A36" s="32">
        <v>22524955</v>
      </c>
      <c r="B36" s="32" t="s">
        <v>990</v>
      </c>
      <c r="C36" s="32" t="s">
        <v>991</v>
      </c>
      <c r="D36" s="32" t="s">
        <v>992</v>
      </c>
      <c r="E36" s="32" t="s">
        <v>993</v>
      </c>
      <c r="F36" s="32" t="s">
        <v>993</v>
      </c>
      <c r="G36" s="40">
        <v>45925</v>
      </c>
      <c r="H36" s="40">
        <v>46091</v>
      </c>
      <c r="I36" s="40">
        <v>46063</v>
      </c>
      <c r="J36" s="32" t="s">
        <v>37</v>
      </c>
      <c r="K36" s="32">
        <v>46093</v>
      </c>
      <c r="L36" s="32">
        <v>419430</v>
      </c>
      <c r="M36" s="32">
        <v>420430</v>
      </c>
      <c r="N36" s="32">
        <v>420430</v>
      </c>
      <c r="O36" s="32">
        <v>207.41</v>
      </c>
      <c r="P36" s="32">
        <v>8296</v>
      </c>
      <c r="Q36" s="32" t="s">
        <v>38</v>
      </c>
      <c r="R36" s="32" t="s">
        <v>1018</v>
      </c>
      <c r="S36" s="32" t="s">
        <v>45</v>
      </c>
      <c r="T36" s="32" t="s">
        <v>997</v>
      </c>
      <c r="U36" s="32">
        <v>85747</v>
      </c>
      <c r="V36" s="32">
        <v>32.100875000000002</v>
      </c>
      <c r="W36" s="32">
        <v>-110.721076</v>
      </c>
      <c r="X36" s="32">
        <v>2027</v>
      </c>
      <c r="Y36" s="32">
        <v>2025</v>
      </c>
      <c r="Z36" s="32">
        <v>4</v>
      </c>
      <c r="AA36" s="32">
        <v>3</v>
      </c>
      <c r="AB36" s="32" t="s">
        <v>510</v>
      </c>
      <c r="AC36" s="32" t="s">
        <v>998</v>
      </c>
      <c r="AD36" s="32" t="s">
        <v>1145</v>
      </c>
      <c r="AE36" s="32" t="s">
        <v>1146</v>
      </c>
      <c r="AF36" s="32" t="s">
        <v>1147</v>
      </c>
      <c r="AG36" s="32" t="s">
        <v>1002</v>
      </c>
      <c r="AH36" s="32" t="s">
        <v>1003</v>
      </c>
      <c r="AI36" s="32" t="str">
        <f t="shared" si="0"/>
        <v>Topaz</v>
      </c>
      <c r="AJ36" s="32">
        <v>7337</v>
      </c>
      <c r="AK36" s="32" t="s">
        <v>1004</v>
      </c>
      <c r="AL36" s="32">
        <v>138</v>
      </c>
      <c r="AM36" s="32" t="s">
        <v>1707</v>
      </c>
      <c r="AN36" s="41">
        <f t="shared" si="1"/>
        <v>3</v>
      </c>
    </row>
    <row r="37" spans="1:40" x14ac:dyDescent="0.25">
      <c r="A37" s="32">
        <v>22524959</v>
      </c>
      <c r="B37" s="32" t="s">
        <v>990</v>
      </c>
      <c r="C37" s="32" t="s">
        <v>991</v>
      </c>
      <c r="D37" s="32" t="s">
        <v>992</v>
      </c>
      <c r="E37" s="32" t="s">
        <v>993</v>
      </c>
      <c r="F37" s="32" t="s">
        <v>993</v>
      </c>
      <c r="G37" s="40">
        <v>45925</v>
      </c>
      <c r="H37" s="40" t="s">
        <v>994</v>
      </c>
      <c r="I37" s="40">
        <v>46161</v>
      </c>
      <c r="J37" s="32" t="s">
        <v>1038</v>
      </c>
      <c r="K37" s="32">
        <v>46161</v>
      </c>
      <c r="L37" s="32">
        <v>368500</v>
      </c>
      <c r="M37" s="32">
        <v>354130</v>
      </c>
      <c r="O37" s="32" t="s">
        <v>994</v>
      </c>
      <c r="P37" s="32">
        <v>8299</v>
      </c>
      <c r="Q37" s="32" t="s">
        <v>38</v>
      </c>
      <c r="R37" s="32" t="s">
        <v>996</v>
      </c>
      <c r="S37" s="32" t="s">
        <v>45</v>
      </c>
      <c r="T37" s="32" t="s">
        <v>997</v>
      </c>
      <c r="U37" s="32">
        <v>85747</v>
      </c>
      <c r="V37" s="32">
        <v>32.100667000000001</v>
      </c>
      <c r="W37" s="32">
        <v>-110.719436</v>
      </c>
      <c r="X37" s="32">
        <v>1578</v>
      </c>
      <c r="Y37" s="32">
        <v>2025</v>
      </c>
      <c r="Z37" s="32">
        <v>3</v>
      </c>
      <c r="AA37" s="32">
        <v>2</v>
      </c>
      <c r="AB37" s="32" t="s">
        <v>510</v>
      </c>
      <c r="AC37" s="32" t="s">
        <v>998</v>
      </c>
      <c r="AD37" s="32" t="s">
        <v>1148</v>
      </c>
      <c r="AE37" s="32" t="s">
        <v>1149</v>
      </c>
      <c r="AF37" s="32" t="s">
        <v>1150</v>
      </c>
      <c r="AG37" s="32" t="s">
        <v>1002</v>
      </c>
      <c r="AH37" s="32" t="s">
        <v>1003</v>
      </c>
      <c r="AI37" s="32" t="str">
        <f t="shared" si="0"/>
        <v>Pearl</v>
      </c>
      <c r="AJ37" s="32">
        <v>7337</v>
      </c>
      <c r="AK37" s="32" t="s">
        <v>1004</v>
      </c>
      <c r="AL37" s="32">
        <v>236</v>
      </c>
      <c r="AM37" s="32" t="s">
        <v>1708</v>
      </c>
      <c r="AN37" s="41">
        <f t="shared" si="1"/>
        <v>2</v>
      </c>
    </row>
    <row r="38" spans="1:40" x14ac:dyDescent="0.25">
      <c r="A38" s="32">
        <v>22524970</v>
      </c>
      <c r="B38" s="32" t="s">
        <v>990</v>
      </c>
      <c r="C38" s="32" t="s">
        <v>991</v>
      </c>
      <c r="D38" s="32" t="s">
        <v>992</v>
      </c>
      <c r="E38" s="32" t="s">
        <v>993</v>
      </c>
      <c r="F38" s="32" t="s">
        <v>993</v>
      </c>
      <c r="G38" s="40">
        <v>45925</v>
      </c>
      <c r="H38" s="40" t="s">
        <v>994</v>
      </c>
      <c r="I38" s="40" t="s">
        <v>994</v>
      </c>
      <c r="J38" s="32" t="s">
        <v>995</v>
      </c>
      <c r="K38" s="32">
        <v>45925</v>
      </c>
      <c r="L38" s="32">
        <v>402430</v>
      </c>
      <c r="M38" s="32">
        <v>372430</v>
      </c>
      <c r="O38" s="32" t="s">
        <v>994</v>
      </c>
      <c r="P38" s="32">
        <v>8283</v>
      </c>
      <c r="Q38" s="32" t="s">
        <v>38</v>
      </c>
      <c r="R38" s="32" t="s">
        <v>1018</v>
      </c>
      <c r="S38" s="32" t="s">
        <v>45</v>
      </c>
      <c r="T38" s="32" t="s">
        <v>997</v>
      </c>
      <c r="U38" s="32">
        <v>85747</v>
      </c>
      <c r="V38" s="32">
        <v>32.101089999999999</v>
      </c>
      <c r="W38" s="32">
        <v>-110.72053699999999</v>
      </c>
      <c r="X38" s="32">
        <v>1832</v>
      </c>
      <c r="Y38" s="32">
        <v>2025</v>
      </c>
      <c r="Z38" s="32">
        <v>4</v>
      </c>
      <c r="AA38" s="32">
        <v>2</v>
      </c>
      <c r="AB38" s="32" t="s">
        <v>510</v>
      </c>
      <c r="AC38" s="32" t="s">
        <v>998</v>
      </c>
      <c r="AD38" s="32" t="s">
        <v>1151</v>
      </c>
      <c r="AE38" s="32" t="s">
        <v>1152</v>
      </c>
      <c r="AF38" s="32" t="s">
        <v>1153</v>
      </c>
      <c r="AG38" s="32" t="s">
        <v>1002</v>
      </c>
      <c r="AH38" s="32" t="s">
        <v>1003</v>
      </c>
      <c r="AI38" s="32" t="str">
        <f t="shared" si="0"/>
        <v>Garnet</v>
      </c>
      <c r="AJ38" s="32">
        <v>7337</v>
      </c>
      <c r="AK38" s="32" t="s">
        <v>1004</v>
      </c>
      <c r="AL38" s="36">
        <v>252</v>
      </c>
      <c r="AM38" s="30" t="s">
        <v>1709</v>
      </c>
      <c r="AN38" s="41">
        <f t="shared" si="1"/>
        <v>1</v>
      </c>
    </row>
    <row r="39" spans="1:40" x14ac:dyDescent="0.25">
      <c r="A39" s="32">
        <v>22524977</v>
      </c>
      <c r="B39" s="32" t="s">
        <v>990</v>
      </c>
      <c r="C39" s="32" t="s">
        <v>991</v>
      </c>
      <c r="D39" s="32" t="s">
        <v>992</v>
      </c>
      <c r="E39" s="32" t="s">
        <v>993</v>
      </c>
      <c r="F39" s="32" t="s">
        <v>993</v>
      </c>
      <c r="G39" s="40">
        <v>45925</v>
      </c>
      <c r="H39" s="40" t="s">
        <v>994</v>
      </c>
      <c r="I39" s="40" t="s">
        <v>994</v>
      </c>
      <c r="J39" s="32" t="s">
        <v>995</v>
      </c>
      <c r="K39" s="32">
        <v>45925</v>
      </c>
      <c r="L39" s="32">
        <v>389020</v>
      </c>
      <c r="M39" s="32">
        <v>362020</v>
      </c>
      <c r="O39" s="32" t="s">
        <v>994</v>
      </c>
      <c r="P39" s="32">
        <v>8277</v>
      </c>
      <c r="Q39" s="32" t="s">
        <v>38</v>
      </c>
      <c r="R39" s="32" t="s">
        <v>1018</v>
      </c>
      <c r="S39" s="32" t="s">
        <v>45</v>
      </c>
      <c r="T39" s="32" t="s">
        <v>997</v>
      </c>
      <c r="U39" s="32">
        <v>85747</v>
      </c>
      <c r="V39" s="32">
        <v>32.101219</v>
      </c>
      <c r="W39" s="32">
        <v>-110.72053200000001</v>
      </c>
      <c r="X39" s="32">
        <v>1578</v>
      </c>
      <c r="Y39" s="32">
        <v>2025</v>
      </c>
      <c r="Z39" s="32">
        <v>3</v>
      </c>
      <c r="AA39" s="32">
        <v>2</v>
      </c>
      <c r="AB39" s="32" t="s">
        <v>510</v>
      </c>
      <c r="AC39" s="32" t="s">
        <v>998</v>
      </c>
      <c r="AD39" s="32" t="s">
        <v>1154</v>
      </c>
      <c r="AE39" s="32" t="s">
        <v>1155</v>
      </c>
      <c r="AF39" s="32" t="s">
        <v>1156</v>
      </c>
      <c r="AG39" s="32" t="s">
        <v>1002</v>
      </c>
      <c r="AH39" s="32" t="s">
        <v>1003</v>
      </c>
      <c r="AI39" s="32" t="str">
        <f t="shared" si="0"/>
        <v>Pearl</v>
      </c>
      <c r="AJ39" s="32">
        <v>7337</v>
      </c>
      <c r="AK39" s="32" t="s">
        <v>1004</v>
      </c>
      <c r="AL39" s="36">
        <v>252</v>
      </c>
      <c r="AM39" s="30" t="s">
        <v>1710</v>
      </c>
      <c r="AN39" s="41">
        <f t="shared" si="1"/>
        <v>1</v>
      </c>
    </row>
    <row r="40" spans="1:40" x14ac:dyDescent="0.25">
      <c r="A40" s="32">
        <v>22525010</v>
      </c>
      <c r="B40" s="32" t="s">
        <v>990</v>
      </c>
      <c r="C40" s="32" t="s">
        <v>991</v>
      </c>
      <c r="D40" s="32" t="s">
        <v>992</v>
      </c>
      <c r="E40" s="32" t="s">
        <v>993</v>
      </c>
      <c r="F40" s="32" t="s">
        <v>993</v>
      </c>
      <c r="G40" s="40">
        <v>45925</v>
      </c>
      <c r="H40" s="40" t="s">
        <v>994</v>
      </c>
      <c r="I40" s="40" t="s">
        <v>994</v>
      </c>
      <c r="J40" s="32" t="s">
        <v>995</v>
      </c>
      <c r="K40" s="32">
        <v>45925</v>
      </c>
      <c r="L40" s="32">
        <v>405830</v>
      </c>
      <c r="M40" s="32">
        <v>382830</v>
      </c>
      <c r="O40" s="32" t="s">
        <v>994</v>
      </c>
      <c r="P40" s="32">
        <v>8263</v>
      </c>
      <c r="Q40" s="32" t="s">
        <v>38</v>
      </c>
      <c r="R40" s="32" t="s">
        <v>996</v>
      </c>
      <c r="S40" s="32" t="s">
        <v>45</v>
      </c>
      <c r="T40" s="32" t="s">
        <v>997</v>
      </c>
      <c r="U40" s="32">
        <v>85747</v>
      </c>
      <c r="V40" s="32">
        <v>32.101483000000002</v>
      </c>
      <c r="W40" s="32">
        <v>-110.719607</v>
      </c>
      <c r="X40" s="32">
        <v>1832</v>
      </c>
      <c r="Y40" s="32">
        <v>2025</v>
      </c>
      <c r="Z40" s="32">
        <v>4</v>
      </c>
      <c r="AA40" s="32">
        <v>2</v>
      </c>
      <c r="AB40" s="32" t="s">
        <v>510</v>
      </c>
      <c r="AC40" s="32" t="s">
        <v>998</v>
      </c>
      <c r="AD40" s="32" t="s">
        <v>1157</v>
      </c>
      <c r="AE40" s="32" t="s">
        <v>1158</v>
      </c>
      <c r="AF40" s="32" t="s">
        <v>1159</v>
      </c>
      <c r="AG40" s="32" t="s">
        <v>1002</v>
      </c>
      <c r="AH40" s="32" t="s">
        <v>1003</v>
      </c>
      <c r="AI40" s="32" t="str">
        <f t="shared" si="0"/>
        <v>Garnet</v>
      </c>
      <c r="AJ40" s="32">
        <v>7337</v>
      </c>
      <c r="AK40" s="32" t="s">
        <v>1004</v>
      </c>
      <c r="AL40" s="36">
        <v>252</v>
      </c>
      <c r="AM40" s="30" t="s">
        <v>1711</v>
      </c>
      <c r="AN40" s="41">
        <f t="shared" si="1"/>
        <v>1</v>
      </c>
    </row>
    <row r="41" spans="1:40" x14ac:dyDescent="0.25">
      <c r="A41" s="32">
        <v>22525014</v>
      </c>
      <c r="B41" s="32" t="s">
        <v>990</v>
      </c>
      <c r="C41" s="32" t="s">
        <v>991</v>
      </c>
      <c r="D41" s="32" t="s">
        <v>992</v>
      </c>
      <c r="E41" s="32" t="s">
        <v>993</v>
      </c>
      <c r="F41" s="32" t="s">
        <v>993</v>
      </c>
      <c r="G41" s="40">
        <v>45925</v>
      </c>
      <c r="H41" s="40">
        <v>46077</v>
      </c>
      <c r="I41" s="40">
        <v>46043</v>
      </c>
      <c r="J41" s="32" t="s">
        <v>37</v>
      </c>
      <c r="K41" s="32">
        <v>46079</v>
      </c>
      <c r="L41" s="32">
        <v>424020</v>
      </c>
      <c r="M41" s="32">
        <v>426020</v>
      </c>
      <c r="N41" s="32">
        <v>429020</v>
      </c>
      <c r="O41" s="32">
        <v>211.65</v>
      </c>
      <c r="P41" s="32">
        <v>8257</v>
      </c>
      <c r="Q41" s="32" t="s">
        <v>38</v>
      </c>
      <c r="R41" s="32" t="s">
        <v>996</v>
      </c>
      <c r="S41" s="32" t="s">
        <v>45</v>
      </c>
      <c r="T41" s="32" t="s">
        <v>997</v>
      </c>
      <c r="U41" s="32">
        <v>85747</v>
      </c>
      <c r="V41" s="32">
        <v>32.101629000000003</v>
      </c>
      <c r="W41" s="32">
        <v>-110.719622</v>
      </c>
      <c r="X41" s="32">
        <v>2027</v>
      </c>
      <c r="Y41" s="32">
        <v>2025</v>
      </c>
      <c r="Z41" s="32">
        <v>4</v>
      </c>
      <c r="AA41" s="32">
        <v>3</v>
      </c>
      <c r="AB41" s="32" t="s">
        <v>510</v>
      </c>
      <c r="AC41" s="32" t="s">
        <v>998</v>
      </c>
      <c r="AD41" s="32" t="s">
        <v>1160</v>
      </c>
      <c r="AE41" s="32" t="s">
        <v>1161</v>
      </c>
      <c r="AF41" s="32" t="s">
        <v>1162</v>
      </c>
      <c r="AG41" s="32" t="s">
        <v>1002</v>
      </c>
      <c r="AH41" s="32" t="s">
        <v>1003</v>
      </c>
      <c r="AI41" s="32" t="str">
        <f t="shared" si="0"/>
        <v>Topaz</v>
      </c>
      <c r="AJ41" s="32">
        <v>7337</v>
      </c>
      <c r="AK41" s="32" t="s">
        <v>1004</v>
      </c>
      <c r="AL41" s="32">
        <v>118</v>
      </c>
      <c r="AM41" s="32" t="s">
        <v>1712</v>
      </c>
      <c r="AN41" s="41">
        <f t="shared" si="1"/>
        <v>3</v>
      </c>
    </row>
    <row r="42" spans="1:40" x14ac:dyDescent="0.25">
      <c r="A42" s="32">
        <v>22525084</v>
      </c>
      <c r="B42" s="32" t="s">
        <v>990</v>
      </c>
      <c r="C42" s="32" t="s">
        <v>991</v>
      </c>
      <c r="D42" s="32" t="s">
        <v>992</v>
      </c>
      <c r="E42" s="32" t="s">
        <v>993</v>
      </c>
      <c r="F42" s="32" t="s">
        <v>993</v>
      </c>
      <c r="G42" s="40">
        <v>45926</v>
      </c>
      <c r="H42" s="40">
        <v>46087</v>
      </c>
      <c r="I42" s="40">
        <v>46057</v>
      </c>
      <c r="J42" s="32" t="s">
        <v>37</v>
      </c>
      <c r="K42" s="32">
        <v>46090</v>
      </c>
      <c r="L42" s="32">
        <v>421930</v>
      </c>
      <c r="M42" s="32">
        <v>422930</v>
      </c>
      <c r="N42" s="32">
        <v>422930</v>
      </c>
      <c r="O42" s="32">
        <v>208.65</v>
      </c>
      <c r="P42" s="32">
        <v>8278</v>
      </c>
      <c r="Q42" s="32" t="s">
        <v>38</v>
      </c>
      <c r="R42" s="32" t="s">
        <v>1018</v>
      </c>
      <c r="S42" s="32" t="s">
        <v>45</v>
      </c>
      <c r="T42" s="32" t="s">
        <v>997</v>
      </c>
      <c r="U42" s="32">
        <v>85747</v>
      </c>
      <c r="V42" s="32">
        <v>32.101244999999999</v>
      </c>
      <c r="W42" s="32">
        <v>-110.721075</v>
      </c>
      <c r="X42" s="32">
        <v>2027</v>
      </c>
      <c r="Y42" s="32">
        <v>2025</v>
      </c>
      <c r="Z42" s="32">
        <v>4</v>
      </c>
      <c r="AA42" s="32">
        <v>3</v>
      </c>
      <c r="AB42" s="32" t="s">
        <v>510</v>
      </c>
      <c r="AC42" s="32" t="s">
        <v>998</v>
      </c>
      <c r="AD42" s="32" t="s">
        <v>1163</v>
      </c>
      <c r="AE42" s="32" t="s">
        <v>1164</v>
      </c>
      <c r="AF42" s="32" t="s">
        <v>1165</v>
      </c>
      <c r="AG42" s="32" t="s">
        <v>1002</v>
      </c>
      <c r="AH42" s="32" t="s">
        <v>1003</v>
      </c>
      <c r="AI42" s="32" t="str">
        <f t="shared" si="0"/>
        <v>Topaz</v>
      </c>
      <c r="AJ42" s="32">
        <v>7337</v>
      </c>
      <c r="AK42" s="32" t="s">
        <v>1004</v>
      </c>
      <c r="AL42" s="32">
        <v>131</v>
      </c>
      <c r="AM42" s="32" t="s">
        <v>1713</v>
      </c>
      <c r="AN42" s="41">
        <f t="shared" si="1"/>
        <v>3</v>
      </c>
    </row>
    <row r="43" spans="1:40" x14ac:dyDescent="0.25">
      <c r="A43" s="32">
        <v>22525098</v>
      </c>
      <c r="B43" s="32" t="s">
        <v>990</v>
      </c>
      <c r="C43" s="32" t="s">
        <v>991</v>
      </c>
      <c r="D43" s="32" t="s">
        <v>992</v>
      </c>
      <c r="E43" s="32" t="s">
        <v>993</v>
      </c>
      <c r="F43" s="32" t="s">
        <v>993</v>
      </c>
      <c r="G43" s="40">
        <v>45926</v>
      </c>
      <c r="H43" s="40" t="s">
        <v>994</v>
      </c>
      <c r="I43" s="40">
        <v>46169</v>
      </c>
      <c r="J43" s="32" t="s">
        <v>1038</v>
      </c>
      <c r="K43" s="32">
        <v>46169</v>
      </c>
      <c r="L43" s="32">
        <v>414430</v>
      </c>
      <c r="M43" s="32">
        <v>397430</v>
      </c>
      <c r="O43" s="32" t="s">
        <v>994</v>
      </c>
      <c r="P43" s="32">
        <v>8284</v>
      </c>
      <c r="Q43" s="32" t="s">
        <v>38</v>
      </c>
      <c r="R43" s="32" t="s">
        <v>1018</v>
      </c>
      <c r="S43" s="32" t="s">
        <v>45</v>
      </c>
      <c r="T43" s="32" t="s">
        <v>997</v>
      </c>
      <c r="U43" s="32">
        <v>85747</v>
      </c>
      <c r="V43" s="32">
        <v>32.101120999999999</v>
      </c>
      <c r="W43" s="32">
        <v>-110.721076</v>
      </c>
      <c r="X43" s="32">
        <v>2027</v>
      </c>
      <c r="Y43" s="32">
        <v>2025</v>
      </c>
      <c r="Z43" s="32">
        <v>4</v>
      </c>
      <c r="AA43" s="32">
        <v>3</v>
      </c>
      <c r="AB43" s="32" t="s">
        <v>510</v>
      </c>
      <c r="AC43" s="32" t="s">
        <v>998</v>
      </c>
      <c r="AD43" s="32" t="s">
        <v>1166</v>
      </c>
      <c r="AE43" s="32" t="s">
        <v>1167</v>
      </c>
      <c r="AF43" s="32" t="s">
        <v>1168</v>
      </c>
      <c r="AG43" s="32" t="s">
        <v>1002</v>
      </c>
      <c r="AH43" s="32" t="s">
        <v>1003</v>
      </c>
      <c r="AI43" s="32" t="str">
        <f t="shared" si="0"/>
        <v>Topaz</v>
      </c>
      <c r="AJ43" s="32">
        <v>7337</v>
      </c>
      <c r="AK43" s="32" t="s">
        <v>1004</v>
      </c>
      <c r="AL43" s="36">
        <v>243</v>
      </c>
      <c r="AM43" s="30" t="s">
        <v>1714</v>
      </c>
      <c r="AN43" s="41">
        <f t="shared" si="1"/>
        <v>2</v>
      </c>
    </row>
    <row r="44" spans="1:40" x14ac:dyDescent="0.25">
      <c r="A44" s="32">
        <v>22525166</v>
      </c>
      <c r="B44" s="32" t="s">
        <v>1035</v>
      </c>
      <c r="C44" s="32" t="s">
        <v>1036</v>
      </c>
      <c r="D44" s="32" t="s">
        <v>1037</v>
      </c>
      <c r="E44" s="32" t="s">
        <v>993</v>
      </c>
      <c r="F44" s="32" t="s">
        <v>993</v>
      </c>
      <c r="G44" s="40">
        <v>45926</v>
      </c>
      <c r="H44" s="40">
        <v>46140</v>
      </c>
      <c r="I44" s="40">
        <v>46103</v>
      </c>
      <c r="J44" s="32" t="s">
        <v>37</v>
      </c>
      <c r="K44" s="32">
        <v>46142</v>
      </c>
      <c r="L44" s="32">
        <v>471380</v>
      </c>
      <c r="M44" s="32">
        <v>393900</v>
      </c>
      <c r="N44" s="32">
        <v>393900</v>
      </c>
      <c r="O44" s="32">
        <v>222.79</v>
      </c>
      <c r="P44" s="32">
        <v>14043</v>
      </c>
      <c r="Q44" s="32" t="s">
        <v>48</v>
      </c>
      <c r="R44" s="32" t="s">
        <v>1039</v>
      </c>
      <c r="S44" s="32" t="s">
        <v>1029</v>
      </c>
      <c r="T44" s="32" t="s">
        <v>997</v>
      </c>
      <c r="U44" s="32">
        <v>85641</v>
      </c>
      <c r="V44" s="32">
        <v>32.091473000000001</v>
      </c>
      <c r="W44" s="32">
        <v>-110.692673</v>
      </c>
      <c r="X44" s="32">
        <v>1768</v>
      </c>
      <c r="Y44" s="32">
        <v>2025</v>
      </c>
      <c r="Z44" s="32">
        <v>4</v>
      </c>
      <c r="AA44" s="32">
        <v>3</v>
      </c>
      <c r="AB44" s="32" t="s">
        <v>510</v>
      </c>
      <c r="AC44" s="32" t="s">
        <v>998</v>
      </c>
      <c r="AD44" s="32" t="s">
        <v>1169</v>
      </c>
      <c r="AE44" s="32" t="s">
        <v>1170</v>
      </c>
      <c r="AF44" s="32" t="s">
        <v>1171</v>
      </c>
      <c r="AG44" s="32" t="s">
        <v>1043</v>
      </c>
      <c r="AH44" s="32" t="s">
        <v>1003</v>
      </c>
      <c r="AI44" s="32" t="str">
        <f t="shared" si="0"/>
        <v/>
      </c>
      <c r="AJ44" s="32">
        <v>5227</v>
      </c>
      <c r="AK44" s="32" t="s">
        <v>1044</v>
      </c>
      <c r="AL44" s="36">
        <v>132</v>
      </c>
      <c r="AM44" s="30" t="s">
        <v>1715</v>
      </c>
      <c r="AN44" s="41">
        <f t="shared" si="1"/>
        <v>3</v>
      </c>
    </row>
    <row r="45" spans="1:40" x14ac:dyDescent="0.25">
      <c r="A45" s="32">
        <v>22525339</v>
      </c>
      <c r="B45" s="32" t="s">
        <v>990</v>
      </c>
      <c r="C45" s="32" t="s">
        <v>991</v>
      </c>
      <c r="D45" s="32" t="s">
        <v>992</v>
      </c>
      <c r="E45" s="32" t="s">
        <v>993</v>
      </c>
      <c r="F45" s="32" t="s">
        <v>993</v>
      </c>
      <c r="G45" s="40">
        <v>45929</v>
      </c>
      <c r="H45" s="40">
        <v>46155</v>
      </c>
      <c r="I45" s="40">
        <v>46129</v>
      </c>
      <c r="J45" s="32" t="s">
        <v>37</v>
      </c>
      <c r="K45" s="32">
        <v>46156</v>
      </c>
      <c r="L45" s="32">
        <v>369840</v>
      </c>
      <c r="M45" s="32">
        <v>358840</v>
      </c>
      <c r="N45" s="32">
        <v>345510</v>
      </c>
      <c r="O45" s="32">
        <v>215.67</v>
      </c>
      <c r="P45" s="32">
        <v>7264</v>
      </c>
      <c r="Q45" s="32" t="s">
        <v>38</v>
      </c>
      <c r="R45" s="32" t="s">
        <v>1172</v>
      </c>
      <c r="S45" s="32" t="s">
        <v>45</v>
      </c>
      <c r="T45" s="32" t="s">
        <v>997</v>
      </c>
      <c r="U45" s="32">
        <v>85747</v>
      </c>
      <c r="V45" s="32">
        <v>32.118257</v>
      </c>
      <c r="W45" s="32">
        <v>-110.71745199999999</v>
      </c>
      <c r="X45" s="32">
        <v>1602</v>
      </c>
      <c r="Y45" s="32">
        <v>2025</v>
      </c>
      <c r="Z45" s="32">
        <v>4</v>
      </c>
      <c r="AA45" s="32">
        <v>2</v>
      </c>
      <c r="AB45" s="32" t="s">
        <v>510</v>
      </c>
      <c r="AC45" s="32" t="s">
        <v>998</v>
      </c>
      <c r="AD45" s="32" t="s">
        <v>1173</v>
      </c>
      <c r="AE45" s="32" t="s">
        <v>1174</v>
      </c>
      <c r="AF45" s="32" t="s">
        <v>1175</v>
      </c>
      <c r="AG45" s="32" t="s">
        <v>1002</v>
      </c>
      <c r="AH45" s="32" t="s">
        <v>1003</v>
      </c>
      <c r="AI45" s="32" t="str">
        <f t="shared" si="0"/>
        <v/>
      </c>
      <c r="AJ45" s="32">
        <v>4800</v>
      </c>
      <c r="AK45" s="32" t="s">
        <v>1004</v>
      </c>
      <c r="AL45" s="32">
        <v>200</v>
      </c>
      <c r="AM45" s="32" t="s">
        <v>1716</v>
      </c>
      <c r="AN45" s="41">
        <f t="shared" si="1"/>
        <v>3</v>
      </c>
    </row>
    <row r="46" spans="1:40" x14ac:dyDescent="0.25">
      <c r="A46" s="32">
        <v>22525340</v>
      </c>
      <c r="B46" s="32" t="s">
        <v>990</v>
      </c>
      <c r="C46" s="32" t="s">
        <v>991</v>
      </c>
      <c r="D46" s="32" t="s">
        <v>992</v>
      </c>
      <c r="E46" s="32" t="s">
        <v>993</v>
      </c>
      <c r="F46" s="32" t="s">
        <v>993</v>
      </c>
      <c r="G46" s="40">
        <v>45929</v>
      </c>
      <c r="H46" s="40">
        <v>46110</v>
      </c>
      <c r="I46" s="40">
        <v>46097</v>
      </c>
      <c r="J46" s="32" t="s">
        <v>37</v>
      </c>
      <c r="K46" s="32">
        <v>46140</v>
      </c>
      <c r="L46" s="32">
        <v>376840</v>
      </c>
      <c r="M46" s="32">
        <v>375840</v>
      </c>
      <c r="N46" s="32">
        <v>375840</v>
      </c>
      <c r="O46" s="32">
        <v>234.61</v>
      </c>
      <c r="P46" s="32">
        <v>7270</v>
      </c>
      <c r="Q46" s="32" t="s">
        <v>38</v>
      </c>
      <c r="R46" s="32" t="s">
        <v>1172</v>
      </c>
      <c r="S46" s="32" t="s">
        <v>45</v>
      </c>
      <c r="T46" s="32" t="s">
        <v>997</v>
      </c>
      <c r="U46" s="32">
        <v>85747</v>
      </c>
      <c r="V46" s="32">
        <v>32.118257</v>
      </c>
      <c r="W46" s="32">
        <v>-110.71745199999999</v>
      </c>
      <c r="X46" s="32">
        <v>1602</v>
      </c>
      <c r="Y46" s="32">
        <v>2025</v>
      </c>
      <c r="Z46" s="32">
        <v>4</v>
      </c>
      <c r="AA46" s="32">
        <v>2</v>
      </c>
      <c r="AB46" s="32" t="s">
        <v>510</v>
      </c>
      <c r="AC46" s="32" t="s">
        <v>998</v>
      </c>
      <c r="AD46" s="32" t="s">
        <v>1176</v>
      </c>
      <c r="AE46" s="32" t="s">
        <v>1177</v>
      </c>
      <c r="AF46" s="32" t="s">
        <v>1178</v>
      </c>
      <c r="AG46" s="32" t="s">
        <v>1002</v>
      </c>
      <c r="AH46" s="32" t="s">
        <v>1003</v>
      </c>
      <c r="AI46" s="32" t="str">
        <f t="shared" si="0"/>
        <v/>
      </c>
      <c r="AJ46" s="32">
        <v>4800</v>
      </c>
      <c r="AK46" s="32" t="s">
        <v>1004</v>
      </c>
      <c r="AL46" s="37">
        <v>168</v>
      </c>
      <c r="AM46" s="31" t="s">
        <v>1717</v>
      </c>
      <c r="AN46" s="41">
        <f t="shared" si="1"/>
        <v>3</v>
      </c>
    </row>
    <row r="47" spans="1:40" x14ac:dyDescent="0.25">
      <c r="A47" s="32">
        <v>22525343</v>
      </c>
      <c r="B47" s="32" t="s">
        <v>990</v>
      </c>
      <c r="C47" s="32" t="s">
        <v>991</v>
      </c>
      <c r="D47" s="32" t="s">
        <v>992</v>
      </c>
      <c r="E47" s="32" t="s">
        <v>993</v>
      </c>
      <c r="F47" s="32" t="s">
        <v>993</v>
      </c>
      <c r="G47" s="40">
        <v>45929</v>
      </c>
      <c r="H47" s="40">
        <v>46155</v>
      </c>
      <c r="I47" s="40">
        <v>46126</v>
      </c>
      <c r="J47" s="32" t="s">
        <v>37</v>
      </c>
      <c r="K47" s="32">
        <v>46163</v>
      </c>
      <c r="L47" s="32">
        <v>371840</v>
      </c>
      <c r="M47" s="32">
        <v>369840</v>
      </c>
      <c r="N47" s="32">
        <v>369840</v>
      </c>
      <c r="O47" s="32">
        <v>230.86</v>
      </c>
      <c r="P47" s="32">
        <v>7286</v>
      </c>
      <c r="Q47" s="32" t="s">
        <v>38</v>
      </c>
      <c r="R47" s="32" t="s">
        <v>1172</v>
      </c>
      <c r="S47" s="32" t="s">
        <v>45</v>
      </c>
      <c r="T47" s="32" t="s">
        <v>997</v>
      </c>
      <c r="U47" s="32">
        <v>85747</v>
      </c>
      <c r="V47" s="32">
        <v>32.118257</v>
      </c>
      <c r="W47" s="32">
        <v>-110.71745199999999</v>
      </c>
      <c r="X47" s="32">
        <v>1602</v>
      </c>
      <c r="Y47" s="32">
        <v>2025</v>
      </c>
      <c r="Z47" s="32">
        <v>4</v>
      </c>
      <c r="AA47" s="32">
        <v>2</v>
      </c>
      <c r="AB47" s="32" t="s">
        <v>510</v>
      </c>
      <c r="AC47" s="32" t="s">
        <v>998</v>
      </c>
      <c r="AD47" s="32" t="s">
        <v>1179</v>
      </c>
      <c r="AE47" s="32" t="s">
        <v>1180</v>
      </c>
      <c r="AF47" s="32" t="s">
        <v>1181</v>
      </c>
      <c r="AG47" s="32" t="s">
        <v>1002</v>
      </c>
      <c r="AH47" s="32" t="s">
        <v>1003</v>
      </c>
      <c r="AI47" s="32" t="str">
        <f t="shared" si="0"/>
        <v/>
      </c>
      <c r="AJ47" s="32">
        <v>4800</v>
      </c>
      <c r="AK47" s="32" t="s">
        <v>1004</v>
      </c>
      <c r="AL47" s="36">
        <v>197</v>
      </c>
      <c r="AM47" s="30" t="s">
        <v>1718</v>
      </c>
      <c r="AN47" s="41">
        <f t="shared" si="1"/>
        <v>3</v>
      </c>
    </row>
    <row r="48" spans="1:40" x14ac:dyDescent="0.25">
      <c r="A48" s="32">
        <v>22525344</v>
      </c>
      <c r="B48" s="32" t="s">
        <v>990</v>
      </c>
      <c r="C48" s="32" t="s">
        <v>991</v>
      </c>
      <c r="D48" s="32" t="s">
        <v>992</v>
      </c>
      <c r="E48" s="32" t="s">
        <v>993</v>
      </c>
      <c r="F48" s="32" t="s">
        <v>993</v>
      </c>
      <c r="G48" s="40">
        <v>45929</v>
      </c>
      <c r="H48" s="40" t="s">
        <v>994</v>
      </c>
      <c r="I48" s="40">
        <v>46149</v>
      </c>
      <c r="J48" s="32" t="s">
        <v>1038</v>
      </c>
      <c r="K48" s="32">
        <v>46149</v>
      </c>
      <c r="L48" s="32">
        <v>360840</v>
      </c>
      <c r="M48" s="32">
        <v>358840</v>
      </c>
      <c r="O48" s="32" t="s">
        <v>994</v>
      </c>
      <c r="P48" s="32">
        <v>7292</v>
      </c>
      <c r="Q48" s="32" t="s">
        <v>38</v>
      </c>
      <c r="R48" s="32" t="s">
        <v>1172</v>
      </c>
      <c r="S48" s="32" t="s">
        <v>45</v>
      </c>
      <c r="T48" s="32" t="s">
        <v>997</v>
      </c>
      <c r="U48" s="32">
        <v>85747</v>
      </c>
      <c r="V48" s="32">
        <v>32.118257</v>
      </c>
      <c r="W48" s="32">
        <v>-110.71745199999999</v>
      </c>
      <c r="X48" s="32">
        <v>1467</v>
      </c>
      <c r="Y48" s="32">
        <v>2025</v>
      </c>
      <c r="Z48" s="32">
        <v>3</v>
      </c>
      <c r="AA48" s="32">
        <v>2</v>
      </c>
      <c r="AB48" s="32" t="s">
        <v>510</v>
      </c>
      <c r="AC48" s="32" t="s">
        <v>998</v>
      </c>
      <c r="AD48" s="32" t="s">
        <v>1182</v>
      </c>
      <c r="AE48" s="32" t="s">
        <v>1183</v>
      </c>
      <c r="AF48" s="32" t="s">
        <v>1184</v>
      </c>
      <c r="AG48" s="32" t="s">
        <v>1002</v>
      </c>
      <c r="AH48" s="32" t="s">
        <v>1003</v>
      </c>
      <c r="AI48" s="32" t="str">
        <f t="shared" si="0"/>
        <v/>
      </c>
      <c r="AJ48" s="32">
        <v>4800</v>
      </c>
      <c r="AK48" s="32" t="s">
        <v>1004</v>
      </c>
      <c r="AL48" s="32">
        <v>220</v>
      </c>
      <c r="AM48" s="32" t="s">
        <v>1719</v>
      </c>
      <c r="AN48" s="41">
        <f t="shared" si="1"/>
        <v>2</v>
      </c>
    </row>
    <row r="49" spans="1:40" x14ac:dyDescent="0.25">
      <c r="A49" s="32">
        <v>22526669</v>
      </c>
      <c r="B49" s="32" t="s">
        <v>1025</v>
      </c>
      <c r="C49" s="32" t="s">
        <v>1026</v>
      </c>
      <c r="D49" s="32" t="s">
        <v>1067</v>
      </c>
      <c r="E49" s="32" t="s">
        <v>993</v>
      </c>
      <c r="F49" s="32" t="s">
        <v>993</v>
      </c>
      <c r="G49" s="40">
        <v>45944</v>
      </c>
      <c r="H49" s="40">
        <v>46101</v>
      </c>
      <c r="I49" s="40">
        <v>46083</v>
      </c>
      <c r="J49" s="32" t="s">
        <v>37</v>
      </c>
      <c r="K49" s="32">
        <v>46101</v>
      </c>
      <c r="L49" s="32">
        <v>429940</v>
      </c>
      <c r="M49" s="32">
        <v>444940</v>
      </c>
      <c r="N49" s="32">
        <v>439940</v>
      </c>
      <c r="O49" s="32">
        <v>167.66</v>
      </c>
      <c r="P49" s="32">
        <v>13998</v>
      </c>
      <c r="Q49" s="32" t="s">
        <v>48</v>
      </c>
      <c r="R49" s="32" t="s">
        <v>1135</v>
      </c>
      <c r="S49" s="32" t="s">
        <v>1029</v>
      </c>
      <c r="T49" s="32" t="s">
        <v>997</v>
      </c>
      <c r="U49" s="32">
        <v>85641</v>
      </c>
      <c r="V49" s="32">
        <v>32.095661</v>
      </c>
      <c r="W49" s="32">
        <v>-110.694035</v>
      </c>
      <c r="X49" s="32">
        <v>2624</v>
      </c>
      <c r="Y49" s="32">
        <v>2025</v>
      </c>
      <c r="Z49" s="32">
        <v>5</v>
      </c>
      <c r="AA49" s="32">
        <v>4</v>
      </c>
      <c r="AB49" s="32" t="s">
        <v>510</v>
      </c>
      <c r="AC49" s="32" t="s">
        <v>1008</v>
      </c>
      <c r="AD49" s="32" t="s">
        <v>1185</v>
      </c>
      <c r="AE49" s="32" t="s">
        <v>1186</v>
      </c>
      <c r="AF49" s="32" t="s">
        <v>1187</v>
      </c>
      <c r="AG49" s="32" t="s">
        <v>1033</v>
      </c>
      <c r="AH49" s="32" t="s">
        <v>1003</v>
      </c>
      <c r="AI49" s="32" t="str">
        <f t="shared" si="0"/>
        <v>Poppy A</v>
      </c>
      <c r="AJ49" s="32">
        <v>5854</v>
      </c>
      <c r="AK49" s="32" t="s">
        <v>1072</v>
      </c>
      <c r="AL49" s="32">
        <v>13</v>
      </c>
      <c r="AM49" s="32" t="s">
        <v>1720</v>
      </c>
      <c r="AN49" s="41">
        <f t="shared" si="1"/>
        <v>3</v>
      </c>
    </row>
    <row r="50" spans="1:40" x14ac:dyDescent="0.25">
      <c r="A50" s="32">
        <v>22526805</v>
      </c>
      <c r="B50" s="32" t="s">
        <v>1076</v>
      </c>
      <c r="C50" s="32" t="s">
        <v>1077</v>
      </c>
      <c r="D50" s="32" t="s">
        <v>1078</v>
      </c>
      <c r="E50" s="32" t="s">
        <v>993</v>
      </c>
      <c r="F50" s="32" t="s">
        <v>993</v>
      </c>
      <c r="G50" s="40">
        <v>45945</v>
      </c>
      <c r="H50" s="40">
        <v>46079</v>
      </c>
      <c r="I50" s="40">
        <v>46053</v>
      </c>
      <c r="J50" s="32" t="s">
        <v>37</v>
      </c>
      <c r="K50" s="32">
        <v>46080</v>
      </c>
      <c r="L50" s="32">
        <v>569990</v>
      </c>
      <c r="M50" s="32">
        <v>556990</v>
      </c>
      <c r="N50" s="32">
        <v>520990</v>
      </c>
      <c r="O50" s="32">
        <v>267.58999999999997</v>
      </c>
      <c r="P50" s="32">
        <v>13531</v>
      </c>
      <c r="Q50" s="32" t="s">
        <v>48</v>
      </c>
      <c r="R50" s="32" t="s">
        <v>1188</v>
      </c>
      <c r="S50" s="32" t="s">
        <v>45</v>
      </c>
      <c r="T50" s="32" t="s">
        <v>997</v>
      </c>
      <c r="U50" s="32">
        <v>85747</v>
      </c>
      <c r="V50" s="32">
        <v>32.107171000000001</v>
      </c>
      <c r="W50" s="32">
        <v>-110.703765</v>
      </c>
      <c r="X50" s="32">
        <v>1947</v>
      </c>
      <c r="Y50" s="32">
        <v>2025</v>
      </c>
      <c r="Z50" s="32">
        <v>2</v>
      </c>
      <c r="AA50" s="32">
        <v>2</v>
      </c>
      <c r="AB50" s="32" t="s">
        <v>510</v>
      </c>
      <c r="AC50" s="32" t="s">
        <v>998</v>
      </c>
      <c r="AD50" s="32" t="s">
        <v>1189</v>
      </c>
      <c r="AE50" s="32" t="s">
        <v>1190</v>
      </c>
      <c r="AF50" s="32" t="s">
        <v>1191</v>
      </c>
      <c r="AG50" s="32" t="s">
        <v>1083</v>
      </c>
      <c r="AH50" s="32" t="s">
        <v>1003</v>
      </c>
      <c r="AI50" s="32" t="str">
        <f t="shared" si="0"/>
        <v>Haven</v>
      </c>
      <c r="AJ50" s="32">
        <v>6655</v>
      </c>
      <c r="AK50" s="32" t="s">
        <v>1084</v>
      </c>
      <c r="AL50" s="37">
        <v>86</v>
      </c>
      <c r="AM50" s="31" t="s">
        <v>1721</v>
      </c>
      <c r="AN50" s="41">
        <f t="shared" si="1"/>
        <v>3</v>
      </c>
    </row>
    <row r="51" spans="1:40" x14ac:dyDescent="0.25">
      <c r="A51" s="32">
        <v>22526881</v>
      </c>
      <c r="B51" s="32" t="s">
        <v>990</v>
      </c>
      <c r="C51" s="32" t="s">
        <v>991</v>
      </c>
      <c r="D51" s="32" t="s">
        <v>992</v>
      </c>
      <c r="E51" s="32" t="s">
        <v>993</v>
      </c>
      <c r="F51" s="32" t="s">
        <v>993</v>
      </c>
      <c r="G51" s="40">
        <v>45946</v>
      </c>
      <c r="H51" s="40">
        <v>46153</v>
      </c>
      <c r="I51" s="40">
        <v>46071</v>
      </c>
      <c r="J51" s="32" t="s">
        <v>37</v>
      </c>
      <c r="K51" s="32">
        <v>46155</v>
      </c>
      <c r="L51" s="32">
        <v>439640</v>
      </c>
      <c r="M51" s="32">
        <v>442640</v>
      </c>
      <c r="N51" s="32">
        <v>442640</v>
      </c>
      <c r="O51" s="32">
        <v>185.67</v>
      </c>
      <c r="P51" s="32">
        <v>7263</v>
      </c>
      <c r="Q51" s="32" t="s">
        <v>38</v>
      </c>
      <c r="R51" s="32" t="s">
        <v>1172</v>
      </c>
      <c r="S51" s="32" t="s">
        <v>45</v>
      </c>
      <c r="T51" s="32" t="s">
        <v>997</v>
      </c>
      <c r="U51" s="32">
        <v>85747</v>
      </c>
      <c r="V51" s="32">
        <v>32.116374</v>
      </c>
      <c r="W51" s="32">
        <v>-110.716994</v>
      </c>
      <c r="X51" s="32">
        <v>2384</v>
      </c>
      <c r="Y51" s="32">
        <v>2025</v>
      </c>
      <c r="Z51" s="32">
        <v>4</v>
      </c>
      <c r="AA51" s="32">
        <v>3</v>
      </c>
      <c r="AB51" s="32" t="s">
        <v>510</v>
      </c>
      <c r="AC51" s="32" t="s">
        <v>1008</v>
      </c>
      <c r="AD51" s="32" t="s">
        <v>1192</v>
      </c>
      <c r="AE51" s="32" t="s">
        <v>1193</v>
      </c>
      <c r="AF51" s="32" t="s">
        <v>1194</v>
      </c>
      <c r="AG51" s="32" t="s">
        <v>1002</v>
      </c>
      <c r="AH51" s="32" t="s">
        <v>1003</v>
      </c>
      <c r="AI51" s="32" t="str">
        <f t="shared" si="0"/>
        <v/>
      </c>
      <c r="AJ51" s="32">
        <v>4800</v>
      </c>
      <c r="AK51" s="32" t="s">
        <v>1004</v>
      </c>
      <c r="AL51" s="32">
        <v>125</v>
      </c>
      <c r="AM51" s="32" t="s">
        <v>1722</v>
      </c>
      <c r="AN51" s="41">
        <f t="shared" si="1"/>
        <v>3</v>
      </c>
    </row>
    <row r="52" spans="1:40" x14ac:dyDescent="0.25">
      <c r="A52" s="32">
        <v>22526883</v>
      </c>
      <c r="B52" s="32" t="s">
        <v>990</v>
      </c>
      <c r="C52" s="32" t="s">
        <v>991</v>
      </c>
      <c r="D52" s="32" t="s">
        <v>992</v>
      </c>
      <c r="E52" s="32" t="s">
        <v>993</v>
      </c>
      <c r="F52" s="32" t="s">
        <v>993</v>
      </c>
      <c r="G52" s="40">
        <v>45946</v>
      </c>
      <c r="H52" s="40">
        <v>46079</v>
      </c>
      <c r="I52" s="40">
        <v>46049</v>
      </c>
      <c r="J52" s="32" t="s">
        <v>37</v>
      </c>
      <c r="K52" s="32">
        <v>46080</v>
      </c>
      <c r="L52" s="32">
        <v>467840</v>
      </c>
      <c r="M52" s="32">
        <v>470840</v>
      </c>
      <c r="N52" s="32">
        <v>470840</v>
      </c>
      <c r="O52" s="32">
        <v>174.77</v>
      </c>
      <c r="P52" s="32">
        <v>7258</v>
      </c>
      <c r="Q52" s="32" t="s">
        <v>38</v>
      </c>
      <c r="R52" s="32" t="s">
        <v>1172</v>
      </c>
      <c r="S52" s="32" t="s">
        <v>45</v>
      </c>
      <c r="T52" s="32" t="s">
        <v>997</v>
      </c>
      <c r="U52" s="32">
        <v>85747</v>
      </c>
      <c r="V52" s="32">
        <v>32.118257</v>
      </c>
      <c r="W52" s="32">
        <v>-110.71745199999999</v>
      </c>
      <c r="X52" s="32">
        <v>2694</v>
      </c>
      <c r="Y52" s="32">
        <v>2025</v>
      </c>
      <c r="Z52" s="32">
        <v>4</v>
      </c>
      <c r="AA52" s="32">
        <v>3</v>
      </c>
      <c r="AB52" s="32" t="s">
        <v>510</v>
      </c>
      <c r="AC52" s="32" t="s">
        <v>1008</v>
      </c>
      <c r="AD52" s="32" t="s">
        <v>1195</v>
      </c>
      <c r="AE52" s="32" t="s">
        <v>1196</v>
      </c>
      <c r="AF52" s="32" t="s">
        <v>1197</v>
      </c>
      <c r="AG52" s="32" t="s">
        <v>1002</v>
      </c>
      <c r="AH52" s="32" t="s">
        <v>1003</v>
      </c>
      <c r="AI52" s="32" t="str">
        <f t="shared" si="0"/>
        <v/>
      </c>
      <c r="AJ52" s="32">
        <v>4800</v>
      </c>
      <c r="AK52" s="32" t="s">
        <v>1004</v>
      </c>
      <c r="AL52" s="37">
        <v>103</v>
      </c>
      <c r="AM52" s="31" t="s">
        <v>1723</v>
      </c>
      <c r="AN52" s="41">
        <f t="shared" si="1"/>
        <v>3</v>
      </c>
    </row>
    <row r="53" spans="1:40" x14ac:dyDescent="0.25">
      <c r="A53" s="32">
        <v>22526884</v>
      </c>
      <c r="B53" s="32" t="s">
        <v>990</v>
      </c>
      <c r="C53" s="32" t="s">
        <v>991</v>
      </c>
      <c r="D53" s="32" t="s">
        <v>992</v>
      </c>
      <c r="E53" s="32" t="s">
        <v>993</v>
      </c>
      <c r="F53" s="32" t="s">
        <v>993</v>
      </c>
      <c r="G53" s="40">
        <v>45946</v>
      </c>
      <c r="H53" s="40">
        <v>46073</v>
      </c>
      <c r="I53" s="40">
        <v>46038</v>
      </c>
      <c r="J53" s="32" t="s">
        <v>37</v>
      </c>
      <c r="K53" s="32">
        <v>46076</v>
      </c>
      <c r="L53" s="32">
        <v>469840</v>
      </c>
      <c r="M53" s="32">
        <v>470840</v>
      </c>
      <c r="N53" s="32">
        <v>470840</v>
      </c>
      <c r="O53" s="32">
        <v>174.77</v>
      </c>
      <c r="P53" s="32">
        <v>7257</v>
      </c>
      <c r="Q53" s="32" t="s">
        <v>38</v>
      </c>
      <c r="R53" s="32" t="s">
        <v>1172</v>
      </c>
      <c r="S53" s="32" t="s">
        <v>45</v>
      </c>
      <c r="T53" s="32" t="s">
        <v>997</v>
      </c>
      <c r="U53" s="32">
        <v>85747</v>
      </c>
      <c r="V53" s="32">
        <v>32.118257</v>
      </c>
      <c r="W53" s="32">
        <v>-110.71745199999999</v>
      </c>
      <c r="X53" s="32">
        <v>2694</v>
      </c>
      <c r="Y53" s="32">
        <v>2025</v>
      </c>
      <c r="Z53" s="32">
        <v>4</v>
      </c>
      <c r="AA53" s="32">
        <v>3</v>
      </c>
      <c r="AB53" s="32" t="s">
        <v>510</v>
      </c>
      <c r="AC53" s="32" t="s">
        <v>1008</v>
      </c>
      <c r="AD53" s="32" t="s">
        <v>1198</v>
      </c>
      <c r="AE53" s="32" t="s">
        <v>1199</v>
      </c>
      <c r="AF53" s="32" t="s">
        <v>1200</v>
      </c>
      <c r="AG53" s="32" t="s">
        <v>1002</v>
      </c>
      <c r="AH53" s="32" t="s">
        <v>1003</v>
      </c>
      <c r="AI53" s="32" t="str">
        <f t="shared" si="0"/>
        <v/>
      </c>
      <c r="AJ53" s="32">
        <v>4800</v>
      </c>
      <c r="AK53" s="32" t="s">
        <v>1004</v>
      </c>
      <c r="AL53" s="36">
        <v>92</v>
      </c>
      <c r="AM53" s="30" t="s">
        <v>1724</v>
      </c>
      <c r="AN53" s="41">
        <f t="shared" si="1"/>
        <v>3</v>
      </c>
    </row>
    <row r="54" spans="1:40" x14ac:dyDescent="0.25">
      <c r="A54" s="32">
        <v>22527275</v>
      </c>
      <c r="B54" s="32" t="s">
        <v>1025</v>
      </c>
      <c r="C54" s="32" t="s">
        <v>1026</v>
      </c>
      <c r="D54" s="32" t="s">
        <v>1027</v>
      </c>
      <c r="E54" s="32" t="s">
        <v>993</v>
      </c>
      <c r="F54" s="32" t="s">
        <v>993</v>
      </c>
      <c r="G54" s="40">
        <v>45950</v>
      </c>
      <c r="H54" s="40">
        <v>46112</v>
      </c>
      <c r="I54" s="40">
        <v>46096</v>
      </c>
      <c r="J54" s="32" t="s">
        <v>37</v>
      </c>
      <c r="K54" s="32">
        <v>46112</v>
      </c>
      <c r="L54" s="32">
        <v>479940</v>
      </c>
      <c r="M54" s="32">
        <v>484140</v>
      </c>
      <c r="N54" s="32">
        <v>484140</v>
      </c>
      <c r="O54" s="32">
        <v>199.65</v>
      </c>
      <c r="P54" s="32">
        <v>8237</v>
      </c>
      <c r="Q54" s="32" t="s">
        <v>38</v>
      </c>
      <c r="R54" s="32" t="s">
        <v>1028</v>
      </c>
      <c r="S54" s="32" t="s">
        <v>1029</v>
      </c>
      <c r="T54" s="32" t="s">
        <v>997</v>
      </c>
      <c r="U54" s="32">
        <v>85641</v>
      </c>
      <c r="V54" s="32">
        <v>32.101255999999999</v>
      </c>
      <c r="W54" s="32">
        <v>-110.716403</v>
      </c>
      <c r="X54" s="32">
        <v>2425</v>
      </c>
      <c r="Y54" s="32">
        <v>2025</v>
      </c>
      <c r="Z54" s="32">
        <v>5</v>
      </c>
      <c r="AA54" s="32">
        <v>3</v>
      </c>
      <c r="AB54" s="32" t="s">
        <v>510</v>
      </c>
      <c r="AC54" s="32" t="s">
        <v>1008</v>
      </c>
      <c r="AD54" s="32" t="s">
        <v>1201</v>
      </c>
      <c r="AE54" s="32" t="s">
        <v>1202</v>
      </c>
      <c r="AF54" s="32" t="s">
        <v>1203</v>
      </c>
      <c r="AG54" s="32" t="s">
        <v>1033</v>
      </c>
      <c r="AH54" s="32" t="s">
        <v>1003</v>
      </c>
      <c r="AI54" s="32" t="str">
        <f t="shared" si="0"/>
        <v>Venture C</v>
      </c>
      <c r="AJ54" s="32">
        <v>6875</v>
      </c>
      <c r="AK54" s="32" t="s">
        <v>1034</v>
      </c>
      <c r="AL54" s="32">
        <v>147</v>
      </c>
      <c r="AM54" s="32" t="s">
        <v>1725</v>
      </c>
      <c r="AN54" s="41">
        <f t="shared" si="1"/>
        <v>3</v>
      </c>
    </row>
    <row r="55" spans="1:40" x14ac:dyDescent="0.25">
      <c r="A55" s="32">
        <v>22527701</v>
      </c>
      <c r="B55" s="32" t="s">
        <v>1204</v>
      </c>
      <c r="C55" s="32" t="s">
        <v>1205</v>
      </c>
      <c r="D55" s="32" t="s">
        <v>1206</v>
      </c>
      <c r="E55" s="32" t="s">
        <v>993</v>
      </c>
      <c r="F55" s="32" t="s">
        <v>993</v>
      </c>
      <c r="G55" s="40">
        <v>45954</v>
      </c>
      <c r="H55" s="40">
        <v>45995</v>
      </c>
      <c r="I55" s="40">
        <v>45965</v>
      </c>
      <c r="J55" s="32" t="s">
        <v>37</v>
      </c>
      <c r="K55" s="32">
        <v>45999</v>
      </c>
      <c r="L55" s="32">
        <v>649000</v>
      </c>
      <c r="M55" s="32">
        <v>649000</v>
      </c>
      <c r="N55" s="32">
        <v>634000</v>
      </c>
      <c r="O55" s="32">
        <v>269.44</v>
      </c>
      <c r="P55" s="32">
        <v>61989</v>
      </c>
      <c r="Q55" s="32" t="s">
        <v>48</v>
      </c>
      <c r="R55" s="32" t="s">
        <v>560</v>
      </c>
      <c r="S55" s="32" t="s">
        <v>551</v>
      </c>
      <c r="T55" s="32" t="s">
        <v>997</v>
      </c>
      <c r="U55" s="32">
        <v>85623</v>
      </c>
      <c r="V55" s="32">
        <v>32.595953000000002</v>
      </c>
      <c r="W55" s="32">
        <v>-110.904262</v>
      </c>
      <c r="X55" s="32">
        <v>2353</v>
      </c>
      <c r="Y55" s="32">
        <v>2025</v>
      </c>
      <c r="Z55" s="32">
        <v>2</v>
      </c>
      <c r="AA55" s="32">
        <v>3</v>
      </c>
      <c r="AB55" s="32" t="s">
        <v>510</v>
      </c>
      <c r="AC55" s="32" t="s">
        <v>998</v>
      </c>
      <c r="AD55" s="32" t="s">
        <v>561</v>
      </c>
      <c r="AE55" s="32" t="s">
        <v>562</v>
      </c>
      <c r="AF55" s="32" t="s">
        <v>1207</v>
      </c>
      <c r="AG55" s="32" t="s">
        <v>1208</v>
      </c>
      <c r="AH55" s="32" t="s">
        <v>1003</v>
      </c>
      <c r="AI55" s="32" t="s">
        <v>1209</v>
      </c>
      <c r="AJ55" s="32">
        <v>9115</v>
      </c>
      <c r="AK55" s="32" t="s">
        <v>554</v>
      </c>
      <c r="AL55" s="37">
        <v>12</v>
      </c>
      <c r="AM55" s="31" t="s">
        <v>1726</v>
      </c>
      <c r="AN55" s="41">
        <f t="shared" si="1"/>
        <v>3</v>
      </c>
    </row>
    <row r="56" spans="1:40" x14ac:dyDescent="0.25">
      <c r="A56" s="32">
        <v>22527894</v>
      </c>
      <c r="B56" s="32" t="s">
        <v>1025</v>
      </c>
      <c r="C56" s="32" t="s">
        <v>1026</v>
      </c>
      <c r="D56" s="32" t="s">
        <v>1027</v>
      </c>
      <c r="E56" s="32" t="s">
        <v>993</v>
      </c>
      <c r="F56" s="32" t="s">
        <v>993</v>
      </c>
      <c r="G56" s="40">
        <v>45957</v>
      </c>
      <c r="H56" s="40">
        <v>46099</v>
      </c>
      <c r="I56" s="40">
        <v>46052</v>
      </c>
      <c r="J56" s="32" t="s">
        <v>37</v>
      </c>
      <c r="K56" s="32">
        <v>46099</v>
      </c>
      <c r="L56" s="32">
        <v>401940</v>
      </c>
      <c r="M56" s="32">
        <v>375140</v>
      </c>
      <c r="N56" s="32">
        <v>373786</v>
      </c>
      <c r="O56" s="32">
        <v>197.98</v>
      </c>
      <c r="P56" s="32">
        <v>14006</v>
      </c>
      <c r="Q56" s="32" t="s">
        <v>48</v>
      </c>
      <c r="R56" s="32" t="s">
        <v>1135</v>
      </c>
      <c r="S56" s="32" t="s">
        <v>1029</v>
      </c>
      <c r="T56" s="32" t="s">
        <v>997</v>
      </c>
      <c r="U56" s="32">
        <v>85641</v>
      </c>
      <c r="V56" s="32">
        <v>32.095711999999999</v>
      </c>
      <c r="W56" s="32">
        <v>-110.6939</v>
      </c>
      <c r="X56" s="32">
        <v>1888</v>
      </c>
      <c r="Y56" s="32">
        <v>2025</v>
      </c>
      <c r="Z56" s="32">
        <v>4</v>
      </c>
      <c r="AA56" s="32">
        <v>3</v>
      </c>
      <c r="AB56" s="32" t="s">
        <v>510</v>
      </c>
      <c r="AC56" s="32" t="s">
        <v>1008</v>
      </c>
      <c r="AD56" s="32" t="s">
        <v>1210</v>
      </c>
      <c r="AE56" s="32" t="s">
        <v>1211</v>
      </c>
      <c r="AF56" s="32" t="s">
        <v>1212</v>
      </c>
      <c r="AG56" s="32" t="s">
        <v>1033</v>
      </c>
      <c r="AH56" s="32" t="s">
        <v>1003</v>
      </c>
      <c r="AI56" s="32" t="str">
        <f t="shared" ref="AI56:AI119" si="2">IFERROR(_xlfn.TEXTBEFORE(_xlfn.TEXTAFTER(AM56,"Construction|Model Name|"),";"),"")</f>
        <v>Gwen C</v>
      </c>
      <c r="AJ56" s="32">
        <v>6033</v>
      </c>
      <c r="AK56" s="32" t="s">
        <v>1072</v>
      </c>
      <c r="AL56" s="36">
        <v>95</v>
      </c>
      <c r="AM56" s="30" t="s">
        <v>1727</v>
      </c>
      <c r="AN56" s="41">
        <f t="shared" si="1"/>
        <v>3</v>
      </c>
    </row>
    <row r="57" spans="1:40" x14ac:dyDescent="0.25">
      <c r="A57" s="32">
        <v>22528072</v>
      </c>
      <c r="B57" s="32" t="s">
        <v>1025</v>
      </c>
      <c r="C57" s="32" t="s">
        <v>1026</v>
      </c>
      <c r="D57" s="32" t="s">
        <v>1027</v>
      </c>
      <c r="E57" s="32" t="s">
        <v>993</v>
      </c>
      <c r="F57" s="32" t="s">
        <v>993</v>
      </c>
      <c r="G57" s="40">
        <v>45959</v>
      </c>
      <c r="H57" s="40">
        <v>46049</v>
      </c>
      <c r="I57" s="40">
        <v>45986</v>
      </c>
      <c r="J57" s="32" t="s">
        <v>37</v>
      </c>
      <c r="K57" s="32">
        <v>46049</v>
      </c>
      <c r="L57" s="32">
        <v>439940</v>
      </c>
      <c r="M57" s="32">
        <v>439940</v>
      </c>
      <c r="N57" s="32">
        <v>439940</v>
      </c>
      <c r="O57" s="32">
        <v>167.66</v>
      </c>
      <c r="P57" s="32">
        <v>8818</v>
      </c>
      <c r="Q57" s="32" t="s">
        <v>38</v>
      </c>
      <c r="R57" s="32" t="s">
        <v>1213</v>
      </c>
      <c r="S57" s="32" t="s">
        <v>1029</v>
      </c>
      <c r="T57" s="32" t="s">
        <v>997</v>
      </c>
      <c r="U57" s="32">
        <v>85641</v>
      </c>
      <c r="V57" s="32">
        <v>32.096738999999999</v>
      </c>
      <c r="W57" s="32">
        <v>-110.694176</v>
      </c>
      <c r="X57" s="32">
        <v>2624</v>
      </c>
      <c r="Y57" s="32">
        <v>2025</v>
      </c>
      <c r="Z57" s="32">
        <v>5</v>
      </c>
      <c r="AA57" s="32">
        <v>4</v>
      </c>
      <c r="AB57" s="32" t="s">
        <v>510</v>
      </c>
      <c r="AC57" s="32" t="s">
        <v>1008</v>
      </c>
      <c r="AD57" s="32" t="s">
        <v>1214</v>
      </c>
      <c r="AE57" s="32" t="s">
        <v>1186</v>
      </c>
      <c r="AF57" s="32" t="s">
        <v>1215</v>
      </c>
      <c r="AG57" s="32" t="s">
        <v>1033</v>
      </c>
      <c r="AH57" s="32" t="s">
        <v>1003</v>
      </c>
      <c r="AI57" s="32" t="str">
        <f t="shared" si="2"/>
        <v>Poppy C</v>
      </c>
      <c r="AJ57" s="32">
        <v>5592</v>
      </c>
      <c r="AK57" s="32" t="s">
        <v>1072</v>
      </c>
      <c r="AL57" s="36">
        <v>27</v>
      </c>
      <c r="AM57" s="30" t="s">
        <v>1728</v>
      </c>
      <c r="AN57" s="41">
        <f t="shared" si="1"/>
        <v>3</v>
      </c>
    </row>
    <row r="58" spans="1:40" x14ac:dyDescent="0.25">
      <c r="A58" s="32">
        <v>22528600</v>
      </c>
      <c r="B58" s="32" t="s">
        <v>990</v>
      </c>
      <c r="C58" s="32" t="s">
        <v>991</v>
      </c>
      <c r="D58" s="32" t="s">
        <v>992</v>
      </c>
      <c r="E58" s="32" t="s">
        <v>993</v>
      </c>
      <c r="F58" s="32" t="s">
        <v>993</v>
      </c>
      <c r="G58" s="40">
        <v>45964</v>
      </c>
      <c r="H58" s="40" t="s">
        <v>994</v>
      </c>
      <c r="I58" s="40">
        <v>46169</v>
      </c>
      <c r="J58" s="32" t="s">
        <v>1038</v>
      </c>
      <c r="K58" s="32">
        <v>46169</v>
      </c>
      <c r="L58" s="32">
        <v>446430</v>
      </c>
      <c r="M58" s="32">
        <v>426430</v>
      </c>
      <c r="O58" s="32" t="s">
        <v>994</v>
      </c>
      <c r="P58" s="32">
        <v>8252</v>
      </c>
      <c r="Q58" s="32" t="s">
        <v>38</v>
      </c>
      <c r="R58" s="32" t="s">
        <v>996</v>
      </c>
      <c r="S58" s="32" t="s">
        <v>45</v>
      </c>
      <c r="T58" s="32" t="s">
        <v>997</v>
      </c>
      <c r="U58" s="32">
        <v>85747</v>
      </c>
      <c r="V58" s="32">
        <v>32.101753000000002</v>
      </c>
      <c r="W58" s="32">
        <v>-110.720153</v>
      </c>
      <c r="X58" s="32">
        <v>2401</v>
      </c>
      <c r="Y58" s="32">
        <v>2025</v>
      </c>
      <c r="Z58" s="32">
        <v>4</v>
      </c>
      <c r="AA58" s="32">
        <v>3</v>
      </c>
      <c r="AB58" s="32" t="s">
        <v>510</v>
      </c>
      <c r="AC58" s="32" t="s">
        <v>1008</v>
      </c>
      <c r="AD58" s="32" t="s">
        <v>1216</v>
      </c>
      <c r="AE58" s="32" t="s">
        <v>1217</v>
      </c>
      <c r="AF58" s="32" t="s">
        <v>1218</v>
      </c>
      <c r="AG58" s="32" t="s">
        <v>1002</v>
      </c>
      <c r="AH58" s="32" t="s">
        <v>1003</v>
      </c>
      <c r="AI58" s="32" t="str">
        <f t="shared" si="2"/>
        <v>Sapphire</v>
      </c>
      <c r="AJ58" s="32">
        <v>7337</v>
      </c>
      <c r="AK58" s="32" t="s">
        <v>1004</v>
      </c>
      <c r="AL58" s="36">
        <v>205</v>
      </c>
      <c r="AM58" s="30" t="s">
        <v>1729</v>
      </c>
      <c r="AN58" s="41">
        <f t="shared" si="1"/>
        <v>2</v>
      </c>
    </row>
    <row r="59" spans="1:40" x14ac:dyDescent="0.25">
      <c r="A59" s="32">
        <v>22528604</v>
      </c>
      <c r="B59" s="32" t="s">
        <v>990</v>
      </c>
      <c r="C59" s="32" t="s">
        <v>991</v>
      </c>
      <c r="D59" s="32" t="s">
        <v>992</v>
      </c>
      <c r="E59" s="32" t="s">
        <v>993</v>
      </c>
      <c r="F59" s="32" t="s">
        <v>993</v>
      </c>
      <c r="G59" s="40">
        <v>45964</v>
      </c>
      <c r="H59" s="40">
        <v>46008</v>
      </c>
      <c r="I59" s="40">
        <v>45979</v>
      </c>
      <c r="J59" s="32" t="s">
        <v>37</v>
      </c>
      <c r="K59" s="32">
        <v>46009</v>
      </c>
      <c r="L59" s="32">
        <v>420520</v>
      </c>
      <c r="M59" s="32">
        <v>424520</v>
      </c>
      <c r="N59" s="32">
        <v>424520</v>
      </c>
      <c r="O59" s="32">
        <v>209.43</v>
      </c>
      <c r="P59" s="32">
        <v>8251</v>
      </c>
      <c r="Q59" s="32" t="s">
        <v>38</v>
      </c>
      <c r="R59" s="32" t="s">
        <v>996</v>
      </c>
      <c r="S59" s="32" t="s">
        <v>45</v>
      </c>
      <c r="T59" s="32" t="s">
        <v>997</v>
      </c>
      <c r="U59" s="32">
        <v>85747</v>
      </c>
      <c r="V59" s="32">
        <v>32.101796</v>
      </c>
      <c r="W59" s="32">
        <v>-110.71958100000001</v>
      </c>
      <c r="X59" s="32">
        <v>2027</v>
      </c>
      <c r="Y59" s="32">
        <v>2025</v>
      </c>
      <c r="Z59" s="32">
        <v>4</v>
      </c>
      <c r="AA59" s="32">
        <v>3</v>
      </c>
      <c r="AB59" s="32" t="s">
        <v>510</v>
      </c>
      <c r="AC59" s="32" t="s">
        <v>998</v>
      </c>
      <c r="AD59" s="32" t="s">
        <v>1219</v>
      </c>
      <c r="AE59" s="32" t="s">
        <v>1220</v>
      </c>
      <c r="AF59" s="32" t="s">
        <v>1221</v>
      </c>
      <c r="AG59" s="32" t="s">
        <v>1002</v>
      </c>
      <c r="AH59" s="32" t="s">
        <v>1003</v>
      </c>
      <c r="AI59" s="32" t="str">
        <f t="shared" si="2"/>
        <v>Topaz</v>
      </c>
      <c r="AJ59" s="32">
        <v>7337</v>
      </c>
      <c r="AK59" s="32" t="s">
        <v>1004</v>
      </c>
      <c r="AL59" s="32">
        <v>15</v>
      </c>
      <c r="AM59" s="32" t="s">
        <v>1730</v>
      </c>
      <c r="AN59" s="41">
        <f t="shared" si="1"/>
        <v>3</v>
      </c>
    </row>
    <row r="60" spans="1:40" x14ac:dyDescent="0.25">
      <c r="A60" s="32">
        <v>22528608</v>
      </c>
      <c r="B60" s="32" t="s">
        <v>1222</v>
      </c>
      <c r="C60" s="32" t="s">
        <v>1223</v>
      </c>
      <c r="D60" s="32" t="s">
        <v>1224</v>
      </c>
      <c r="E60" s="32" t="s">
        <v>993</v>
      </c>
      <c r="F60" s="32" t="s">
        <v>993</v>
      </c>
      <c r="G60" s="40">
        <v>45964</v>
      </c>
      <c r="H60" s="40">
        <v>46036</v>
      </c>
      <c r="I60" s="40">
        <v>45983</v>
      </c>
      <c r="J60" s="32" t="s">
        <v>37</v>
      </c>
      <c r="K60" s="32">
        <v>46036</v>
      </c>
      <c r="L60" s="32">
        <v>409088</v>
      </c>
      <c r="M60" s="32">
        <v>409088</v>
      </c>
      <c r="N60" s="32">
        <v>400000</v>
      </c>
      <c r="O60" s="32">
        <v>220.39</v>
      </c>
      <c r="P60" s="32">
        <v>14045</v>
      </c>
      <c r="Q60" s="32" t="s">
        <v>48</v>
      </c>
      <c r="R60" s="32" t="s">
        <v>1225</v>
      </c>
      <c r="S60" s="32" t="s">
        <v>1029</v>
      </c>
      <c r="T60" s="32" t="s">
        <v>997</v>
      </c>
      <c r="U60" s="32">
        <v>85641</v>
      </c>
      <c r="V60" s="32">
        <v>32.091240999999997</v>
      </c>
      <c r="W60" s="32">
        <v>-110.693094</v>
      </c>
      <c r="X60" s="32">
        <v>1815</v>
      </c>
      <c r="Y60" s="32">
        <v>2025</v>
      </c>
      <c r="Z60" s="32">
        <v>3</v>
      </c>
      <c r="AA60" s="32">
        <v>2</v>
      </c>
      <c r="AB60" s="32" t="s">
        <v>510</v>
      </c>
      <c r="AC60" s="32" t="s">
        <v>998</v>
      </c>
      <c r="AD60" s="32" t="s">
        <v>1226</v>
      </c>
      <c r="AE60" s="32" t="s">
        <v>1227</v>
      </c>
      <c r="AF60" s="32" t="s">
        <v>1228</v>
      </c>
      <c r="AG60" s="32" t="s">
        <v>1229</v>
      </c>
      <c r="AH60" s="32" t="s">
        <v>1056</v>
      </c>
      <c r="AI60" s="32" t="str">
        <f t="shared" si="2"/>
        <v>Copper</v>
      </c>
      <c r="AJ60" s="32">
        <v>9403</v>
      </c>
      <c r="AK60" s="32" t="s">
        <v>1044</v>
      </c>
      <c r="AL60" s="37">
        <v>21</v>
      </c>
      <c r="AM60" s="31" t="s">
        <v>1731</v>
      </c>
      <c r="AN60" s="41">
        <f t="shared" si="1"/>
        <v>3</v>
      </c>
    </row>
    <row r="61" spans="1:40" x14ac:dyDescent="0.25">
      <c r="A61" s="32">
        <v>22528616</v>
      </c>
      <c r="B61" s="32" t="s">
        <v>1222</v>
      </c>
      <c r="C61" s="32" t="s">
        <v>1223</v>
      </c>
      <c r="D61" s="32" t="s">
        <v>1224</v>
      </c>
      <c r="E61" s="32" t="s">
        <v>993</v>
      </c>
      <c r="F61" s="32" t="s">
        <v>993</v>
      </c>
      <c r="G61" s="40">
        <v>45964</v>
      </c>
      <c r="H61" s="40">
        <v>46059</v>
      </c>
      <c r="I61" s="40">
        <v>46003</v>
      </c>
      <c r="J61" s="32" t="s">
        <v>37</v>
      </c>
      <c r="K61" s="32">
        <v>46065</v>
      </c>
      <c r="L61" s="32">
        <v>389919</v>
      </c>
      <c r="M61" s="32">
        <v>392850</v>
      </c>
      <c r="N61" s="32">
        <v>387850</v>
      </c>
      <c r="O61" s="32">
        <v>213.69</v>
      </c>
      <c r="P61" s="32">
        <v>13977</v>
      </c>
      <c r="Q61" s="32" t="s">
        <v>48</v>
      </c>
      <c r="R61" s="32" t="s">
        <v>1225</v>
      </c>
      <c r="S61" s="32" t="s">
        <v>1029</v>
      </c>
      <c r="T61" s="32" t="s">
        <v>997</v>
      </c>
      <c r="U61" s="32">
        <v>85641</v>
      </c>
      <c r="V61" s="32">
        <v>32.091217999999998</v>
      </c>
      <c r="W61" s="32">
        <v>-110.694174</v>
      </c>
      <c r="X61" s="32">
        <v>1815</v>
      </c>
      <c r="Y61" s="32">
        <v>2025</v>
      </c>
      <c r="Z61" s="32">
        <v>3</v>
      </c>
      <c r="AA61" s="32">
        <v>2</v>
      </c>
      <c r="AB61" s="32" t="s">
        <v>510</v>
      </c>
      <c r="AC61" s="32" t="s">
        <v>998</v>
      </c>
      <c r="AD61" s="32" t="s">
        <v>1230</v>
      </c>
      <c r="AE61" s="32" t="s">
        <v>1231</v>
      </c>
      <c r="AF61" s="32" t="s">
        <v>1232</v>
      </c>
      <c r="AG61" s="32" t="s">
        <v>1229</v>
      </c>
      <c r="AH61" s="32" t="s">
        <v>1056</v>
      </c>
      <c r="AI61" s="32" t="str">
        <f t="shared" si="2"/>
        <v>Copper</v>
      </c>
      <c r="AJ61" s="32">
        <v>4950</v>
      </c>
      <c r="AK61" s="32" t="s">
        <v>1044</v>
      </c>
      <c r="AL61" s="32">
        <v>42</v>
      </c>
      <c r="AM61" s="32" t="s">
        <v>1732</v>
      </c>
      <c r="AN61" s="41">
        <f t="shared" si="1"/>
        <v>3</v>
      </c>
    </row>
    <row r="62" spans="1:40" x14ac:dyDescent="0.25">
      <c r="A62" s="32">
        <v>22528660</v>
      </c>
      <c r="B62" s="32" t="s">
        <v>1025</v>
      </c>
      <c r="C62" s="32" t="s">
        <v>1026</v>
      </c>
      <c r="D62" s="32" t="s">
        <v>1027</v>
      </c>
      <c r="E62" s="32" t="s">
        <v>993</v>
      </c>
      <c r="F62" s="32" t="s">
        <v>993</v>
      </c>
      <c r="G62" s="40">
        <v>45965</v>
      </c>
      <c r="H62" s="40">
        <v>46079</v>
      </c>
      <c r="I62" s="40">
        <v>46053</v>
      </c>
      <c r="J62" s="32" t="s">
        <v>37</v>
      </c>
      <c r="K62" s="32">
        <v>46079</v>
      </c>
      <c r="L62" s="32">
        <v>395940</v>
      </c>
      <c r="M62" s="32">
        <v>381940</v>
      </c>
      <c r="N62" s="32">
        <v>376940</v>
      </c>
      <c r="O62" s="32">
        <v>224.5</v>
      </c>
      <c r="P62" s="32">
        <v>14014</v>
      </c>
      <c r="Q62" s="32" t="s">
        <v>48</v>
      </c>
      <c r="R62" s="32" t="s">
        <v>1135</v>
      </c>
      <c r="S62" s="32" t="s">
        <v>1029</v>
      </c>
      <c r="T62" s="32" t="s">
        <v>997</v>
      </c>
      <c r="U62" s="32">
        <v>85641</v>
      </c>
      <c r="V62" s="32">
        <v>32.095768</v>
      </c>
      <c r="W62" s="32">
        <v>-110.693769</v>
      </c>
      <c r="X62" s="32">
        <v>1679</v>
      </c>
      <c r="Y62" s="32">
        <v>2025</v>
      </c>
      <c r="Z62" s="32">
        <v>4</v>
      </c>
      <c r="AA62" s="32">
        <v>2</v>
      </c>
      <c r="AB62" s="32" t="s">
        <v>510</v>
      </c>
      <c r="AC62" s="32" t="s">
        <v>998</v>
      </c>
      <c r="AD62" s="32" t="s">
        <v>1233</v>
      </c>
      <c r="AE62" s="32" t="s">
        <v>1234</v>
      </c>
      <c r="AF62" s="32" t="s">
        <v>1235</v>
      </c>
      <c r="AG62" s="32" t="s">
        <v>1033</v>
      </c>
      <c r="AH62" s="32" t="s">
        <v>1003</v>
      </c>
      <c r="AI62" s="32" t="str">
        <f t="shared" si="2"/>
        <v>Dolly B</v>
      </c>
      <c r="AJ62" s="32">
        <v>6497</v>
      </c>
      <c r="AK62" s="32" t="s">
        <v>1072</v>
      </c>
      <c r="AL62" s="32">
        <v>90</v>
      </c>
      <c r="AM62" s="32" t="s">
        <v>1733</v>
      </c>
      <c r="AN62" s="41">
        <f t="shared" si="1"/>
        <v>3</v>
      </c>
    </row>
    <row r="63" spans="1:40" x14ac:dyDescent="0.25">
      <c r="A63" s="32">
        <v>22528661</v>
      </c>
      <c r="B63" s="32" t="s">
        <v>1025</v>
      </c>
      <c r="C63" s="32" t="s">
        <v>1026</v>
      </c>
      <c r="D63" s="32" t="s">
        <v>1027</v>
      </c>
      <c r="E63" s="32" t="s">
        <v>993</v>
      </c>
      <c r="F63" s="32" t="s">
        <v>993</v>
      </c>
      <c r="G63" s="40">
        <v>45965</v>
      </c>
      <c r="H63" s="40">
        <v>46038</v>
      </c>
      <c r="I63" s="40">
        <v>46007</v>
      </c>
      <c r="J63" s="32" t="s">
        <v>37</v>
      </c>
      <c r="K63" s="32">
        <v>46038</v>
      </c>
      <c r="L63" s="32">
        <v>437940</v>
      </c>
      <c r="M63" s="32">
        <v>437690</v>
      </c>
      <c r="N63" s="32">
        <v>437690</v>
      </c>
      <c r="O63" s="32">
        <v>205.01</v>
      </c>
      <c r="P63" s="32">
        <v>8271</v>
      </c>
      <c r="Q63" s="32" t="s">
        <v>38</v>
      </c>
      <c r="R63" s="32" t="s">
        <v>1127</v>
      </c>
      <c r="S63" s="32" t="s">
        <v>1029</v>
      </c>
      <c r="T63" s="32" t="s">
        <v>997</v>
      </c>
      <c r="U63" s="32">
        <v>85641</v>
      </c>
      <c r="V63" s="32">
        <v>32.099755999999999</v>
      </c>
      <c r="W63" s="32">
        <v>-110.71842100000001</v>
      </c>
      <c r="X63" s="32">
        <v>2135</v>
      </c>
      <c r="Y63" s="32">
        <v>2025</v>
      </c>
      <c r="Z63" s="32">
        <v>4</v>
      </c>
      <c r="AA63" s="32">
        <v>2</v>
      </c>
      <c r="AB63" s="32" t="s">
        <v>510</v>
      </c>
      <c r="AC63" s="32" t="s">
        <v>998</v>
      </c>
      <c r="AD63" s="32" t="s">
        <v>1236</v>
      </c>
      <c r="AE63" s="32" t="s">
        <v>1129</v>
      </c>
      <c r="AF63" s="32" t="s">
        <v>1237</v>
      </c>
      <c r="AG63" s="32" t="s">
        <v>1033</v>
      </c>
      <c r="AH63" s="32" t="s">
        <v>1003</v>
      </c>
      <c r="AI63" s="32" t="str">
        <f t="shared" si="2"/>
        <v>Traverse A</v>
      </c>
      <c r="AJ63" s="32">
        <v>11414</v>
      </c>
      <c r="AK63" s="32" t="s">
        <v>1034</v>
      </c>
      <c r="AL63" s="36">
        <v>42</v>
      </c>
      <c r="AM63" s="30" t="s">
        <v>1734</v>
      </c>
      <c r="AN63" s="41">
        <f t="shared" si="1"/>
        <v>3</v>
      </c>
    </row>
    <row r="64" spans="1:40" x14ac:dyDescent="0.25">
      <c r="A64" s="32">
        <v>22529286</v>
      </c>
      <c r="B64" s="32" t="s">
        <v>1025</v>
      </c>
      <c r="C64" s="32" t="s">
        <v>1026</v>
      </c>
      <c r="D64" s="32" t="s">
        <v>1027</v>
      </c>
      <c r="E64" s="32" t="s">
        <v>993</v>
      </c>
      <c r="F64" s="32" t="s">
        <v>993</v>
      </c>
      <c r="G64" s="40">
        <v>45972</v>
      </c>
      <c r="H64" s="40">
        <v>46171</v>
      </c>
      <c r="I64" s="40">
        <v>46153</v>
      </c>
      <c r="J64" s="32" t="s">
        <v>37</v>
      </c>
      <c r="K64" s="32">
        <v>46171</v>
      </c>
      <c r="L64" s="32">
        <v>369990</v>
      </c>
      <c r="M64" s="32">
        <v>352940</v>
      </c>
      <c r="N64" s="32">
        <v>352940</v>
      </c>
      <c r="O64" s="32">
        <v>248.9</v>
      </c>
      <c r="P64" s="32">
        <v>8802</v>
      </c>
      <c r="Q64" s="32" t="s">
        <v>38</v>
      </c>
      <c r="R64" s="32" t="s">
        <v>1213</v>
      </c>
      <c r="S64" s="32" t="s">
        <v>1029</v>
      </c>
      <c r="T64" s="32" t="s">
        <v>997</v>
      </c>
      <c r="U64" s="32">
        <v>85641</v>
      </c>
      <c r="V64" s="32">
        <v>32.096615</v>
      </c>
      <c r="W64" s="32">
        <v>-110.69353099999999</v>
      </c>
      <c r="X64" s="32">
        <v>1418</v>
      </c>
      <c r="Y64" s="32">
        <v>2025</v>
      </c>
      <c r="Z64" s="32">
        <v>3</v>
      </c>
      <c r="AA64" s="32">
        <v>2</v>
      </c>
      <c r="AB64" s="32" t="s">
        <v>510</v>
      </c>
      <c r="AC64" s="32" t="s">
        <v>998</v>
      </c>
      <c r="AD64" s="32" t="s">
        <v>1238</v>
      </c>
      <c r="AE64" s="32" t="s">
        <v>1239</v>
      </c>
      <c r="AF64" s="32" t="s">
        <v>1240</v>
      </c>
      <c r="AG64" s="32" t="s">
        <v>1033</v>
      </c>
      <c r="AH64" s="32" t="s">
        <v>1003</v>
      </c>
      <c r="AI64" s="32" t="str">
        <f t="shared" si="2"/>
        <v>Daisy B</v>
      </c>
      <c r="AJ64" s="32">
        <v>4950</v>
      </c>
      <c r="AK64" s="32" t="s">
        <v>1072</v>
      </c>
      <c r="AL64" s="32">
        <v>143</v>
      </c>
      <c r="AM64" s="32" t="s">
        <v>1735</v>
      </c>
      <c r="AN64" s="41">
        <f t="shared" si="1"/>
        <v>3</v>
      </c>
    </row>
    <row r="65" spans="1:40" x14ac:dyDescent="0.25">
      <c r="A65" s="32">
        <v>22529293</v>
      </c>
      <c r="B65" s="32" t="s">
        <v>1025</v>
      </c>
      <c r="C65" s="32" t="s">
        <v>1026</v>
      </c>
      <c r="D65" s="32" t="s">
        <v>1027</v>
      </c>
      <c r="E65" s="32" t="s">
        <v>993</v>
      </c>
      <c r="F65" s="32" t="s">
        <v>993</v>
      </c>
      <c r="G65" s="40">
        <v>45972</v>
      </c>
      <c r="H65" s="40">
        <v>46077</v>
      </c>
      <c r="I65" s="40">
        <v>46025</v>
      </c>
      <c r="J65" s="32" t="s">
        <v>37</v>
      </c>
      <c r="K65" s="32">
        <v>46077</v>
      </c>
      <c r="L65" s="32">
        <v>439990</v>
      </c>
      <c r="M65" s="32">
        <v>438290</v>
      </c>
      <c r="N65" s="32">
        <v>438860</v>
      </c>
      <c r="O65" s="32">
        <v>167.25</v>
      </c>
      <c r="P65" s="32">
        <v>8810</v>
      </c>
      <c r="Q65" s="32" t="s">
        <v>38</v>
      </c>
      <c r="R65" s="32" t="s">
        <v>1213</v>
      </c>
      <c r="S65" s="32" t="s">
        <v>1029</v>
      </c>
      <c r="T65" s="32" t="s">
        <v>997</v>
      </c>
      <c r="U65" s="32">
        <v>85641</v>
      </c>
      <c r="V65" s="32">
        <v>32.096704000000003</v>
      </c>
      <c r="W65" s="32">
        <v>-110.693843</v>
      </c>
      <c r="X65" s="32">
        <v>2624</v>
      </c>
      <c r="Y65" s="32">
        <v>2025</v>
      </c>
      <c r="Z65" s="32">
        <v>5</v>
      </c>
      <c r="AA65" s="32">
        <v>4</v>
      </c>
      <c r="AB65" s="32" t="s">
        <v>510</v>
      </c>
      <c r="AC65" s="32" t="s">
        <v>1008</v>
      </c>
      <c r="AD65" s="32" t="s">
        <v>1241</v>
      </c>
      <c r="AE65" s="32" t="s">
        <v>1186</v>
      </c>
      <c r="AF65" s="32" t="s">
        <v>1242</v>
      </c>
      <c r="AG65" s="32" t="s">
        <v>1033</v>
      </c>
      <c r="AH65" s="32" t="s">
        <v>1003</v>
      </c>
      <c r="AI65" s="32" t="str">
        <f t="shared" si="2"/>
        <v>Poppy B</v>
      </c>
      <c r="AJ65" s="32">
        <v>5577</v>
      </c>
      <c r="AK65" s="32" t="s">
        <v>1072</v>
      </c>
      <c r="AL65" s="32">
        <v>55</v>
      </c>
      <c r="AM65" s="32" t="s">
        <v>1736</v>
      </c>
      <c r="AN65" s="41">
        <f t="shared" si="1"/>
        <v>3</v>
      </c>
    </row>
    <row r="66" spans="1:40" x14ac:dyDescent="0.25">
      <c r="A66" s="32">
        <v>22530019</v>
      </c>
      <c r="B66" s="32" t="s">
        <v>990</v>
      </c>
      <c r="C66" s="32" t="s">
        <v>991</v>
      </c>
      <c r="D66" s="32" t="s">
        <v>992</v>
      </c>
      <c r="E66" s="32" t="s">
        <v>993</v>
      </c>
      <c r="F66" s="32" t="s">
        <v>993</v>
      </c>
      <c r="G66" s="40">
        <v>45980</v>
      </c>
      <c r="H66" s="40">
        <v>46071</v>
      </c>
      <c r="I66" s="40">
        <v>46049</v>
      </c>
      <c r="J66" s="32" t="s">
        <v>37</v>
      </c>
      <c r="K66" s="32">
        <v>46083</v>
      </c>
      <c r="L66" s="32">
        <v>374840</v>
      </c>
      <c r="M66" s="32">
        <v>377840</v>
      </c>
      <c r="N66" s="32">
        <v>374000</v>
      </c>
      <c r="O66" s="32">
        <v>233.46</v>
      </c>
      <c r="P66" s="32">
        <v>7275</v>
      </c>
      <c r="Q66" s="32" t="s">
        <v>38</v>
      </c>
      <c r="R66" s="32" t="s">
        <v>1172</v>
      </c>
      <c r="S66" s="32" t="s">
        <v>45</v>
      </c>
      <c r="T66" s="32" t="s">
        <v>997</v>
      </c>
      <c r="U66" s="32">
        <v>85747</v>
      </c>
      <c r="V66" s="32">
        <v>32.118462000000001</v>
      </c>
      <c r="W66" s="32">
        <v>-110.715312</v>
      </c>
      <c r="X66" s="32">
        <v>1602</v>
      </c>
      <c r="Y66" s="32">
        <v>2025</v>
      </c>
      <c r="Z66" s="32">
        <v>4</v>
      </c>
      <c r="AA66" s="32">
        <v>2</v>
      </c>
      <c r="AB66" s="32" t="s">
        <v>510</v>
      </c>
      <c r="AC66" s="32" t="s">
        <v>998</v>
      </c>
      <c r="AD66" s="32" t="s">
        <v>1243</v>
      </c>
      <c r="AE66" s="32" t="s">
        <v>1244</v>
      </c>
      <c r="AF66" s="32" t="s">
        <v>1245</v>
      </c>
      <c r="AG66" s="32" t="s">
        <v>1002</v>
      </c>
      <c r="AH66" s="32" t="s">
        <v>1003</v>
      </c>
      <c r="AI66" s="32" t="str">
        <f t="shared" si="2"/>
        <v/>
      </c>
      <c r="AJ66" s="32">
        <v>4800</v>
      </c>
      <c r="AK66" s="32" t="s">
        <v>1004</v>
      </c>
      <c r="AL66" s="32">
        <v>69</v>
      </c>
      <c r="AM66" s="32" t="s">
        <v>1737</v>
      </c>
      <c r="AN66" s="41">
        <f t="shared" ref="AN66:AN129" si="3">IF(J66="A",1,IF(J66="P",2,IF(J66="C",3,"-")))</f>
        <v>3</v>
      </c>
    </row>
    <row r="67" spans="1:40" x14ac:dyDescent="0.25">
      <c r="A67" s="32">
        <v>22530370</v>
      </c>
      <c r="B67" s="32" t="s">
        <v>1048</v>
      </c>
      <c r="C67" s="32" t="s">
        <v>1049</v>
      </c>
      <c r="D67" s="32" t="s">
        <v>1050</v>
      </c>
      <c r="E67" s="32" t="s">
        <v>993</v>
      </c>
      <c r="F67" s="32" t="s">
        <v>993</v>
      </c>
      <c r="G67" s="40">
        <v>45985</v>
      </c>
      <c r="H67" s="40">
        <v>46014</v>
      </c>
      <c r="I67" s="40">
        <v>45992</v>
      </c>
      <c r="J67" s="32" t="s">
        <v>37</v>
      </c>
      <c r="K67" s="32">
        <v>46028</v>
      </c>
      <c r="L67" s="32">
        <v>579990</v>
      </c>
      <c r="M67" s="32">
        <v>564990</v>
      </c>
      <c r="N67" s="32">
        <v>564990</v>
      </c>
      <c r="O67" s="32">
        <v>194.15</v>
      </c>
      <c r="P67" s="32">
        <v>7962</v>
      </c>
      <c r="Q67" s="32" t="s">
        <v>38</v>
      </c>
      <c r="R67" s="32" t="s">
        <v>1246</v>
      </c>
      <c r="S67" s="32" t="s">
        <v>45</v>
      </c>
      <c r="T67" s="32" t="s">
        <v>997</v>
      </c>
      <c r="U67" s="32">
        <v>85747</v>
      </c>
      <c r="V67" s="32">
        <v>32.106496999999997</v>
      </c>
      <c r="W67" s="32">
        <v>-110.715571</v>
      </c>
      <c r="X67" s="32">
        <v>2910</v>
      </c>
      <c r="Y67" s="32">
        <v>2025</v>
      </c>
      <c r="Z67" s="32">
        <v>5</v>
      </c>
      <c r="AA67" s="32">
        <v>3</v>
      </c>
      <c r="AB67" s="32" t="s">
        <v>510</v>
      </c>
      <c r="AC67" s="32" t="s">
        <v>1008</v>
      </c>
      <c r="AD67" s="32" t="s">
        <v>1247</v>
      </c>
      <c r="AE67" s="32" t="s">
        <v>1248</v>
      </c>
      <c r="AF67" s="32" t="s">
        <v>1249</v>
      </c>
      <c r="AG67" s="32" t="s">
        <v>1055</v>
      </c>
      <c r="AH67" s="32" t="s">
        <v>1056</v>
      </c>
      <c r="AI67" s="32" t="str">
        <f t="shared" si="2"/>
        <v>Yorktown</v>
      </c>
      <c r="AJ67" s="32">
        <v>7728</v>
      </c>
      <c r="AK67" s="32" t="s">
        <v>1098</v>
      </c>
      <c r="AL67" s="32">
        <v>14</v>
      </c>
      <c r="AM67" s="32" t="s">
        <v>1738</v>
      </c>
      <c r="AN67" s="41">
        <f t="shared" si="3"/>
        <v>3</v>
      </c>
    </row>
    <row r="68" spans="1:40" x14ac:dyDescent="0.25">
      <c r="A68" s="32">
        <v>22531037</v>
      </c>
      <c r="B68" s="32" t="s">
        <v>990</v>
      </c>
      <c r="C68" s="32" t="s">
        <v>991</v>
      </c>
      <c r="D68" s="32" t="s">
        <v>992</v>
      </c>
      <c r="E68" s="32" t="s">
        <v>993</v>
      </c>
      <c r="F68" s="32" t="s">
        <v>993</v>
      </c>
      <c r="G68" s="40">
        <v>45995</v>
      </c>
      <c r="H68" s="40" t="s">
        <v>994</v>
      </c>
      <c r="I68" s="40">
        <v>46169</v>
      </c>
      <c r="J68" s="32" t="s">
        <v>1038</v>
      </c>
      <c r="K68" s="32">
        <v>46169</v>
      </c>
      <c r="L68" s="32">
        <v>397030</v>
      </c>
      <c r="M68" s="32">
        <v>367030</v>
      </c>
      <c r="O68" s="32" t="s">
        <v>994</v>
      </c>
      <c r="P68" s="32">
        <v>8264</v>
      </c>
      <c r="Q68" s="32" t="s">
        <v>38</v>
      </c>
      <c r="R68" s="32" t="s">
        <v>996</v>
      </c>
      <c r="S68" s="32" t="s">
        <v>45</v>
      </c>
      <c r="T68" s="32" t="s">
        <v>997</v>
      </c>
      <c r="U68" s="32">
        <v>85747</v>
      </c>
      <c r="V68" s="32">
        <v>32.101483999999999</v>
      </c>
      <c r="W68" s="32">
        <v>-110.720147</v>
      </c>
      <c r="X68" s="32">
        <v>1832</v>
      </c>
      <c r="Y68" s="32">
        <v>2025</v>
      </c>
      <c r="Z68" s="32">
        <v>4</v>
      </c>
      <c r="AA68" s="32">
        <v>2</v>
      </c>
      <c r="AB68" s="32" t="s">
        <v>510</v>
      </c>
      <c r="AC68" s="32" t="s">
        <v>998</v>
      </c>
      <c r="AD68" s="32" t="s">
        <v>1250</v>
      </c>
      <c r="AE68" s="32" t="s">
        <v>1251</v>
      </c>
      <c r="AF68" s="32" t="s">
        <v>1252</v>
      </c>
      <c r="AG68" s="32" t="s">
        <v>1002</v>
      </c>
      <c r="AH68" s="32" t="s">
        <v>1003</v>
      </c>
      <c r="AI68" s="32" t="str">
        <f t="shared" si="2"/>
        <v>Garnet</v>
      </c>
      <c r="AJ68" s="32">
        <v>7337</v>
      </c>
      <c r="AK68" s="32" t="s">
        <v>1004</v>
      </c>
      <c r="AL68" s="36">
        <v>174</v>
      </c>
      <c r="AM68" s="30" t="s">
        <v>1739</v>
      </c>
      <c r="AN68" s="41">
        <f t="shared" si="3"/>
        <v>2</v>
      </c>
    </row>
    <row r="69" spans="1:40" x14ac:dyDescent="0.25">
      <c r="A69" s="32">
        <v>22531146</v>
      </c>
      <c r="B69" s="32" t="s">
        <v>1048</v>
      </c>
      <c r="C69" s="32" t="s">
        <v>1049</v>
      </c>
      <c r="D69" s="32" t="s">
        <v>1050</v>
      </c>
      <c r="E69" s="32" t="s">
        <v>993</v>
      </c>
      <c r="F69" s="32" t="s">
        <v>993</v>
      </c>
      <c r="G69" s="40">
        <v>45996</v>
      </c>
      <c r="H69" s="40">
        <v>46141</v>
      </c>
      <c r="I69" s="40">
        <v>46095</v>
      </c>
      <c r="J69" s="32" t="s">
        <v>37</v>
      </c>
      <c r="K69" s="32">
        <v>46170</v>
      </c>
      <c r="L69" s="32">
        <v>564990</v>
      </c>
      <c r="M69" s="32">
        <v>589990</v>
      </c>
      <c r="N69" s="32">
        <v>574990</v>
      </c>
      <c r="O69" s="32">
        <v>254.42</v>
      </c>
      <c r="P69" s="32">
        <v>7916</v>
      </c>
      <c r="Q69" s="32" t="s">
        <v>38</v>
      </c>
      <c r="R69" s="32" t="s">
        <v>1051</v>
      </c>
      <c r="S69" s="32" t="s">
        <v>45</v>
      </c>
      <c r="T69" s="32" t="s">
        <v>997</v>
      </c>
      <c r="U69" s="32">
        <v>85747</v>
      </c>
      <c r="V69" s="32">
        <v>32.107565999999998</v>
      </c>
      <c r="W69" s="32">
        <v>-110.71624</v>
      </c>
      <c r="X69" s="32">
        <v>2260</v>
      </c>
      <c r="Y69" s="32">
        <v>2025</v>
      </c>
      <c r="Z69" s="32">
        <v>4</v>
      </c>
      <c r="AA69" s="32">
        <v>3</v>
      </c>
      <c r="AB69" s="32" t="s">
        <v>510</v>
      </c>
      <c r="AC69" s="32" t="s">
        <v>998</v>
      </c>
      <c r="AD69" s="32" t="s">
        <v>1253</v>
      </c>
      <c r="AE69" s="32" t="s">
        <v>1125</v>
      </c>
      <c r="AF69" s="32" t="s">
        <v>1254</v>
      </c>
      <c r="AG69" s="32" t="s">
        <v>1055</v>
      </c>
      <c r="AH69" s="32" t="s">
        <v>1056</v>
      </c>
      <c r="AI69" s="32" t="str">
        <f t="shared" si="2"/>
        <v>Townsend</v>
      </c>
      <c r="AJ69" s="32">
        <v>6875</v>
      </c>
      <c r="AK69" s="32" t="s">
        <v>1098</v>
      </c>
      <c r="AL69" s="36">
        <v>124</v>
      </c>
      <c r="AM69" s="30" t="s">
        <v>1701</v>
      </c>
      <c r="AN69" s="41">
        <f t="shared" si="3"/>
        <v>3</v>
      </c>
    </row>
    <row r="70" spans="1:40" x14ac:dyDescent="0.25">
      <c r="A70" s="32">
        <v>22531148</v>
      </c>
      <c r="B70" s="32" t="s">
        <v>1048</v>
      </c>
      <c r="C70" s="32" t="s">
        <v>1049</v>
      </c>
      <c r="D70" s="32" t="s">
        <v>1050</v>
      </c>
      <c r="E70" s="32" t="s">
        <v>993</v>
      </c>
      <c r="F70" s="32" t="s">
        <v>993</v>
      </c>
      <c r="G70" s="40">
        <v>45996</v>
      </c>
      <c r="H70" s="40">
        <v>46020</v>
      </c>
      <c r="I70" s="40">
        <v>46006</v>
      </c>
      <c r="J70" s="32" t="s">
        <v>37</v>
      </c>
      <c r="K70" s="32">
        <v>46028</v>
      </c>
      <c r="L70" s="32">
        <v>599990</v>
      </c>
      <c r="M70" s="32">
        <v>564990</v>
      </c>
      <c r="N70" s="32">
        <v>554990</v>
      </c>
      <c r="O70" s="32">
        <v>245.57</v>
      </c>
      <c r="P70" s="32">
        <v>7886</v>
      </c>
      <c r="Q70" s="32" t="s">
        <v>38</v>
      </c>
      <c r="R70" s="32" t="s">
        <v>1051</v>
      </c>
      <c r="S70" s="32" t="s">
        <v>45</v>
      </c>
      <c r="T70" s="32" t="s">
        <v>997</v>
      </c>
      <c r="U70" s="32">
        <v>85747</v>
      </c>
      <c r="V70" s="32">
        <v>32.107863999999999</v>
      </c>
      <c r="W70" s="32">
        <v>-110.71606</v>
      </c>
      <c r="X70" s="32">
        <v>2260</v>
      </c>
      <c r="Y70" s="32">
        <v>2025</v>
      </c>
      <c r="Z70" s="32">
        <v>4</v>
      </c>
      <c r="AA70" s="32">
        <v>3</v>
      </c>
      <c r="AB70" s="32" t="s">
        <v>510</v>
      </c>
      <c r="AC70" s="32" t="s">
        <v>998</v>
      </c>
      <c r="AD70" s="32" t="s">
        <v>1255</v>
      </c>
      <c r="AE70" s="32" t="s">
        <v>1256</v>
      </c>
      <c r="AF70" s="32" t="s">
        <v>1257</v>
      </c>
      <c r="AG70" s="32" t="s">
        <v>1055</v>
      </c>
      <c r="AH70" s="32" t="s">
        <v>1056</v>
      </c>
      <c r="AI70" s="32" t="str">
        <f t="shared" si="2"/>
        <v>Townsend</v>
      </c>
      <c r="AJ70" s="32">
        <v>6875</v>
      </c>
      <c r="AK70" s="32" t="s">
        <v>1098</v>
      </c>
      <c r="AL70" s="36">
        <v>32</v>
      </c>
      <c r="AM70" s="30" t="s">
        <v>1701</v>
      </c>
      <c r="AN70" s="41">
        <f t="shared" si="3"/>
        <v>3</v>
      </c>
    </row>
    <row r="71" spans="1:40" x14ac:dyDescent="0.25">
      <c r="A71" s="32">
        <v>22531162</v>
      </c>
      <c r="B71" s="32" t="s">
        <v>1035</v>
      </c>
      <c r="C71" s="32" t="s">
        <v>1036</v>
      </c>
      <c r="D71" s="32" t="s">
        <v>1037</v>
      </c>
      <c r="E71" s="32" t="s">
        <v>993</v>
      </c>
      <c r="F71" s="32" t="s">
        <v>993</v>
      </c>
      <c r="G71" s="40">
        <v>45996</v>
      </c>
      <c r="H71" s="40">
        <v>46111</v>
      </c>
      <c r="I71" s="40">
        <v>46046</v>
      </c>
      <c r="J71" s="32" t="s">
        <v>37</v>
      </c>
      <c r="K71" s="32">
        <v>46112</v>
      </c>
      <c r="L71" s="32">
        <v>449685</v>
      </c>
      <c r="M71" s="32">
        <v>412900</v>
      </c>
      <c r="N71" s="32">
        <v>408000</v>
      </c>
      <c r="O71" s="32">
        <v>224.79</v>
      </c>
      <c r="P71" s="32">
        <v>14095</v>
      </c>
      <c r="Q71" s="32" t="s">
        <v>48</v>
      </c>
      <c r="R71" s="32" t="s">
        <v>1258</v>
      </c>
      <c r="S71" s="32" t="s">
        <v>1029</v>
      </c>
      <c r="T71" s="32" t="s">
        <v>997</v>
      </c>
      <c r="U71" s="32">
        <v>85641</v>
      </c>
      <c r="V71" s="32">
        <v>32.090572999999999</v>
      </c>
      <c r="W71" s="32">
        <v>-110.69229</v>
      </c>
      <c r="X71" s="32">
        <v>1815</v>
      </c>
      <c r="Y71" s="32">
        <v>2025</v>
      </c>
      <c r="Z71" s="32">
        <v>4</v>
      </c>
      <c r="AA71" s="32">
        <v>2</v>
      </c>
      <c r="AB71" s="32" t="s">
        <v>510</v>
      </c>
      <c r="AC71" s="32" t="s">
        <v>998</v>
      </c>
      <c r="AD71" s="32" t="s">
        <v>1259</v>
      </c>
      <c r="AE71" s="32" t="s">
        <v>1065</v>
      </c>
      <c r="AF71" s="32" t="s">
        <v>1260</v>
      </c>
      <c r="AG71" s="32" t="s">
        <v>1043</v>
      </c>
      <c r="AH71" s="32" t="s">
        <v>1003</v>
      </c>
      <c r="AI71" s="32" t="str">
        <f t="shared" si="2"/>
        <v/>
      </c>
      <c r="AJ71" s="32">
        <v>8622</v>
      </c>
      <c r="AK71" s="32" t="s">
        <v>1044</v>
      </c>
      <c r="AL71" s="32">
        <v>53</v>
      </c>
      <c r="AM71" s="32" t="s">
        <v>1740</v>
      </c>
      <c r="AN71" s="41">
        <f t="shared" si="3"/>
        <v>3</v>
      </c>
    </row>
    <row r="72" spans="1:40" x14ac:dyDescent="0.25">
      <c r="A72" s="32">
        <v>22531282</v>
      </c>
      <c r="B72" s="32" t="s">
        <v>1048</v>
      </c>
      <c r="C72" s="32" t="s">
        <v>1049</v>
      </c>
      <c r="D72" s="32" t="s">
        <v>1050</v>
      </c>
      <c r="E72" s="32" t="s">
        <v>993</v>
      </c>
      <c r="F72" s="32" t="s">
        <v>993</v>
      </c>
      <c r="G72" s="40">
        <v>45999</v>
      </c>
      <c r="H72" s="40">
        <v>46050</v>
      </c>
      <c r="I72" s="40">
        <v>46005</v>
      </c>
      <c r="J72" s="32" t="s">
        <v>37</v>
      </c>
      <c r="K72" s="32">
        <v>46059</v>
      </c>
      <c r="L72" s="32">
        <v>579990</v>
      </c>
      <c r="M72" s="32">
        <v>579990</v>
      </c>
      <c r="N72" s="32">
        <v>550000</v>
      </c>
      <c r="O72" s="32">
        <v>220</v>
      </c>
      <c r="P72" s="32">
        <v>7906</v>
      </c>
      <c r="Q72" s="32" t="s">
        <v>38</v>
      </c>
      <c r="R72" s="32" t="s">
        <v>1051</v>
      </c>
      <c r="S72" s="32" t="s">
        <v>45</v>
      </c>
      <c r="T72" s="32" t="s">
        <v>997</v>
      </c>
      <c r="U72" s="32">
        <v>85747</v>
      </c>
      <c r="V72" s="32">
        <v>32.107703000000001</v>
      </c>
      <c r="W72" s="32">
        <v>-110.716138</v>
      </c>
      <c r="X72" s="32">
        <v>2500</v>
      </c>
      <c r="Y72" s="32">
        <v>2025</v>
      </c>
      <c r="Z72" s="32">
        <v>4</v>
      </c>
      <c r="AA72" s="32">
        <v>4</v>
      </c>
      <c r="AB72" s="32" t="s">
        <v>510</v>
      </c>
      <c r="AC72" s="32" t="s">
        <v>998</v>
      </c>
      <c r="AD72" s="32" t="s">
        <v>1261</v>
      </c>
      <c r="AE72" s="32" t="s">
        <v>1262</v>
      </c>
      <c r="AF72" s="32" t="s">
        <v>1263</v>
      </c>
      <c r="AG72" s="32" t="s">
        <v>1055</v>
      </c>
      <c r="AH72" s="32" t="s">
        <v>1056</v>
      </c>
      <c r="AI72" s="32" t="str">
        <f t="shared" si="2"/>
        <v>Cassandra</v>
      </c>
      <c r="AJ72" s="32">
        <v>7914</v>
      </c>
      <c r="AK72" s="32" t="s">
        <v>1098</v>
      </c>
      <c r="AL72" s="32">
        <v>31</v>
      </c>
      <c r="AM72" s="32" t="s">
        <v>1741</v>
      </c>
      <c r="AN72" s="41">
        <f t="shared" si="3"/>
        <v>3</v>
      </c>
    </row>
    <row r="73" spans="1:40" x14ac:dyDescent="0.25">
      <c r="A73" s="32">
        <v>22531284</v>
      </c>
      <c r="B73" s="32" t="s">
        <v>1025</v>
      </c>
      <c r="C73" s="32" t="s">
        <v>1026</v>
      </c>
      <c r="D73" s="32" t="s">
        <v>1027</v>
      </c>
      <c r="E73" s="32" t="s">
        <v>993</v>
      </c>
      <c r="F73" s="32" t="s">
        <v>993</v>
      </c>
      <c r="G73" s="40">
        <v>45999</v>
      </c>
      <c r="H73" s="40">
        <v>46071</v>
      </c>
      <c r="I73" s="40">
        <v>46042</v>
      </c>
      <c r="J73" s="32" t="s">
        <v>37</v>
      </c>
      <c r="K73" s="32">
        <v>46071</v>
      </c>
      <c r="L73" s="32">
        <v>438990</v>
      </c>
      <c r="M73" s="32">
        <v>439990</v>
      </c>
      <c r="N73" s="32">
        <v>439990</v>
      </c>
      <c r="O73" s="32">
        <v>206.08</v>
      </c>
      <c r="P73" s="32">
        <v>8238</v>
      </c>
      <c r="Q73" s="32" t="s">
        <v>38</v>
      </c>
      <c r="R73" s="32" t="s">
        <v>1028</v>
      </c>
      <c r="S73" s="32" t="s">
        <v>1029</v>
      </c>
      <c r="T73" s="32" t="s">
        <v>997</v>
      </c>
      <c r="U73" s="32">
        <v>85641</v>
      </c>
      <c r="V73" s="32">
        <v>32.101157000000001</v>
      </c>
      <c r="W73" s="32">
        <v>-110.71696900000001</v>
      </c>
      <c r="X73" s="32">
        <v>2135</v>
      </c>
      <c r="Y73" s="32">
        <v>2025</v>
      </c>
      <c r="Z73" s="32">
        <v>4</v>
      </c>
      <c r="AA73" s="32">
        <v>2</v>
      </c>
      <c r="AB73" s="32" t="s">
        <v>510</v>
      </c>
      <c r="AC73" s="32" t="s">
        <v>998</v>
      </c>
      <c r="AD73" s="32" t="s">
        <v>1264</v>
      </c>
      <c r="AE73" s="32" t="s">
        <v>1129</v>
      </c>
      <c r="AF73" s="32" t="s">
        <v>1265</v>
      </c>
      <c r="AG73" s="32" t="s">
        <v>1033</v>
      </c>
      <c r="AH73" s="32" t="s">
        <v>1003</v>
      </c>
      <c r="AI73" s="32" t="str">
        <f t="shared" si="2"/>
        <v>Traverse B</v>
      </c>
      <c r="AJ73" s="32">
        <v>7561</v>
      </c>
      <c r="AK73" s="32" t="s">
        <v>1034</v>
      </c>
      <c r="AL73" s="36">
        <v>43</v>
      </c>
      <c r="AM73" s="30" t="s">
        <v>1742</v>
      </c>
      <c r="AN73" s="41">
        <f t="shared" si="3"/>
        <v>3</v>
      </c>
    </row>
    <row r="74" spans="1:40" x14ac:dyDescent="0.25">
      <c r="A74" s="32">
        <v>22531286</v>
      </c>
      <c r="B74" s="32" t="s">
        <v>1025</v>
      </c>
      <c r="C74" s="32" t="s">
        <v>1026</v>
      </c>
      <c r="D74" s="32" t="s">
        <v>1027</v>
      </c>
      <c r="E74" s="32" t="s">
        <v>993</v>
      </c>
      <c r="F74" s="32" t="s">
        <v>993</v>
      </c>
      <c r="G74" s="40">
        <v>45999</v>
      </c>
      <c r="H74" s="40">
        <v>46140</v>
      </c>
      <c r="I74" s="40">
        <v>46100</v>
      </c>
      <c r="J74" s="32" t="s">
        <v>37</v>
      </c>
      <c r="K74" s="32">
        <v>46140</v>
      </c>
      <c r="L74" s="32">
        <v>510590</v>
      </c>
      <c r="M74" s="32">
        <v>479590</v>
      </c>
      <c r="N74" s="32">
        <v>479590</v>
      </c>
      <c r="O74" s="32">
        <v>174.46</v>
      </c>
      <c r="P74" s="32">
        <v>8243</v>
      </c>
      <c r="Q74" s="32" t="s">
        <v>38</v>
      </c>
      <c r="R74" s="32" t="s">
        <v>1028</v>
      </c>
      <c r="S74" s="32" t="s">
        <v>1029</v>
      </c>
      <c r="T74" s="32" t="s">
        <v>997</v>
      </c>
      <c r="U74" s="32">
        <v>85641</v>
      </c>
      <c r="V74" s="32">
        <v>32.101103999999999</v>
      </c>
      <c r="W74" s="32">
        <v>-110.716504</v>
      </c>
      <c r="X74" s="32">
        <v>2749</v>
      </c>
      <c r="Y74" s="32">
        <v>2025</v>
      </c>
      <c r="Z74" s="32">
        <v>5</v>
      </c>
      <c r="AA74" s="32">
        <v>4</v>
      </c>
      <c r="AB74" s="32" t="s">
        <v>510</v>
      </c>
      <c r="AC74" s="32" t="s">
        <v>1008</v>
      </c>
      <c r="AD74" s="32" t="s">
        <v>1266</v>
      </c>
      <c r="AE74" s="32" t="s">
        <v>1031</v>
      </c>
      <c r="AF74" s="32" t="s">
        <v>1267</v>
      </c>
      <c r="AG74" s="32" t="s">
        <v>1033</v>
      </c>
      <c r="AH74" s="32" t="s">
        <v>1003</v>
      </c>
      <c r="AI74" s="32" t="str">
        <f t="shared" si="2"/>
        <v>Wayfarer C</v>
      </c>
      <c r="AJ74" s="32">
        <v>7136</v>
      </c>
      <c r="AK74" s="32" t="s">
        <v>1034</v>
      </c>
      <c r="AL74" s="32">
        <v>101</v>
      </c>
      <c r="AM74" s="32" t="s">
        <v>1743</v>
      </c>
      <c r="AN74" s="41">
        <f t="shared" si="3"/>
        <v>3</v>
      </c>
    </row>
    <row r="75" spans="1:40" x14ac:dyDescent="0.25">
      <c r="A75" s="32">
        <v>22531288</v>
      </c>
      <c r="B75" s="32" t="s">
        <v>1048</v>
      </c>
      <c r="C75" s="32" t="s">
        <v>1049</v>
      </c>
      <c r="D75" s="32" t="s">
        <v>1050</v>
      </c>
      <c r="E75" s="32" t="s">
        <v>993</v>
      </c>
      <c r="F75" s="32" t="s">
        <v>993</v>
      </c>
      <c r="G75" s="40">
        <v>45999</v>
      </c>
      <c r="H75" s="40">
        <v>46052</v>
      </c>
      <c r="I75" s="40">
        <v>46020</v>
      </c>
      <c r="J75" s="32" t="s">
        <v>37</v>
      </c>
      <c r="K75" s="32">
        <v>46105</v>
      </c>
      <c r="L75" s="32">
        <v>599990</v>
      </c>
      <c r="M75" s="32">
        <v>599990</v>
      </c>
      <c r="N75" s="32">
        <v>575000</v>
      </c>
      <c r="O75" s="32">
        <v>197.59</v>
      </c>
      <c r="P75" s="32">
        <v>7876</v>
      </c>
      <c r="Q75" s="32" t="s">
        <v>38</v>
      </c>
      <c r="R75" s="32" t="s">
        <v>1051</v>
      </c>
      <c r="S75" s="32" t="s">
        <v>45</v>
      </c>
      <c r="T75" s="32" t="s">
        <v>997</v>
      </c>
      <c r="U75" s="32">
        <v>85747</v>
      </c>
      <c r="V75" s="32">
        <v>32.108034000000004</v>
      </c>
      <c r="W75" s="32">
        <v>-110.71601099999999</v>
      </c>
      <c r="X75" s="32">
        <v>2910</v>
      </c>
      <c r="Y75" s="32">
        <v>2025</v>
      </c>
      <c r="Z75" s="32">
        <v>5</v>
      </c>
      <c r="AA75" s="32">
        <v>3</v>
      </c>
      <c r="AB75" s="32" t="s">
        <v>510</v>
      </c>
      <c r="AC75" s="32" t="s">
        <v>1008</v>
      </c>
      <c r="AD75" s="32" t="s">
        <v>1268</v>
      </c>
      <c r="AE75" s="32" t="s">
        <v>1248</v>
      </c>
      <c r="AF75" s="32" t="s">
        <v>1269</v>
      </c>
      <c r="AG75" s="32" t="s">
        <v>1055</v>
      </c>
      <c r="AH75" s="32" t="s">
        <v>1056</v>
      </c>
      <c r="AI75" s="32" t="str">
        <f t="shared" si="2"/>
        <v>Yorktown</v>
      </c>
      <c r="AJ75" s="32">
        <v>7728</v>
      </c>
      <c r="AK75" s="32" t="s">
        <v>1098</v>
      </c>
      <c r="AL75" s="36">
        <v>31</v>
      </c>
      <c r="AM75" s="30" t="s">
        <v>1738</v>
      </c>
      <c r="AN75" s="41">
        <f t="shared" si="3"/>
        <v>3</v>
      </c>
    </row>
    <row r="76" spans="1:40" x14ac:dyDescent="0.25">
      <c r="A76" s="32">
        <v>22531321</v>
      </c>
      <c r="B76" s="32" t="s">
        <v>990</v>
      </c>
      <c r="C76" s="32" t="s">
        <v>991</v>
      </c>
      <c r="D76" s="32" t="s">
        <v>992</v>
      </c>
      <c r="E76" s="32" t="s">
        <v>993</v>
      </c>
      <c r="F76" s="32" t="s">
        <v>993</v>
      </c>
      <c r="G76" s="40">
        <v>45999</v>
      </c>
      <c r="H76" s="40">
        <v>46147</v>
      </c>
      <c r="I76" s="40">
        <v>46119</v>
      </c>
      <c r="J76" s="32" t="s">
        <v>37</v>
      </c>
      <c r="K76" s="32">
        <v>46148</v>
      </c>
      <c r="L76" s="32">
        <v>372840</v>
      </c>
      <c r="M76" s="32">
        <v>365840</v>
      </c>
      <c r="N76" s="32">
        <v>365840</v>
      </c>
      <c r="O76" s="32">
        <v>228.36</v>
      </c>
      <c r="P76" s="32">
        <v>7281</v>
      </c>
      <c r="Q76" s="32" t="s">
        <v>38</v>
      </c>
      <c r="R76" s="32" t="s">
        <v>1172</v>
      </c>
      <c r="S76" s="32" t="s">
        <v>45</v>
      </c>
      <c r="T76" s="32" t="s">
        <v>997</v>
      </c>
      <c r="U76" s="32">
        <v>85747</v>
      </c>
      <c r="V76" s="32">
        <v>32.114381000000002</v>
      </c>
      <c r="W76" s="32">
        <v>-110.717077</v>
      </c>
      <c r="X76" s="32">
        <v>1602</v>
      </c>
      <c r="Y76" s="32">
        <v>2025</v>
      </c>
      <c r="Z76" s="32">
        <v>4</v>
      </c>
      <c r="AA76" s="32">
        <v>2</v>
      </c>
      <c r="AB76" s="32" t="s">
        <v>510</v>
      </c>
      <c r="AC76" s="32" t="s">
        <v>998</v>
      </c>
      <c r="AD76" s="32" t="s">
        <v>1270</v>
      </c>
      <c r="AE76" s="32" t="s">
        <v>1271</v>
      </c>
      <c r="AF76" s="32" t="s">
        <v>1272</v>
      </c>
      <c r="AG76" s="32" t="s">
        <v>1002</v>
      </c>
      <c r="AH76" s="32" t="s">
        <v>1003</v>
      </c>
      <c r="AI76" s="32" t="str">
        <f t="shared" si="2"/>
        <v/>
      </c>
      <c r="AJ76" s="32">
        <v>4800</v>
      </c>
      <c r="AK76" s="32" t="s">
        <v>1004</v>
      </c>
      <c r="AL76" s="36">
        <v>120</v>
      </c>
      <c r="AM76" s="30" t="s">
        <v>1744</v>
      </c>
      <c r="AN76" s="41">
        <f t="shared" si="3"/>
        <v>3</v>
      </c>
    </row>
    <row r="77" spans="1:40" x14ac:dyDescent="0.25">
      <c r="A77" s="32">
        <v>22531323</v>
      </c>
      <c r="B77" s="32" t="s">
        <v>990</v>
      </c>
      <c r="C77" s="32" t="s">
        <v>991</v>
      </c>
      <c r="D77" s="32" t="s">
        <v>992</v>
      </c>
      <c r="E77" s="32" t="s">
        <v>993</v>
      </c>
      <c r="F77" s="32" t="s">
        <v>993</v>
      </c>
      <c r="G77" s="40">
        <v>45999</v>
      </c>
      <c r="H77" s="40" t="s">
        <v>994</v>
      </c>
      <c r="I77" s="40" t="s">
        <v>994</v>
      </c>
      <c r="J77" s="32" t="s">
        <v>995</v>
      </c>
      <c r="K77" s="32">
        <v>45999</v>
      </c>
      <c r="L77" s="32">
        <v>433640</v>
      </c>
      <c r="M77" s="32">
        <v>420640</v>
      </c>
      <c r="O77" s="32" t="s">
        <v>994</v>
      </c>
      <c r="P77" s="32">
        <v>7287</v>
      </c>
      <c r="Q77" s="32" t="s">
        <v>38</v>
      </c>
      <c r="R77" s="32" t="s">
        <v>1172</v>
      </c>
      <c r="S77" s="32" t="s">
        <v>45</v>
      </c>
      <c r="T77" s="32" t="s">
        <v>997</v>
      </c>
      <c r="U77" s="32">
        <v>85747</v>
      </c>
      <c r="V77" s="32">
        <v>32.118257</v>
      </c>
      <c r="W77" s="32">
        <v>-110.71745300000001</v>
      </c>
      <c r="X77" s="32">
        <v>2384</v>
      </c>
      <c r="Y77" s="32">
        <v>2025</v>
      </c>
      <c r="Z77" s="32">
        <v>4</v>
      </c>
      <c r="AA77" s="32">
        <v>2</v>
      </c>
      <c r="AB77" s="32" t="s">
        <v>510</v>
      </c>
      <c r="AC77" s="32" t="s">
        <v>1008</v>
      </c>
      <c r="AD77" s="32" t="s">
        <v>1273</v>
      </c>
      <c r="AE77" s="32" t="s">
        <v>1274</v>
      </c>
      <c r="AF77" s="32" t="s">
        <v>1275</v>
      </c>
      <c r="AG77" s="32" t="s">
        <v>1002</v>
      </c>
      <c r="AH77" s="32" t="s">
        <v>1003</v>
      </c>
      <c r="AI77" s="32" t="str">
        <f t="shared" si="2"/>
        <v/>
      </c>
      <c r="AJ77" s="32">
        <v>4800</v>
      </c>
      <c r="AK77" s="32" t="s">
        <v>1004</v>
      </c>
      <c r="AL77" s="32">
        <v>178</v>
      </c>
      <c r="AM77" s="32" t="s">
        <v>1745</v>
      </c>
      <c r="AN77" s="41">
        <f t="shared" si="3"/>
        <v>1</v>
      </c>
    </row>
    <row r="78" spans="1:40" x14ac:dyDescent="0.25">
      <c r="A78" s="32">
        <v>22531617</v>
      </c>
      <c r="B78" s="32" t="s">
        <v>990</v>
      </c>
      <c r="C78" s="32" t="s">
        <v>991</v>
      </c>
      <c r="D78" s="32" t="s">
        <v>992</v>
      </c>
      <c r="E78" s="32" t="s">
        <v>993</v>
      </c>
      <c r="F78" s="32" t="s">
        <v>993</v>
      </c>
      <c r="G78" s="40">
        <v>46003</v>
      </c>
      <c r="H78" s="40">
        <v>46097</v>
      </c>
      <c r="I78" s="40">
        <v>46043</v>
      </c>
      <c r="J78" s="32" t="s">
        <v>37</v>
      </c>
      <c r="K78" s="32">
        <v>46098</v>
      </c>
      <c r="L78" s="32">
        <v>508910</v>
      </c>
      <c r="M78" s="32">
        <v>511910</v>
      </c>
      <c r="N78" s="32">
        <v>499000</v>
      </c>
      <c r="O78" s="32">
        <v>213.43</v>
      </c>
      <c r="P78" s="32">
        <v>13221</v>
      </c>
      <c r="Q78" s="32" t="s">
        <v>48</v>
      </c>
      <c r="R78" s="32" t="s">
        <v>1276</v>
      </c>
      <c r="S78" s="32" t="s">
        <v>45</v>
      </c>
      <c r="T78" s="32" t="s">
        <v>997</v>
      </c>
      <c r="U78" s="32">
        <v>85747</v>
      </c>
      <c r="V78" s="32">
        <v>32.117516999999999</v>
      </c>
      <c r="W78" s="32">
        <v>-110.714828</v>
      </c>
      <c r="X78" s="32">
        <v>2338</v>
      </c>
      <c r="Y78" s="32">
        <v>2025</v>
      </c>
      <c r="Z78" s="32">
        <v>4</v>
      </c>
      <c r="AA78" s="32">
        <v>3</v>
      </c>
      <c r="AB78" s="32" t="s">
        <v>510</v>
      </c>
      <c r="AC78" s="32" t="s">
        <v>998</v>
      </c>
      <c r="AD78" s="32" t="s">
        <v>1277</v>
      </c>
      <c r="AE78" s="32" t="s">
        <v>1278</v>
      </c>
      <c r="AF78" s="32" t="s">
        <v>1279</v>
      </c>
      <c r="AG78" s="32" t="s">
        <v>1002</v>
      </c>
      <c r="AH78" s="32" t="s">
        <v>1003</v>
      </c>
      <c r="AI78" s="32" t="str">
        <f t="shared" si="2"/>
        <v/>
      </c>
      <c r="AJ78" s="32">
        <v>6875</v>
      </c>
      <c r="AK78" s="32" t="s">
        <v>1004</v>
      </c>
      <c r="AL78" s="32">
        <v>40</v>
      </c>
      <c r="AM78" s="32" t="s">
        <v>1746</v>
      </c>
      <c r="AN78" s="41">
        <f t="shared" si="3"/>
        <v>3</v>
      </c>
    </row>
    <row r="79" spans="1:40" x14ac:dyDescent="0.25">
      <c r="A79" s="32">
        <v>22531795</v>
      </c>
      <c r="B79" s="32" t="s">
        <v>990</v>
      </c>
      <c r="C79" s="32" t="s">
        <v>991</v>
      </c>
      <c r="D79" s="32" t="s">
        <v>992</v>
      </c>
      <c r="E79" s="32" t="s">
        <v>993</v>
      </c>
      <c r="F79" s="32" t="s">
        <v>993</v>
      </c>
      <c r="G79" s="40">
        <v>46006</v>
      </c>
      <c r="H79" s="40">
        <v>46156</v>
      </c>
      <c r="I79" s="40">
        <v>46090</v>
      </c>
      <c r="J79" s="32" t="s">
        <v>37</v>
      </c>
      <c r="K79" s="32">
        <v>46157</v>
      </c>
      <c r="L79" s="32">
        <v>508310</v>
      </c>
      <c r="M79" s="32">
        <v>512310</v>
      </c>
      <c r="N79" s="32">
        <v>499000</v>
      </c>
      <c r="O79" s="32">
        <v>213.43</v>
      </c>
      <c r="P79" s="32">
        <v>13235</v>
      </c>
      <c r="Q79" s="32" t="s">
        <v>48</v>
      </c>
      <c r="R79" s="32" t="s">
        <v>1276</v>
      </c>
      <c r="S79" s="32" t="s">
        <v>45</v>
      </c>
      <c r="T79" s="32" t="s">
        <v>997</v>
      </c>
      <c r="U79" s="32">
        <v>85747</v>
      </c>
      <c r="V79" s="32">
        <v>32.117471000000002</v>
      </c>
      <c r="W79" s="32">
        <v>-110.71422099999999</v>
      </c>
      <c r="X79" s="32">
        <v>2338</v>
      </c>
      <c r="Y79" s="32">
        <v>2026</v>
      </c>
      <c r="Z79" s="32">
        <v>4</v>
      </c>
      <c r="AA79" s="32">
        <v>3</v>
      </c>
      <c r="AB79" s="32" t="s">
        <v>510</v>
      </c>
      <c r="AC79" s="32" t="s">
        <v>998</v>
      </c>
      <c r="AD79" s="32" t="s">
        <v>1280</v>
      </c>
      <c r="AE79" s="32" t="s">
        <v>1281</v>
      </c>
      <c r="AF79" s="32" t="s">
        <v>1282</v>
      </c>
      <c r="AG79" s="32" t="s">
        <v>1002</v>
      </c>
      <c r="AH79" s="32" t="s">
        <v>1003</v>
      </c>
      <c r="AI79" s="32" t="str">
        <f t="shared" si="2"/>
        <v/>
      </c>
      <c r="AJ79" s="32">
        <v>6875</v>
      </c>
      <c r="AK79" s="32" t="s">
        <v>1004</v>
      </c>
      <c r="AL79" s="32">
        <v>84</v>
      </c>
      <c r="AM79" s="32" t="s">
        <v>1747</v>
      </c>
      <c r="AN79" s="41">
        <f t="shared" si="3"/>
        <v>3</v>
      </c>
    </row>
    <row r="80" spans="1:40" x14ac:dyDescent="0.25">
      <c r="A80" s="32">
        <v>22531868</v>
      </c>
      <c r="B80" s="32" t="s">
        <v>990</v>
      </c>
      <c r="C80" s="32" t="s">
        <v>991</v>
      </c>
      <c r="D80" s="32" t="s">
        <v>992</v>
      </c>
      <c r="E80" s="32" t="s">
        <v>993</v>
      </c>
      <c r="F80" s="32" t="s">
        <v>993</v>
      </c>
      <c r="G80" s="40">
        <v>46007</v>
      </c>
      <c r="H80" s="40">
        <v>46092</v>
      </c>
      <c r="I80" s="40">
        <v>46038</v>
      </c>
      <c r="J80" s="32" t="s">
        <v>37</v>
      </c>
      <c r="K80" s="32">
        <v>46094</v>
      </c>
      <c r="L80" s="32">
        <v>478300</v>
      </c>
      <c r="M80" s="32">
        <v>479300</v>
      </c>
      <c r="N80" s="32">
        <v>479300</v>
      </c>
      <c r="O80" s="32">
        <v>222.1</v>
      </c>
      <c r="P80" s="32">
        <v>13227</v>
      </c>
      <c r="Q80" s="32" t="s">
        <v>48</v>
      </c>
      <c r="R80" s="32" t="s">
        <v>1276</v>
      </c>
      <c r="S80" s="32" t="s">
        <v>45</v>
      </c>
      <c r="T80" s="32" t="s">
        <v>997</v>
      </c>
      <c r="U80" s="32">
        <v>85747</v>
      </c>
      <c r="V80" s="32">
        <v>32.117223000000003</v>
      </c>
      <c r="W80" s="32">
        <v>-110.714536</v>
      </c>
      <c r="X80" s="32">
        <v>2158</v>
      </c>
      <c r="Y80" s="32">
        <v>2025</v>
      </c>
      <c r="Z80" s="32">
        <v>4</v>
      </c>
      <c r="AA80" s="32">
        <v>3</v>
      </c>
      <c r="AB80" s="32" t="s">
        <v>510</v>
      </c>
      <c r="AC80" s="32" t="s">
        <v>998</v>
      </c>
      <c r="AD80" s="32" t="s">
        <v>1283</v>
      </c>
      <c r="AE80" s="32" t="s">
        <v>1284</v>
      </c>
      <c r="AF80" s="32" t="s">
        <v>1285</v>
      </c>
      <c r="AG80" s="32" t="s">
        <v>1002</v>
      </c>
      <c r="AH80" s="32" t="s">
        <v>1003</v>
      </c>
      <c r="AI80" s="32" t="str">
        <f t="shared" si="2"/>
        <v/>
      </c>
      <c r="AJ80" s="32">
        <v>7150</v>
      </c>
      <c r="AK80" s="32" t="s">
        <v>1004</v>
      </c>
      <c r="AL80" s="32">
        <v>31</v>
      </c>
      <c r="AM80" s="32" t="s">
        <v>1748</v>
      </c>
      <c r="AN80" s="41">
        <f t="shared" si="3"/>
        <v>3</v>
      </c>
    </row>
    <row r="81" spans="1:40" x14ac:dyDescent="0.25">
      <c r="A81" s="32">
        <v>22531873</v>
      </c>
      <c r="B81" s="32" t="s">
        <v>990</v>
      </c>
      <c r="C81" s="32" t="s">
        <v>991</v>
      </c>
      <c r="D81" s="32" t="s">
        <v>992</v>
      </c>
      <c r="E81" s="32" t="s">
        <v>993</v>
      </c>
      <c r="F81" s="32" t="s">
        <v>993</v>
      </c>
      <c r="G81" s="40">
        <v>46007</v>
      </c>
      <c r="H81" s="40">
        <v>46078</v>
      </c>
      <c r="I81" s="40">
        <v>46015</v>
      </c>
      <c r="J81" s="32" t="s">
        <v>37</v>
      </c>
      <c r="K81" s="32">
        <v>46079</v>
      </c>
      <c r="L81" s="32">
        <v>487290</v>
      </c>
      <c r="M81" s="32">
        <v>489290</v>
      </c>
      <c r="N81" s="32">
        <v>487290</v>
      </c>
      <c r="O81" s="32">
        <v>225.81</v>
      </c>
      <c r="P81" s="32">
        <v>13243</v>
      </c>
      <c r="Q81" s="32" t="s">
        <v>48</v>
      </c>
      <c r="R81" s="32" t="s">
        <v>1276</v>
      </c>
      <c r="S81" s="32" t="s">
        <v>45</v>
      </c>
      <c r="T81" s="32" t="s">
        <v>997</v>
      </c>
      <c r="U81" s="32">
        <v>85747</v>
      </c>
      <c r="V81" s="32">
        <v>32.117794000000004</v>
      </c>
      <c r="W81" s="32">
        <v>-110.714142</v>
      </c>
      <c r="X81" s="32">
        <v>2158</v>
      </c>
      <c r="Y81" s="32">
        <v>2026</v>
      </c>
      <c r="Z81" s="32">
        <v>4</v>
      </c>
      <c r="AA81" s="32">
        <v>3</v>
      </c>
      <c r="AB81" s="32" t="s">
        <v>510</v>
      </c>
      <c r="AC81" s="32" t="s">
        <v>998</v>
      </c>
      <c r="AD81" s="32" t="s">
        <v>1286</v>
      </c>
      <c r="AE81" s="32" t="s">
        <v>1287</v>
      </c>
      <c r="AF81" s="32" t="s">
        <v>1288</v>
      </c>
      <c r="AG81" s="32" t="s">
        <v>1002</v>
      </c>
      <c r="AH81" s="32" t="s">
        <v>1003</v>
      </c>
      <c r="AI81" s="32" t="str">
        <f t="shared" si="2"/>
        <v/>
      </c>
      <c r="AJ81" s="32">
        <v>7150</v>
      </c>
      <c r="AK81" s="32" t="s">
        <v>1004</v>
      </c>
      <c r="AL81" s="32">
        <v>8</v>
      </c>
      <c r="AM81" s="32" t="s">
        <v>1749</v>
      </c>
      <c r="AN81" s="41">
        <f t="shared" si="3"/>
        <v>3</v>
      </c>
    </row>
    <row r="82" spans="1:40" x14ac:dyDescent="0.25">
      <c r="A82" s="32">
        <v>22531969</v>
      </c>
      <c r="B82" s="32" t="s">
        <v>990</v>
      </c>
      <c r="C82" s="32" t="s">
        <v>991</v>
      </c>
      <c r="D82" s="32" t="s">
        <v>992</v>
      </c>
      <c r="E82" s="32" t="s">
        <v>993</v>
      </c>
      <c r="F82" s="32" t="s">
        <v>993</v>
      </c>
      <c r="G82" s="40">
        <v>46008</v>
      </c>
      <c r="H82" s="40">
        <v>46170</v>
      </c>
      <c r="I82" s="40">
        <v>46140</v>
      </c>
      <c r="J82" s="32" t="s">
        <v>37</v>
      </c>
      <c r="K82" s="32">
        <v>46171</v>
      </c>
      <c r="L82" s="32">
        <v>352350</v>
      </c>
      <c r="M82" s="32">
        <v>345350</v>
      </c>
      <c r="N82" s="32">
        <v>349350</v>
      </c>
      <c r="O82" s="32">
        <v>238.14</v>
      </c>
      <c r="P82" s="32">
        <v>7299</v>
      </c>
      <c r="Q82" s="32" t="s">
        <v>38</v>
      </c>
      <c r="R82" s="32" t="s">
        <v>1172</v>
      </c>
      <c r="S82" s="32" t="s">
        <v>45</v>
      </c>
      <c r="T82" s="32" t="s">
        <v>997</v>
      </c>
      <c r="U82" s="32">
        <v>85747</v>
      </c>
      <c r="V82" s="32">
        <v>32.118257</v>
      </c>
      <c r="W82" s="32">
        <v>-110.71745300000001</v>
      </c>
      <c r="X82" s="32">
        <v>1467</v>
      </c>
      <c r="Y82" s="32">
        <v>2025</v>
      </c>
      <c r="Z82" s="32">
        <v>3</v>
      </c>
      <c r="AA82" s="32">
        <v>2</v>
      </c>
      <c r="AB82" s="32" t="s">
        <v>510</v>
      </c>
      <c r="AC82" s="32" t="s">
        <v>998</v>
      </c>
      <c r="AD82" s="32" t="s">
        <v>1289</v>
      </c>
      <c r="AE82" s="32" t="s">
        <v>1290</v>
      </c>
      <c r="AF82" s="32" t="s">
        <v>1291</v>
      </c>
      <c r="AG82" s="32" t="s">
        <v>1002</v>
      </c>
      <c r="AH82" s="32" t="s">
        <v>1003</v>
      </c>
      <c r="AI82" s="32" t="str">
        <f t="shared" si="2"/>
        <v/>
      </c>
      <c r="AJ82" s="32">
        <v>4800</v>
      </c>
      <c r="AK82" s="32" t="s">
        <v>1004</v>
      </c>
      <c r="AL82" s="36">
        <v>126</v>
      </c>
      <c r="AM82" s="30" t="s">
        <v>1750</v>
      </c>
      <c r="AN82" s="41">
        <f t="shared" si="3"/>
        <v>3</v>
      </c>
    </row>
    <row r="83" spans="1:40" x14ac:dyDescent="0.25">
      <c r="A83" s="32">
        <v>22531970</v>
      </c>
      <c r="B83" s="32" t="s">
        <v>990</v>
      </c>
      <c r="C83" s="32" t="s">
        <v>991</v>
      </c>
      <c r="D83" s="32" t="s">
        <v>992</v>
      </c>
      <c r="E83" s="32" t="s">
        <v>993</v>
      </c>
      <c r="F83" s="32" t="s">
        <v>993</v>
      </c>
      <c r="G83" s="40">
        <v>46008</v>
      </c>
      <c r="H83" s="40" t="s">
        <v>994</v>
      </c>
      <c r="I83" s="40" t="s">
        <v>994</v>
      </c>
      <c r="J83" s="32" t="s">
        <v>995</v>
      </c>
      <c r="K83" s="32">
        <v>46008</v>
      </c>
      <c r="L83" s="32">
        <v>438640</v>
      </c>
      <c r="M83" s="32">
        <v>425640</v>
      </c>
      <c r="O83" s="32" t="s">
        <v>994</v>
      </c>
      <c r="P83" s="32">
        <v>7293</v>
      </c>
      <c r="Q83" s="32" t="s">
        <v>38</v>
      </c>
      <c r="R83" s="32" t="s">
        <v>1172</v>
      </c>
      <c r="S83" s="32" t="s">
        <v>45</v>
      </c>
      <c r="T83" s="32" t="s">
        <v>997</v>
      </c>
      <c r="U83" s="32">
        <v>85747</v>
      </c>
      <c r="V83" s="32">
        <v>32.118257</v>
      </c>
      <c r="W83" s="32">
        <v>-110.71745300000001</v>
      </c>
      <c r="X83" s="32">
        <v>2384</v>
      </c>
      <c r="Y83" s="32">
        <v>2025</v>
      </c>
      <c r="Z83" s="32">
        <v>4</v>
      </c>
      <c r="AA83" s="32">
        <v>2</v>
      </c>
      <c r="AB83" s="32" t="s">
        <v>510</v>
      </c>
      <c r="AC83" s="32" t="s">
        <v>1008</v>
      </c>
      <c r="AD83" s="32" t="s">
        <v>1292</v>
      </c>
      <c r="AE83" s="32" t="s">
        <v>1293</v>
      </c>
      <c r="AF83" s="32" t="s">
        <v>1294</v>
      </c>
      <c r="AG83" s="32" t="s">
        <v>1002</v>
      </c>
      <c r="AH83" s="32" t="s">
        <v>1003</v>
      </c>
      <c r="AI83" s="32" t="str">
        <f t="shared" si="2"/>
        <v/>
      </c>
      <c r="AJ83" s="32">
        <v>4800</v>
      </c>
      <c r="AK83" s="32" t="s">
        <v>1004</v>
      </c>
      <c r="AL83" s="37">
        <v>169</v>
      </c>
      <c r="AM83" s="31" t="s">
        <v>1751</v>
      </c>
      <c r="AN83" s="41">
        <f t="shared" si="3"/>
        <v>1</v>
      </c>
    </row>
    <row r="84" spans="1:40" x14ac:dyDescent="0.25">
      <c r="A84" s="32">
        <v>22532148</v>
      </c>
      <c r="B84" s="32" t="s">
        <v>1076</v>
      </c>
      <c r="C84" s="32" t="s">
        <v>1077</v>
      </c>
      <c r="D84" s="32" t="s">
        <v>1078</v>
      </c>
      <c r="E84" s="32" t="s">
        <v>993</v>
      </c>
      <c r="F84" s="32" t="s">
        <v>993</v>
      </c>
      <c r="G84" s="40">
        <v>46010</v>
      </c>
      <c r="H84" s="40">
        <v>46140</v>
      </c>
      <c r="I84" s="40">
        <v>46086</v>
      </c>
      <c r="J84" s="32" t="s">
        <v>37</v>
      </c>
      <c r="K84" s="32">
        <v>46157</v>
      </c>
      <c r="L84" s="32">
        <v>541990</v>
      </c>
      <c r="M84" s="32">
        <v>539990</v>
      </c>
      <c r="N84" s="32">
        <v>530170</v>
      </c>
      <c r="O84" s="32">
        <v>247.4</v>
      </c>
      <c r="P84" s="32">
        <v>8233</v>
      </c>
      <c r="Q84" s="32" t="s">
        <v>38</v>
      </c>
      <c r="R84" s="32" t="s">
        <v>1085</v>
      </c>
      <c r="S84" s="32" t="s">
        <v>45</v>
      </c>
      <c r="T84" s="32" t="s">
        <v>997</v>
      </c>
      <c r="U84" s="32">
        <v>85747</v>
      </c>
      <c r="V84" s="32">
        <v>32.101891000000002</v>
      </c>
      <c r="W84" s="32">
        <v>-110.70061200000001</v>
      </c>
      <c r="X84" s="32">
        <v>2143</v>
      </c>
      <c r="Y84" s="32">
        <v>2025</v>
      </c>
      <c r="Z84" s="32">
        <v>2</v>
      </c>
      <c r="AA84" s="32">
        <v>2</v>
      </c>
      <c r="AB84" s="32" t="s">
        <v>510</v>
      </c>
      <c r="AC84" s="32" t="s">
        <v>998</v>
      </c>
      <c r="AD84" s="32" t="s">
        <v>1295</v>
      </c>
      <c r="AE84" s="32" t="s">
        <v>1296</v>
      </c>
      <c r="AF84" s="32" t="s">
        <v>1297</v>
      </c>
      <c r="AG84" s="32" t="s">
        <v>1083</v>
      </c>
      <c r="AH84" s="32" t="s">
        <v>1003</v>
      </c>
      <c r="AI84" s="32" t="str">
        <f t="shared" si="2"/>
        <v>Pursuit</v>
      </c>
      <c r="AJ84" s="32">
        <v>7680</v>
      </c>
      <c r="AK84" s="32" t="s">
        <v>1084</v>
      </c>
      <c r="AL84" s="36">
        <v>77</v>
      </c>
      <c r="AM84" s="30" t="s">
        <v>1752</v>
      </c>
      <c r="AN84" s="41">
        <f t="shared" si="3"/>
        <v>3</v>
      </c>
    </row>
    <row r="85" spans="1:40" x14ac:dyDescent="0.25">
      <c r="A85" s="32">
        <v>22532246</v>
      </c>
      <c r="B85" s="32" t="s">
        <v>1035</v>
      </c>
      <c r="C85" s="32" t="s">
        <v>1036</v>
      </c>
      <c r="D85" s="32" t="s">
        <v>1037</v>
      </c>
      <c r="E85" s="32" t="s">
        <v>993</v>
      </c>
      <c r="F85" s="32" t="s">
        <v>993</v>
      </c>
      <c r="G85" s="40">
        <v>46013</v>
      </c>
      <c r="H85" s="40" t="s">
        <v>994</v>
      </c>
      <c r="I85" s="40">
        <v>46164</v>
      </c>
      <c r="J85" s="32" t="s">
        <v>1038</v>
      </c>
      <c r="K85" s="32">
        <v>46164</v>
      </c>
      <c r="L85" s="32">
        <v>431210</v>
      </c>
      <c r="M85" s="32">
        <v>368900</v>
      </c>
      <c r="O85" s="32" t="s">
        <v>994</v>
      </c>
      <c r="P85" s="32">
        <v>14115</v>
      </c>
      <c r="Q85" s="32" t="s">
        <v>48</v>
      </c>
      <c r="R85" s="32" t="s">
        <v>1039</v>
      </c>
      <c r="S85" s="32" t="s">
        <v>1029</v>
      </c>
      <c r="T85" s="32" t="s">
        <v>997</v>
      </c>
      <c r="U85" s="32">
        <v>85641</v>
      </c>
      <c r="V85" s="32">
        <v>32.090612</v>
      </c>
      <c r="W85" s="32">
        <v>-110.691496</v>
      </c>
      <c r="X85" s="32">
        <v>1401</v>
      </c>
      <c r="Y85" s="32">
        <v>2025</v>
      </c>
      <c r="Z85" s="32">
        <v>3</v>
      </c>
      <c r="AA85" s="32">
        <v>2</v>
      </c>
      <c r="AB85" s="32" t="s">
        <v>510</v>
      </c>
      <c r="AC85" s="32" t="s">
        <v>998</v>
      </c>
      <c r="AD85" s="32" t="s">
        <v>1298</v>
      </c>
      <c r="AE85" s="32" t="s">
        <v>1299</v>
      </c>
      <c r="AF85" s="32" t="s">
        <v>1300</v>
      </c>
      <c r="AG85" s="32" t="s">
        <v>1043</v>
      </c>
      <c r="AH85" s="32" t="s">
        <v>1003</v>
      </c>
      <c r="AI85" s="32" t="str">
        <f t="shared" si="2"/>
        <v/>
      </c>
      <c r="AJ85" s="32">
        <v>4950</v>
      </c>
      <c r="AK85" s="32" t="s">
        <v>1044</v>
      </c>
      <c r="AL85" s="37">
        <v>151</v>
      </c>
      <c r="AM85" s="31" t="s">
        <v>1753</v>
      </c>
      <c r="AN85" s="41">
        <f t="shared" si="3"/>
        <v>2</v>
      </c>
    </row>
    <row r="86" spans="1:40" x14ac:dyDescent="0.25">
      <c r="A86" s="32">
        <v>22532250</v>
      </c>
      <c r="B86" s="32" t="s">
        <v>1035</v>
      </c>
      <c r="C86" s="32" t="s">
        <v>1036</v>
      </c>
      <c r="D86" s="32" t="s">
        <v>1037</v>
      </c>
      <c r="E86" s="32" t="s">
        <v>993</v>
      </c>
      <c r="F86" s="32" t="s">
        <v>993</v>
      </c>
      <c r="G86" s="40">
        <v>46013</v>
      </c>
      <c r="H86" s="40" t="s">
        <v>994</v>
      </c>
      <c r="I86" s="40" t="s">
        <v>994</v>
      </c>
      <c r="J86" s="32" t="s">
        <v>995</v>
      </c>
      <c r="K86" s="32">
        <v>46013</v>
      </c>
      <c r="L86" s="32">
        <v>459815</v>
      </c>
      <c r="M86" s="32">
        <v>397900</v>
      </c>
      <c r="O86" s="32" t="s">
        <v>994</v>
      </c>
      <c r="P86" s="32">
        <v>14131</v>
      </c>
      <c r="Q86" s="32" t="s">
        <v>48</v>
      </c>
      <c r="R86" s="32" t="s">
        <v>1039</v>
      </c>
      <c r="S86" s="32" t="s">
        <v>1029</v>
      </c>
      <c r="T86" s="32" t="s">
        <v>997</v>
      </c>
      <c r="U86" s="32">
        <v>85641</v>
      </c>
      <c r="V86" s="32">
        <v>32.090592000000001</v>
      </c>
      <c r="W86" s="32">
        <v>-110.69115600000001</v>
      </c>
      <c r="X86" s="32">
        <v>1856</v>
      </c>
      <c r="Y86" s="32">
        <v>2025</v>
      </c>
      <c r="Z86" s="32">
        <v>4</v>
      </c>
      <c r="AA86" s="32">
        <v>3</v>
      </c>
      <c r="AB86" s="32" t="s">
        <v>510</v>
      </c>
      <c r="AC86" s="32" t="s">
        <v>998</v>
      </c>
      <c r="AD86" s="32" t="s">
        <v>1301</v>
      </c>
      <c r="AE86" s="32" t="s">
        <v>1302</v>
      </c>
      <c r="AF86" s="32" t="s">
        <v>1303</v>
      </c>
      <c r="AG86" s="32" t="s">
        <v>1043</v>
      </c>
      <c r="AH86" s="32" t="s">
        <v>1003</v>
      </c>
      <c r="AI86" s="32" t="str">
        <f t="shared" si="2"/>
        <v/>
      </c>
      <c r="AJ86" s="32">
        <v>5096</v>
      </c>
      <c r="AK86" s="32" t="s">
        <v>1044</v>
      </c>
      <c r="AL86" s="36">
        <v>164</v>
      </c>
      <c r="AM86" s="30" t="s">
        <v>1754</v>
      </c>
      <c r="AN86" s="41">
        <f t="shared" si="3"/>
        <v>1</v>
      </c>
    </row>
    <row r="87" spans="1:40" x14ac:dyDescent="0.25">
      <c r="A87" s="32">
        <v>22532479</v>
      </c>
      <c r="B87" s="32" t="s">
        <v>1076</v>
      </c>
      <c r="C87" s="32" t="s">
        <v>1077</v>
      </c>
      <c r="D87" s="32" t="s">
        <v>1078</v>
      </c>
      <c r="E87" s="32" t="s">
        <v>993</v>
      </c>
      <c r="F87" s="32" t="s">
        <v>993</v>
      </c>
      <c r="G87" s="40">
        <v>46020</v>
      </c>
      <c r="H87" s="40">
        <v>46168</v>
      </c>
      <c r="I87" s="40">
        <v>46114</v>
      </c>
      <c r="J87" s="32" t="s">
        <v>37</v>
      </c>
      <c r="K87" s="32">
        <v>46169</v>
      </c>
      <c r="L87" s="32">
        <v>529990</v>
      </c>
      <c r="M87" s="32">
        <v>529990</v>
      </c>
      <c r="N87" s="32">
        <v>509990</v>
      </c>
      <c r="O87" s="32">
        <v>236.87</v>
      </c>
      <c r="P87" s="32">
        <v>8397</v>
      </c>
      <c r="Q87" s="32" t="s">
        <v>38</v>
      </c>
      <c r="R87" s="32" t="s">
        <v>1304</v>
      </c>
      <c r="S87" s="32" t="s">
        <v>45</v>
      </c>
      <c r="T87" s="32" t="s">
        <v>997</v>
      </c>
      <c r="U87" s="32">
        <v>85747</v>
      </c>
      <c r="V87" s="32">
        <v>32.098612000000003</v>
      </c>
      <c r="W87" s="32">
        <v>-110.699837</v>
      </c>
      <c r="X87" s="32">
        <v>2153</v>
      </c>
      <c r="Y87" s="32">
        <v>2026</v>
      </c>
      <c r="Z87" s="32">
        <v>2</v>
      </c>
      <c r="AA87" s="32">
        <v>2</v>
      </c>
      <c r="AB87" s="32" t="s">
        <v>510</v>
      </c>
      <c r="AC87" s="32" t="s">
        <v>998</v>
      </c>
      <c r="AD87" s="32" t="s">
        <v>1305</v>
      </c>
      <c r="AE87" s="32" t="s">
        <v>1306</v>
      </c>
      <c r="AF87" s="32" t="s">
        <v>1307</v>
      </c>
      <c r="AG87" s="32" t="s">
        <v>1083</v>
      </c>
      <c r="AH87" s="32" t="s">
        <v>1003</v>
      </c>
      <c r="AI87" s="32" t="str">
        <f t="shared" si="2"/>
        <v>Pursuit</v>
      </c>
      <c r="AJ87" s="32">
        <v>11447</v>
      </c>
      <c r="AK87" s="32" t="s">
        <v>1084</v>
      </c>
      <c r="AL87" s="32">
        <v>95</v>
      </c>
      <c r="AM87" s="32" t="s">
        <v>1755</v>
      </c>
      <c r="AN87" s="41">
        <f t="shared" si="3"/>
        <v>3</v>
      </c>
    </row>
    <row r="88" spans="1:40" x14ac:dyDescent="0.25">
      <c r="A88" s="32">
        <v>22532488</v>
      </c>
      <c r="B88" s="32" t="s">
        <v>1222</v>
      </c>
      <c r="C88" s="32" t="s">
        <v>1223</v>
      </c>
      <c r="D88" s="32" t="s">
        <v>1224</v>
      </c>
      <c r="E88" s="32" t="s">
        <v>993</v>
      </c>
      <c r="F88" s="32" t="s">
        <v>993</v>
      </c>
      <c r="G88" s="40">
        <v>46020</v>
      </c>
      <c r="H88" s="40">
        <v>46073</v>
      </c>
      <c r="I88" s="40">
        <v>46022</v>
      </c>
      <c r="J88" s="32" t="s">
        <v>37</v>
      </c>
      <c r="K88" s="32">
        <v>46076</v>
      </c>
      <c r="L88" s="32">
        <v>404999</v>
      </c>
      <c r="M88" s="32">
        <v>404999</v>
      </c>
      <c r="N88" s="32">
        <v>400999</v>
      </c>
      <c r="O88" s="32">
        <v>220.94</v>
      </c>
      <c r="P88" s="32">
        <v>14011</v>
      </c>
      <c r="Q88" s="32" t="s">
        <v>48</v>
      </c>
      <c r="R88" s="32" t="s">
        <v>1225</v>
      </c>
      <c r="S88" s="32" t="s">
        <v>1029</v>
      </c>
      <c r="T88" s="32" t="s">
        <v>997</v>
      </c>
      <c r="U88" s="32">
        <v>85641</v>
      </c>
      <c r="V88" s="32">
        <v>32.091222999999999</v>
      </c>
      <c r="W88" s="32">
        <v>-110.693636</v>
      </c>
      <c r="X88" s="32">
        <v>1815</v>
      </c>
      <c r="Y88" s="32">
        <v>2025</v>
      </c>
      <c r="Z88" s="32">
        <v>3</v>
      </c>
      <c r="AA88" s="32">
        <v>2</v>
      </c>
      <c r="AB88" s="32" t="s">
        <v>510</v>
      </c>
      <c r="AC88" s="32" t="s">
        <v>998</v>
      </c>
      <c r="AD88" s="32" t="s">
        <v>1308</v>
      </c>
      <c r="AE88" s="32" t="s">
        <v>1309</v>
      </c>
      <c r="AF88" s="32" t="s">
        <v>1310</v>
      </c>
      <c r="AG88" s="32" t="s">
        <v>1229</v>
      </c>
      <c r="AH88" s="32" t="s">
        <v>1056</v>
      </c>
      <c r="AI88" s="32" t="str">
        <f t="shared" si="2"/>
        <v>Copper</v>
      </c>
      <c r="AJ88" s="32">
        <v>4950</v>
      </c>
      <c r="AK88" s="32" t="s">
        <v>1044</v>
      </c>
      <c r="AL88" s="36">
        <v>3</v>
      </c>
      <c r="AM88" s="30" t="s">
        <v>1756</v>
      </c>
      <c r="AN88" s="41">
        <f t="shared" si="3"/>
        <v>3</v>
      </c>
    </row>
    <row r="89" spans="1:40" x14ac:dyDescent="0.25">
      <c r="A89" s="32">
        <v>22532490</v>
      </c>
      <c r="B89" s="32" t="s">
        <v>1222</v>
      </c>
      <c r="C89" s="32" t="s">
        <v>1223</v>
      </c>
      <c r="D89" s="32" t="s">
        <v>1224</v>
      </c>
      <c r="E89" s="32" t="s">
        <v>993</v>
      </c>
      <c r="F89" s="32" t="s">
        <v>993</v>
      </c>
      <c r="G89" s="40">
        <v>46020</v>
      </c>
      <c r="H89" s="40">
        <v>46065</v>
      </c>
      <c r="I89" s="40">
        <v>46036</v>
      </c>
      <c r="J89" s="32" t="s">
        <v>37</v>
      </c>
      <c r="K89" s="32">
        <v>46065</v>
      </c>
      <c r="L89" s="32">
        <v>389850</v>
      </c>
      <c r="M89" s="32">
        <v>389850</v>
      </c>
      <c r="N89" s="32">
        <v>389850</v>
      </c>
      <c r="O89" s="32">
        <v>224.7</v>
      </c>
      <c r="P89" s="32">
        <v>13985</v>
      </c>
      <c r="Q89" s="32" t="s">
        <v>48</v>
      </c>
      <c r="R89" s="32" t="s">
        <v>1225</v>
      </c>
      <c r="S89" s="32" t="s">
        <v>1029</v>
      </c>
      <c r="T89" s="32" t="s">
        <v>997</v>
      </c>
      <c r="U89" s="32">
        <v>85641</v>
      </c>
      <c r="V89" s="32">
        <v>32.091225999999999</v>
      </c>
      <c r="W89" s="32">
        <v>-110.694048</v>
      </c>
      <c r="X89" s="32">
        <v>1735</v>
      </c>
      <c r="Y89" s="32">
        <v>2025</v>
      </c>
      <c r="Z89" s="32">
        <v>3</v>
      </c>
      <c r="AA89" s="32">
        <v>2</v>
      </c>
      <c r="AB89" s="32" t="s">
        <v>510</v>
      </c>
      <c r="AC89" s="32" t="s">
        <v>998</v>
      </c>
      <c r="AD89" s="32" t="s">
        <v>1311</v>
      </c>
      <c r="AE89" s="32" t="s">
        <v>1312</v>
      </c>
      <c r="AF89" s="32" t="s">
        <v>1313</v>
      </c>
      <c r="AG89" s="32" t="s">
        <v>1229</v>
      </c>
      <c r="AH89" s="32" t="s">
        <v>1056</v>
      </c>
      <c r="AI89" s="32" t="str">
        <f t="shared" si="2"/>
        <v>Brandy</v>
      </c>
      <c r="AJ89" s="32">
        <v>4950</v>
      </c>
      <c r="AK89" s="32" t="s">
        <v>1044</v>
      </c>
      <c r="AL89" s="36">
        <v>12</v>
      </c>
      <c r="AM89" s="30" t="s">
        <v>1757</v>
      </c>
      <c r="AN89" s="41">
        <f t="shared" si="3"/>
        <v>3</v>
      </c>
    </row>
    <row r="90" spans="1:40" x14ac:dyDescent="0.25">
      <c r="A90" s="32">
        <v>22532492</v>
      </c>
      <c r="B90" s="32" t="s">
        <v>1025</v>
      </c>
      <c r="C90" s="32" t="s">
        <v>1026</v>
      </c>
      <c r="D90" s="32" t="s">
        <v>1027</v>
      </c>
      <c r="E90" s="32" t="s">
        <v>993</v>
      </c>
      <c r="F90" s="32" t="s">
        <v>993</v>
      </c>
      <c r="G90" s="40">
        <v>46020</v>
      </c>
      <c r="H90" s="40" t="s">
        <v>994</v>
      </c>
      <c r="I90" s="40">
        <v>46076</v>
      </c>
      <c r="J90" s="32" t="s">
        <v>1038</v>
      </c>
      <c r="K90" s="32">
        <v>46076</v>
      </c>
      <c r="L90" s="32">
        <v>445990</v>
      </c>
      <c r="M90" s="32">
        <v>439590</v>
      </c>
      <c r="O90" s="32" t="s">
        <v>994</v>
      </c>
      <c r="P90" s="32">
        <v>8794</v>
      </c>
      <c r="Q90" s="32" t="s">
        <v>38</v>
      </c>
      <c r="R90" s="32" t="s">
        <v>1213</v>
      </c>
      <c r="S90" s="32" t="s">
        <v>1029</v>
      </c>
      <c r="T90" s="32" t="s">
        <v>997</v>
      </c>
      <c r="U90" s="32">
        <v>85641</v>
      </c>
      <c r="V90" s="32">
        <v>32.096485999999999</v>
      </c>
      <c r="W90" s="32">
        <v>-110.693281</v>
      </c>
      <c r="X90" s="32">
        <v>2624</v>
      </c>
      <c r="Y90" s="32">
        <v>2025</v>
      </c>
      <c r="Z90" s="32">
        <v>5</v>
      </c>
      <c r="AA90" s="32">
        <v>4</v>
      </c>
      <c r="AB90" s="32" t="s">
        <v>510</v>
      </c>
      <c r="AC90" s="32" t="s">
        <v>1008</v>
      </c>
      <c r="AD90" s="32" t="s">
        <v>1314</v>
      </c>
      <c r="AE90" s="32" t="s">
        <v>1186</v>
      </c>
      <c r="AF90" s="32" t="s">
        <v>1315</v>
      </c>
      <c r="AG90" s="32" t="s">
        <v>1033</v>
      </c>
      <c r="AH90" s="32" t="s">
        <v>1003</v>
      </c>
      <c r="AI90" s="32" t="str">
        <f t="shared" si="2"/>
        <v>Poppy C</v>
      </c>
      <c r="AJ90" s="32">
        <v>4950</v>
      </c>
      <c r="AK90" s="32" t="s">
        <v>1072</v>
      </c>
      <c r="AL90" s="32">
        <v>56</v>
      </c>
      <c r="AM90" s="32" t="s">
        <v>1758</v>
      </c>
      <c r="AN90" s="41">
        <f t="shared" si="3"/>
        <v>2</v>
      </c>
    </row>
    <row r="91" spans="1:40" x14ac:dyDescent="0.25">
      <c r="A91" s="32">
        <v>22532573</v>
      </c>
      <c r="B91" s="32" t="s">
        <v>1025</v>
      </c>
      <c r="C91" s="32" t="s">
        <v>1026</v>
      </c>
      <c r="D91" s="32" t="s">
        <v>1027</v>
      </c>
      <c r="E91" s="32" t="s">
        <v>993</v>
      </c>
      <c r="F91" s="32" t="s">
        <v>993</v>
      </c>
      <c r="G91" s="40">
        <v>46022</v>
      </c>
      <c r="H91" s="40">
        <v>46129</v>
      </c>
      <c r="I91" s="40">
        <v>46077</v>
      </c>
      <c r="J91" s="32" t="s">
        <v>37</v>
      </c>
      <c r="K91" s="32">
        <v>46129</v>
      </c>
      <c r="L91" s="32">
        <v>349990</v>
      </c>
      <c r="M91" s="32">
        <v>354790</v>
      </c>
      <c r="N91" s="32">
        <v>344790</v>
      </c>
      <c r="O91" s="32">
        <v>233.91</v>
      </c>
      <c r="P91" s="32">
        <v>12876</v>
      </c>
      <c r="Q91" s="32" t="s">
        <v>48</v>
      </c>
      <c r="R91" s="32" t="s">
        <v>1316</v>
      </c>
      <c r="S91" s="32" t="s">
        <v>1029</v>
      </c>
      <c r="T91" s="32" t="s">
        <v>997</v>
      </c>
      <c r="U91" s="32">
        <v>85641</v>
      </c>
      <c r="V91" s="32">
        <v>32.099764</v>
      </c>
      <c r="W91" s="32">
        <v>-110.71841999999999</v>
      </c>
      <c r="X91" s="32">
        <v>1474</v>
      </c>
      <c r="Y91" s="32">
        <v>2025</v>
      </c>
      <c r="Z91" s="32">
        <v>3</v>
      </c>
      <c r="AA91" s="32">
        <v>2</v>
      </c>
      <c r="AB91" s="32" t="s">
        <v>510</v>
      </c>
      <c r="AC91" s="32" t="s">
        <v>998</v>
      </c>
      <c r="AD91" s="32" t="s">
        <v>1317</v>
      </c>
      <c r="AE91" s="32" t="s">
        <v>1318</v>
      </c>
      <c r="AF91" s="32" t="s">
        <v>1319</v>
      </c>
      <c r="AG91" s="32" t="s">
        <v>1033</v>
      </c>
      <c r="AH91" s="32" t="s">
        <v>1003</v>
      </c>
      <c r="AI91" s="32" t="str">
        <f t="shared" si="2"/>
        <v>Newlin A</v>
      </c>
      <c r="AJ91" s="32">
        <v>7626</v>
      </c>
      <c r="AK91" s="32" t="s">
        <v>1034</v>
      </c>
      <c r="AL91" s="32">
        <v>55</v>
      </c>
      <c r="AM91" s="32" t="s">
        <v>1759</v>
      </c>
      <c r="AN91" s="41">
        <f t="shared" si="3"/>
        <v>3</v>
      </c>
    </row>
    <row r="92" spans="1:40" x14ac:dyDescent="0.25">
      <c r="A92" s="32">
        <v>22532574</v>
      </c>
      <c r="B92" s="32" t="s">
        <v>1025</v>
      </c>
      <c r="C92" s="32" t="s">
        <v>1026</v>
      </c>
      <c r="D92" s="32" t="s">
        <v>1027</v>
      </c>
      <c r="E92" s="32" t="s">
        <v>993</v>
      </c>
      <c r="F92" s="32" t="s">
        <v>993</v>
      </c>
      <c r="G92" s="40">
        <v>46022</v>
      </c>
      <c r="H92" s="40">
        <v>46139</v>
      </c>
      <c r="I92" s="40">
        <v>46080</v>
      </c>
      <c r="J92" s="32" t="s">
        <v>37</v>
      </c>
      <c r="K92" s="32">
        <v>46139</v>
      </c>
      <c r="L92" s="32">
        <v>449990</v>
      </c>
      <c r="M92" s="32">
        <v>434940</v>
      </c>
      <c r="N92" s="32">
        <v>434940</v>
      </c>
      <c r="O92" s="32">
        <v>203.72</v>
      </c>
      <c r="P92" s="32">
        <v>8220</v>
      </c>
      <c r="Q92" s="32" t="s">
        <v>38</v>
      </c>
      <c r="R92" s="32" t="s">
        <v>1028</v>
      </c>
      <c r="S92" s="32" t="s">
        <v>1029</v>
      </c>
      <c r="T92" s="32" t="s">
        <v>997</v>
      </c>
      <c r="U92" s="32">
        <v>85641</v>
      </c>
      <c r="V92" s="32">
        <v>32.099764</v>
      </c>
      <c r="W92" s="32">
        <v>-110.71841999999999</v>
      </c>
      <c r="X92" s="32">
        <v>2135</v>
      </c>
      <c r="Y92" s="32">
        <v>2025</v>
      </c>
      <c r="Z92" s="32">
        <v>4</v>
      </c>
      <c r="AA92" s="32">
        <v>2</v>
      </c>
      <c r="AB92" s="32" t="s">
        <v>510</v>
      </c>
      <c r="AC92" s="32" t="s">
        <v>998</v>
      </c>
      <c r="AD92" s="32" t="s">
        <v>1320</v>
      </c>
      <c r="AE92" s="32" t="s">
        <v>1129</v>
      </c>
      <c r="AF92" s="32" t="s">
        <v>1321</v>
      </c>
      <c r="AG92" s="32" t="s">
        <v>1033</v>
      </c>
      <c r="AH92" s="32" t="s">
        <v>1003</v>
      </c>
      <c r="AI92" s="32" t="str">
        <f t="shared" si="2"/>
        <v>Traverse A</v>
      </c>
      <c r="AJ92" s="32">
        <v>12128</v>
      </c>
      <c r="AK92" s="32" t="s">
        <v>1034</v>
      </c>
      <c r="AL92" s="36">
        <v>58</v>
      </c>
      <c r="AM92" s="30" t="s">
        <v>1760</v>
      </c>
      <c r="AN92" s="41">
        <f t="shared" si="3"/>
        <v>3</v>
      </c>
    </row>
    <row r="93" spans="1:40" x14ac:dyDescent="0.25">
      <c r="A93" s="32">
        <v>22600478</v>
      </c>
      <c r="B93" s="32" t="s">
        <v>1025</v>
      </c>
      <c r="C93" s="32" t="s">
        <v>1026</v>
      </c>
      <c r="D93" s="32" t="s">
        <v>1027</v>
      </c>
      <c r="E93" s="32" t="s">
        <v>993</v>
      </c>
      <c r="F93" s="32" t="s">
        <v>993</v>
      </c>
      <c r="G93" s="40">
        <v>46029</v>
      </c>
      <c r="H93" s="40">
        <v>46056</v>
      </c>
      <c r="I93" s="40">
        <v>46035</v>
      </c>
      <c r="J93" s="32" t="s">
        <v>37</v>
      </c>
      <c r="K93" s="32">
        <v>46056</v>
      </c>
      <c r="L93" s="32">
        <v>388990</v>
      </c>
      <c r="M93" s="32">
        <v>388990</v>
      </c>
      <c r="N93" s="32">
        <v>388990</v>
      </c>
      <c r="O93" s="32">
        <v>231.68</v>
      </c>
      <c r="P93" s="32">
        <v>8806</v>
      </c>
      <c r="Q93" s="32" t="s">
        <v>38</v>
      </c>
      <c r="R93" s="32" t="s">
        <v>1213</v>
      </c>
      <c r="S93" s="32" t="s">
        <v>1029</v>
      </c>
      <c r="T93" s="32" t="s">
        <v>997</v>
      </c>
      <c r="U93" s="32">
        <v>85641</v>
      </c>
      <c r="V93" s="32">
        <v>32.096620999999999</v>
      </c>
      <c r="W93" s="32">
        <v>-110.693674</v>
      </c>
      <c r="X93" s="32">
        <v>1679</v>
      </c>
      <c r="Y93" s="32">
        <v>2025</v>
      </c>
      <c r="Z93" s="32">
        <v>4</v>
      </c>
      <c r="AA93" s="32">
        <v>2</v>
      </c>
      <c r="AB93" s="32" t="s">
        <v>510</v>
      </c>
      <c r="AC93" s="32" t="s">
        <v>998</v>
      </c>
      <c r="AD93" s="32" t="s">
        <v>1322</v>
      </c>
      <c r="AE93" s="32" t="s">
        <v>1234</v>
      </c>
      <c r="AF93" s="32" t="s">
        <v>1323</v>
      </c>
      <c r="AG93" s="32" t="s">
        <v>1033</v>
      </c>
      <c r="AH93" s="32" t="s">
        <v>1003</v>
      </c>
      <c r="AI93" s="32" t="str">
        <f t="shared" si="2"/>
        <v>Dolly C</v>
      </c>
      <c r="AJ93" s="32">
        <v>5267</v>
      </c>
      <c r="AK93" s="32" t="s">
        <v>1072</v>
      </c>
      <c r="AL93" s="32">
        <v>6</v>
      </c>
      <c r="AM93" s="32" t="s">
        <v>1761</v>
      </c>
      <c r="AN93" s="41">
        <f t="shared" si="3"/>
        <v>3</v>
      </c>
    </row>
    <row r="94" spans="1:40" x14ac:dyDescent="0.25">
      <c r="A94" s="32">
        <v>22600755</v>
      </c>
      <c r="B94" s="32" t="s">
        <v>990</v>
      </c>
      <c r="C94" s="32" t="s">
        <v>991</v>
      </c>
      <c r="D94" s="32" t="s">
        <v>992</v>
      </c>
      <c r="E94" s="32" t="s">
        <v>993</v>
      </c>
      <c r="F94" s="32" t="s">
        <v>993</v>
      </c>
      <c r="G94" s="40">
        <v>46031</v>
      </c>
      <c r="H94" s="40" t="s">
        <v>994</v>
      </c>
      <c r="I94" s="40" t="s">
        <v>994</v>
      </c>
      <c r="J94" s="32" t="s">
        <v>995</v>
      </c>
      <c r="K94" s="32">
        <v>46031</v>
      </c>
      <c r="L94" s="32">
        <v>434640</v>
      </c>
      <c r="M94" s="32">
        <v>420640</v>
      </c>
      <c r="O94" s="32" t="s">
        <v>994</v>
      </c>
      <c r="P94" s="32">
        <v>7305</v>
      </c>
      <c r="Q94" s="32" t="s">
        <v>38</v>
      </c>
      <c r="R94" s="32" t="s">
        <v>1172</v>
      </c>
      <c r="S94" s="32" t="s">
        <v>45</v>
      </c>
      <c r="T94" s="32" t="s">
        <v>997</v>
      </c>
      <c r="U94" s="32">
        <v>85747</v>
      </c>
      <c r="V94" s="32">
        <v>32.118228999999999</v>
      </c>
      <c r="W94" s="32">
        <v>-110.717409</v>
      </c>
      <c r="X94" s="32">
        <v>2384</v>
      </c>
      <c r="Y94" s="32">
        <v>2025</v>
      </c>
      <c r="Z94" s="32">
        <v>4</v>
      </c>
      <c r="AA94" s="32">
        <v>3</v>
      </c>
      <c r="AB94" s="32" t="s">
        <v>510</v>
      </c>
      <c r="AC94" s="32" t="s">
        <v>1008</v>
      </c>
      <c r="AD94" s="32" t="s">
        <v>1324</v>
      </c>
      <c r="AE94" s="32" t="s">
        <v>1325</v>
      </c>
      <c r="AF94" s="32" t="s">
        <v>1326</v>
      </c>
      <c r="AG94" s="32" t="s">
        <v>1002</v>
      </c>
      <c r="AH94" s="32" t="s">
        <v>1003</v>
      </c>
      <c r="AI94" s="32" t="str">
        <f t="shared" si="2"/>
        <v/>
      </c>
      <c r="AJ94" s="32">
        <v>4800</v>
      </c>
      <c r="AK94" s="32" t="s">
        <v>1004</v>
      </c>
      <c r="AL94" s="32">
        <v>146</v>
      </c>
      <c r="AM94" s="32" t="s">
        <v>1762</v>
      </c>
      <c r="AN94" s="41">
        <f t="shared" si="3"/>
        <v>1</v>
      </c>
    </row>
    <row r="95" spans="1:40" x14ac:dyDescent="0.25">
      <c r="A95" s="32">
        <v>22600759</v>
      </c>
      <c r="B95" s="32" t="s">
        <v>990</v>
      </c>
      <c r="C95" s="32" t="s">
        <v>991</v>
      </c>
      <c r="D95" s="32" t="s">
        <v>992</v>
      </c>
      <c r="E95" s="32" t="s">
        <v>993</v>
      </c>
      <c r="F95" s="32" t="s">
        <v>993</v>
      </c>
      <c r="G95" s="40">
        <v>46031</v>
      </c>
      <c r="H95" s="40" t="s">
        <v>994</v>
      </c>
      <c r="I95" s="40">
        <v>46133</v>
      </c>
      <c r="J95" s="32" t="s">
        <v>1038</v>
      </c>
      <c r="K95" s="32">
        <v>46133</v>
      </c>
      <c r="L95" s="32">
        <v>474840</v>
      </c>
      <c r="M95" s="32">
        <v>466840</v>
      </c>
      <c r="O95" s="32" t="s">
        <v>994</v>
      </c>
      <c r="P95" s="32">
        <v>7311</v>
      </c>
      <c r="Q95" s="32" t="s">
        <v>38</v>
      </c>
      <c r="R95" s="32" t="s">
        <v>1172</v>
      </c>
      <c r="S95" s="32" t="s">
        <v>45</v>
      </c>
      <c r="T95" s="32" t="s">
        <v>997</v>
      </c>
      <c r="U95" s="32">
        <v>85747</v>
      </c>
      <c r="V95" s="32">
        <v>32.118254</v>
      </c>
      <c r="W95" s="32">
        <v>-110.717405</v>
      </c>
      <c r="X95" s="32">
        <v>2694</v>
      </c>
      <c r="Y95" s="32">
        <v>2026</v>
      </c>
      <c r="Z95" s="32">
        <v>4</v>
      </c>
      <c r="AA95" s="32">
        <v>3</v>
      </c>
      <c r="AB95" s="32" t="s">
        <v>510</v>
      </c>
      <c r="AC95" s="32" t="s">
        <v>1008</v>
      </c>
      <c r="AD95" s="32" t="s">
        <v>1327</v>
      </c>
      <c r="AE95" s="32" t="s">
        <v>1328</v>
      </c>
      <c r="AF95" s="32" t="s">
        <v>1329</v>
      </c>
      <c r="AG95" s="32" t="s">
        <v>1002</v>
      </c>
      <c r="AH95" s="32" t="s">
        <v>1003</v>
      </c>
      <c r="AI95" s="32" t="str">
        <f t="shared" si="2"/>
        <v/>
      </c>
      <c r="AJ95" s="32">
        <v>4800</v>
      </c>
      <c r="AK95" s="32" t="s">
        <v>1004</v>
      </c>
      <c r="AL95" s="32">
        <v>102</v>
      </c>
      <c r="AM95" s="32" t="s">
        <v>1763</v>
      </c>
      <c r="AN95" s="41">
        <f t="shared" si="3"/>
        <v>2</v>
      </c>
    </row>
    <row r="96" spans="1:40" x14ac:dyDescent="0.25">
      <c r="A96" s="32">
        <v>22600775</v>
      </c>
      <c r="B96" s="32" t="s">
        <v>990</v>
      </c>
      <c r="C96" s="32" t="s">
        <v>991</v>
      </c>
      <c r="D96" s="32" t="s">
        <v>992</v>
      </c>
      <c r="E96" s="32" t="s">
        <v>993</v>
      </c>
      <c r="F96" s="32" t="s">
        <v>993</v>
      </c>
      <c r="G96" s="40">
        <v>46031</v>
      </c>
      <c r="H96" s="40">
        <v>46169</v>
      </c>
      <c r="I96" s="40">
        <v>46149</v>
      </c>
      <c r="J96" s="32" t="s">
        <v>37</v>
      </c>
      <c r="K96" s="32">
        <v>46170</v>
      </c>
      <c r="L96" s="32">
        <v>505100</v>
      </c>
      <c r="M96" s="32">
        <v>506100</v>
      </c>
      <c r="N96" s="32">
        <v>506100</v>
      </c>
      <c r="O96" s="32">
        <v>216.47</v>
      </c>
      <c r="P96" s="32">
        <v>13267</v>
      </c>
      <c r="Q96" s="32" t="s">
        <v>48</v>
      </c>
      <c r="R96" s="32" t="s">
        <v>1276</v>
      </c>
      <c r="S96" s="32" t="s">
        <v>45</v>
      </c>
      <c r="T96" s="32" t="s">
        <v>997</v>
      </c>
      <c r="U96" s="32">
        <v>85747</v>
      </c>
      <c r="V96" s="32">
        <v>32.115577999999999</v>
      </c>
      <c r="W96" s="32">
        <v>-110.713837</v>
      </c>
      <c r="X96" s="32">
        <v>2338</v>
      </c>
      <c r="Y96" s="32">
        <v>2026</v>
      </c>
      <c r="Z96" s="32">
        <v>4</v>
      </c>
      <c r="AA96" s="32">
        <v>3</v>
      </c>
      <c r="AB96" s="32" t="s">
        <v>510</v>
      </c>
      <c r="AC96" s="32" t="s">
        <v>998</v>
      </c>
      <c r="AD96" s="32" t="s">
        <v>1330</v>
      </c>
      <c r="AE96" s="32" t="s">
        <v>1331</v>
      </c>
      <c r="AF96" s="32" t="s">
        <v>1332</v>
      </c>
      <c r="AG96" s="32" t="s">
        <v>1002</v>
      </c>
      <c r="AH96" s="32" t="s">
        <v>1003</v>
      </c>
      <c r="AI96" s="32" t="str">
        <f t="shared" si="2"/>
        <v/>
      </c>
      <c r="AJ96" s="32">
        <v>8822</v>
      </c>
      <c r="AK96" s="32" t="s">
        <v>1004</v>
      </c>
      <c r="AL96" s="37">
        <v>118</v>
      </c>
      <c r="AM96" s="31" t="s">
        <v>1764</v>
      </c>
      <c r="AN96" s="41">
        <f t="shared" si="3"/>
        <v>3</v>
      </c>
    </row>
    <row r="97" spans="1:40" x14ac:dyDescent="0.25">
      <c r="A97" s="32">
        <v>22601115</v>
      </c>
      <c r="B97" s="32" t="s">
        <v>1025</v>
      </c>
      <c r="C97" s="32" t="s">
        <v>1026</v>
      </c>
      <c r="D97" s="32" t="s">
        <v>1027</v>
      </c>
      <c r="E97" s="32" t="s">
        <v>993</v>
      </c>
      <c r="F97" s="32" t="s">
        <v>993</v>
      </c>
      <c r="G97" s="40">
        <v>46035</v>
      </c>
      <c r="H97" s="40">
        <v>46136</v>
      </c>
      <c r="I97" s="40">
        <v>46096</v>
      </c>
      <c r="J97" s="32" t="s">
        <v>37</v>
      </c>
      <c r="K97" s="32">
        <v>46136</v>
      </c>
      <c r="L97" s="32">
        <v>374990</v>
      </c>
      <c r="M97" s="32">
        <v>353540</v>
      </c>
      <c r="N97" s="32">
        <v>353540</v>
      </c>
      <c r="O97" s="32">
        <v>249.32</v>
      </c>
      <c r="P97" s="32">
        <v>8797</v>
      </c>
      <c r="Q97" s="32" t="s">
        <v>38</v>
      </c>
      <c r="R97" s="32" t="s">
        <v>1213</v>
      </c>
      <c r="S97" s="32" t="s">
        <v>1029</v>
      </c>
      <c r="T97" s="32" t="s">
        <v>997</v>
      </c>
      <c r="U97" s="32">
        <v>85641</v>
      </c>
      <c r="V97" s="32">
        <v>32.096207</v>
      </c>
      <c r="W97" s="32">
        <v>-110.69362599999999</v>
      </c>
      <c r="X97" s="32">
        <v>1418</v>
      </c>
      <c r="Y97" s="32">
        <v>2025</v>
      </c>
      <c r="Z97" s="32">
        <v>3</v>
      </c>
      <c r="AA97" s="32">
        <v>2</v>
      </c>
      <c r="AB97" s="32" t="s">
        <v>510</v>
      </c>
      <c r="AC97" s="32" t="s">
        <v>998</v>
      </c>
      <c r="AD97" s="32" t="s">
        <v>1333</v>
      </c>
      <c r="AE97" s="32" t="s">
        <v>1133</v>
      </c>
      <c r="AF97" s="32" t="s">
        <v>1334</v>
      </c>
      <c r="AG97" s="32" t="s">
        <v>1033</v>
      </c>
      <c r="AH97" s="32" t="s">
        <v>1003</v>
      </c>
      <c r="AI97" s="32" t="str">
        <f t="shared" si="2"/>
        <v>Daisy C</v>
      </c>
      <c r="AJ97" s="32">
        <v>5486</v>
      </c>
      <c r="AK97" s="32" t="s">
        <v>1072</v>
      </c>
      <c r="AL97" s="36">
        <v>62</v>
      </c>
      <c r="AM97" s="30" t="s">
        <v>1765</v>
      </c>
      <c r="AN97" s="41">
        <f t="shared" si="3"/>
        <v>3</v>
      </c>
    </row>
    <row r="98" spans="1:40" x14ac:dyDescent="0.25">
      <c r="A98" s="32">
        <v>22601117</v>
      </c>
      <c r="B98" s="32" t="s">
        <v>1025</v>
      </c>
      <c r="C98" s="32" t="s">
        <v>1026</v>
      </c>
      <c r="D98" s="32" t="s">
        <v>1027</v>
      </c>
      <c r="E98" s="32" t="s">
        <v>993</v>
      </c>
      <c r="F98" s="32" t="s">
        <v>993</v>
      </c>
      <c r="G98" s="40">
        <v>46035</v>
      </c>
      <c r="H98" s="40">
        <v>46155</v>
      </c>
      <c r="I98" s="40">
        <v>46128</v>
      </c>
      <c r="J98" s="32" t="s">
        <v>37</v>
      </c>
      <c r="K98" s="32">
        <v>46155</v>
      </c>
      <c r="L98" s="32">
        <v>445840</v>
      </c>
      <c r="M98" s="32">
        <v>389940</v>
      </c>
      <c r="N98" s="32">
        <v>389940</v>
      </c>
      <c r="O98" s="32">
        <v>210.55</v>
      </c>
      <c r="P98" s="32">
        <v>8208</v>
      </c>
      <c r="Q98" s="32" t="s">
        <v>38</v>
      </c>
      <c r="R98" s="32" t="s">
        <v>1028</v>
      </c>
      <c r="S98" s="32" t="s">
        <v>1029</v>
      </c>
      <c r="T98" s="32" t="s">
        <v>997</v>
      </c>
      <c r="U98" s="32">
        <v>85641</v>
      </c>
      <c r="V98" s="32">
        <v>32.099764</v>
      </c>
      <c r="W98" s="32">
        <v>-110.71841999999999</v>
      </c>
      <c r="X98" s="32">
        <v>1852</v>
      </c>
      <c r="Y98" s="32">
        <v>2025</v>
      </c>
      <c r="Z98" s="32">
        <v>4</v>
      </c>
      <c r="AA98" s="32">
        <v>2</v>
      </c>
      <c r="AB98" s="32" t="s">
        <v>510</v>
      </c>
      <c r="AC98" s="32" t="s">
        <v>998</v>
      </c>
      <c r="AD98" s="32" t="s">
        <v>1335</v>
      </c>
      <c r="AE98" s="32" t="s">
        <v>1336</v>
      </c>
      <c r="AF98" s="32" t="s">
        <v>1337</v>
      </c>
      <c r="AG98" s="32" t="s">
        <v>1033</v>
      </c>
      <c r="AH98" s="32" t="s">
        <v>1003</v>
      </c>
      <c r="AI98" s="32" t="str">
        <f t="shared" si="2"/>
        <v>Odyssey C</v>
      </c>
      <c r="AJ98" s="32">
        <v>9380</v>
      </c>
      <c r="AK98" s="32" t="s">
        <v>1034</v>
      </c>
      <c r="AL98" s="32">
        <v>93</v>
      </c>
      <c r="AM98" s="32" t="s">
        <v>1766</v>
      </c>
      <c r="AN98" s="41">
        <f t="shared" si="3"/>
        <v>3</v>
      </c>
    </row>
    <row r="99" spans="1:40" x14ac:dyDescent="0.25">
      <c r="A99" s="32">
        <v>22601120</v>
      </c>
      <c r="B99" s="32" t="s">
        <v>1025</v>
      </c>
      <c r="C99" s="32" t="s">
        <v>1026</v>
      </c>
      <c r="D99" s="32" t="s">
        <v>1027</v>
      </c>
      <c r="E99" s="32" t="s">
        <v>993</v>
      </c>
      <c r="F99" s="32" t="s">
        <v>993</v>
      </c>
      <c r="G99" s="40">
        <v>46035</v>
      </c>
      <c r="H99" s="40" t="s">
        <v>994</v>
      </c>
      <c r="I99" s="40">
        <v>46127</v>
      </c>
      <c r="J99" s="32" t="s">
        <v>1038</v>
      </c>
      <c r="K99" s="32">
        <v>46127</v>
      </c>
      <c r="L99" s="32">
        <v>444190</v>
      </c>
      <c r="M99" s="32">
        <v>393690</v>
      </c>
      <c r="O99" s="32" t="s">
        <v>994</v>
      </c>
      <c r="P99" s="32">
        <v>8225</v>
      </c>
      <c r="Q99" s="32" t="s">
        <v>38</v>
      </c>
      <c r="R99" s="32" t="s">
        <v>1028</v>
      </c>
      <c r="S99" s="32" t="s">
        <v>1029</v>
      </c>
      <c r="T99" s="32" t="s">
        <v>997</v>
      </c>
      <c r="U99" s="32">
        <v>85641</v>
      </c>
      <c r="V99" s="32">
        <v>32.099764</v>
      </c>
      <c r="W99" s="32">
        <v>-110.71841999999999</v>
      </c>
      <c r="X99" s="32">
        <v>1852</v>
      </c>
      <c r="Y99" s="32">
        <v>2025</v>
      </c>
      <c r="Z99" s="32">
        <v>4</v>
      </c>
      <c r="AA99" s="32">
        <v>2</v>
      </c>
      <c r="AB99" s="32" t="s">
        <v>510</v>
      </c>
      <c r="AC99" s="32" t="s">
        <v>998</v>
      </c>
      <c r="AD99" s="32" t="s">
        <v>1338</v>
      </c>
      <c r="AE99" s="32" t="s">
        <v>1336</v>
      </c>
      <c r="AF99" s="32" t="s">
        <v>1339</v>
      </c>
      <c r="AG99" s="32" t="s">
        <v>1033</v>
      </c>
      <c r="AH99" s="32" t="s">
        <v>1003</v>
      </c>
      <c r="AI99" s="32" t="str">
        <f t="shared" si="2"/>
        <v>Odyssey B</v>
      </c>
      <c r="AJ99" s="32">
        <v>6875</v>
      </c>
      <c r="AK99" s="32" t="s">
        <v>1034</v>
      </c>
      <c r="AL99" s="36">
        <v>92</v>
      </c>
      <c r="AM99" s="30" t="s">
        <v>1767</v>
      </c>
      <c r="AN99" s="41">
        <f t="shared" si="3"/>
        <v>2</v>
      </c>
    </row>
    <row r="100" spans="1:40" x14ac:dyDescent="0.25">
      <c r="A100" s="32">
        <v>22601600</v>
      </c>
      <c r="B100" s="32" t="s">
        <v>1035</v>
      </c>
      <c r="C100" s="32" t="s">
        <v>1036</v>
      </c>
      <c r="D100" s="32" t="s">
        <v>1037</v>
      </c>
      <c r="E100" s="32" t="s">
        <v>993</v>
      </c>
      <c r="F100" s="32" t="s">
        <v>993</v>
      </c>
      <c r="G100" s="40">
        <v>46038</v>
      </c>
      <c r="H100" s="40" t="s">
        <v>994</v>
      </c>
      <c r="I100" s="40">
        <v>46116</v>
      </c>
      <c r="J100" s="32" t="s">
        <v>1038</v>
      </c>
      <c r="K100" s="32">
        <v>46119</v>
      </c>
      <c r="L100" s="32">
        <v>516900</v>
      </c>
      <c r="M100" s="32">
        <v>439900</v>
      </c>
      <c r="O100" s="32" t="s">
        <v>994</v>
      </c>
      <c r="P100" s="32">
        <v>14122</v>
      </c>
      <c r="Q100" s="32" t="s">
        <v>48</v>
      </c>
      <c r="R100" s="32" t="s">
        <v>1039</v>
      </c>
      <c r="S100" s="32" t="s">
        <v>1029</v>
      </c>
      <c r="T100" s="32" t="s">
        <v>997</v>
      </c>
      <c r="U100" s="32">
        <v>85641</v>
      </c>
      <c r="V100" s="32">
        <v>32.090159</v>
      </c>
      <c r="W100" s="32">
        <v>-110.691335</v>
      </c>
      <c r="X100" s="32">
        <v>2439</v>
      </c>
      <c r="Y100" s="32">
        <v>2025</v>
      </c>
      <c r="Z100" s="32">
        <v>4</v>
      </c>
      <c r="AA100" s="32">
        <v>3</v>
      </c>
      <c r="AB100" s="32" t="s">
        <v>510</v>
      </c>
      <c r="AC100" s="32" t="s">
        <v>1008</v>
      </c>
      <c r="AD100" s="32" t="s">
        <v>1340</v>
      </c>
      <c r="AE100" s="32" t="s">
        <v>1046</v>
      </c>
      <c r="AF100" s="32" t="s">
        <v>1341</v>
      </c>
      <c r="AG100" s="32" t="s">
        <v>1043</v>
      </c>
      <c r="AH100" s="32" t="s">
        <v>1003</v>
      </c>
      <c r="AI100" s="32" t="str">
        <f t="shared" si="2"/>
        <v/>
      </c>
      <c r="AJ100" s="32">
        <v>4978</v>
      </c>
      <c r="AK100" s="32" t="s">
        <v>1044</v>
      </c>
      <c r="AL100" s="37">
        <v>81</v>
      </c>
      <c r="AM100" s="31" t="s">
        <v>1768</v>
      </c>
      <c r="AN100" s="41">
        <f t="shared" si="3"/>
        <v>2</v>
      </c>
    </row>
    <row r="101" spans="1:40" x14ac:dyDescent="0.25">
      <c r="A101" s="32">
        <v>22601862</v>
      </c>
      <c r="B101" s="32" t="s">
        <v>1025</v>
      </c>
      <c r="C101" s="32" t="s">
        <v>1026</v>
      </c>
      <c r="D101" s="32" t="s">
        <v>1027</v>
      </c>
      <c r="E101" s="32" t="s">
        <v>993</v>
      </c>
      <c r="F101" s="32" t="s">
        <v>993</v>
      </c>
      <c r="G101" s="40">
        <v>46042</v>
      </c>
      <c r="H101" s="40" t="s">
        <v>994</v>
      </c>
      <c r="I101" s="40">
        <v>46174</v>
      </c>
      <c r="J101" s="32" t="s">
        <v>1038</v>
      </c>
      <c r="K101" s="32">
        <v>46174</v>
      </c>
      <c r="L101" s="32">
        <v>384990</v>
      </c>
      <c r="M101" s="32">
        <v>351940</v>
      </c>
      <c r="O101" s="32" t="s">
        <v>994</v>
      </c>
      <c r="P101" s="32">
        <v>8785</v>
      </c>
      <c r="Q101" s="32" t="s">
        <v>38</v>
      </c>
      <c r="R101" s="32" t="s">
        <v>1213</v>
      </c>
      <c r="S101" s="32" t="s">
        <v>1029</v>
      </c>
      <c r="T101" s="32" t="s">
        <v>997</v>
      </c>
      <c r="U101" s="32">
        <v>85641</v>
      </c>
      <c r="V101" s="32">
        <v>32.096055</v>
      </c>
      <c r="W101" s="32">
        <v>-110.693178</v>
      </c>
      <c r="X101" s="32">
        <v>1679</v>
      </c>
      <c r="Y101" s="32">
        <v>2025</v>
      </c>
      <c r="Z101" s="32">
        <v>4</v>
      </c>
      <c r="AA101" s="32">
        <v>2</v>
      </c>
      <c r="AB101" s="32" t="s">
        <v>510</v>
      </c>
      <c r="AC101" s="32" t="s">
        <v>998</v>
      </c>
      <c r="AD101" s="32" t="s">
        <v>1342</v>
      </c>
      <c r="AE101" s="32" t="s">
        <v>1343</v>
      </c>
      <c r="AF101" s="32" t="s">
        <v>1344</v>
      </c>
      <c r="AG101" s="32" t="s">
        <v>1033</v>
      </c>
      <c r="AH101" s="32" t="s">
        <v>1003</v>
      </c>
      <c r="AI101" s="32" t="str">
        <f t="shared" si="2"/>
        <v>Dolly A</v>
      </c>
      <c r="AJ101" s="32">
        <v>5038</v>
      </c>
      <c r="AK101" s="32" t="s">
        <v>1072</v>
      </c>
      <c r="AL101" s="32">
        <v>132</v>
      </c>
      <c r="AM101" s="32" t="s">
        <v>1769</v>
      </c>
      <c r="AN101" s="41">
        <f t="shared" si="3"/>
        <v>2</v>
      </c>
    </row>
    <row r="102" spans="1:40" x14ac:dyDescent="0.25">
      <c r="A102" s="32">
        <v>22601863</v>
      </c>
      <c r="B102" s="32" t="s">
        <v>1025</v>
      </c>
      <c r="C102" s="32" t="s">
        <v>1026</v>
      </c>
      <c r="D102" s="32" t="s">
        <v>1027</v>
      </c>
      <c r="E102" s="32" t="s">
        <v>993</v>
      </c>
      <c r="F102" s="32" t="s">
        <v>993</v>
      </c>
      <c r="G102" s="40">
        <v>46042</v>
      </c>
      <c r="H102" s="40">
        <v>46176</v>
      </c>
      <c r="I102" s="40">
        <v>46115</v>
      </c>
      <c r="J102" s="32" t="s">
        <v>37</v>
      </c>
      <c r="K102" s="32">
        <v>46176</v>
      </c>
      <c r="L102" s="32">
        <v>451990</v>
      </c>
      <c r="M102" s="32">
        <v>444140</v>
      </c>
      <c r="N102" s="32">
        <v>439140</v>
      </c>
      <c r="O102" s="32">
        <v>167.36</v>
      </c>
      <c r="P102" s="32">
        <v>8790</v>
      </c>
      <c r="Q102" s="32" t="s">
        <v>38</v>
      </c>
      <c r="R102" s="32" t="s">
        <v>1213</v>
      </c>
      <c r="S102" s="32" t="s">
        <v>1029</v>
      </c>
      <c r="T102" s="32" t="s">
        <v>997</v>
      </c>
      <c r="U102" s="32">
        <v>85641</v>
      </c>
      <c r="V102" s="32">
        <v>32.096456000000003</v>
      </c>
      <c r="W102" s="32">
        <v>-110.693113</v>
      </c>
      <c r="X102" s="32">
        <v>2624</v>
      </c>
      <c r="Y102" s="32">
        <v>2025</v>
      </c>
      <c r="Z102" s="32">
        <v>5</v>
      </c>
      <c r="AA102" s="32">
        <v>4</v>
      </c>
      <c r="AB102" s="32" t="s">
        <v>510</v>
      </c>
      <c r="AC102" s="32" t="s">
        <v>1008</v>
      </c>
      <c r="AD102" s="32" t="s">
        <v>1345</v>
      </c>
      <c r="AE102" s="32" t="s">
        <v>1186</v>
      </c>
      <c r="AF102" s="32" t="s">
        <v>1346</v>
      </c>
      <c r="AG102" s="32" t="s">
        <v>1033</v>
      </c>
      <c r="AH102" s="32" t="s">
        <v>1003</v>
      </c>
      <c r="AI102" s="32" t="str">
        <f t="shared" si="2"/>
        <v>Poppy A</v>
      </c>
      <c r="AJ102" s="32">
        <v>5854</v>
      </c>
      <c r="AK102" s="32" t="s">
        <v>1072</v>
      </c>
      <c r="AL102" s="36">
        <v>73</v>
      </c>
      <c r="AM102" s="30" t="s">
        <v>1770</v>
      </c>
      <c r="AN102" s="41">
        <f t="shared" si="3"/>
        <v>3</v>
      </c>
    </row>
    <row r="103" spans="1:40" x14ac:dyDescent="0.25">
      <c r="A103" s="32">
        <v>22602003</v>
      </c>
      <c r="B103" s="32" t="s">
        <v>990</v>
      </c>
      <c r="C103" s="32" t="s">
        <v>991</v>
      </c>
      <c r="D103" s="32" t="s">
        <v>992</v>
      </c>
      <c r="E103" s="32" t="s">
        <v>993</v>
      </c>
      <c r="F103" s="32" t="s">
        <v>993</v>
      </c>
      <c r="G103" s="40">
        <v>46043</v>
      </c>
      <c r="H103" s="40">
        <v>46175</v>
      </c>
      <c r="I103" s="40">
        <v>46133</v>
      </c>
      <c r="J103" s="32" t="s">
        <v>37</v>
      </c>
      <c r="K103" s="32">
        <v>46176</v>
      </c>
      <c r="L103" s="32">
        <v>378840</v>
      </c>
      <c r="M103" s="32">
        <v>370840</v>
      </c>
      <c r="N103" s="32">
        <v>370840</v>
      </c>
      <c r="O103" s="32">
        <v>231.49</v>
      </c>
      <c r="P103" s="32">
        <v>7323</v>
      </c>
      <c r="Q103" s="32" t="s">
        <v>38</v>
      </c>
      <c r="R103" s="32" t="s">
        <v>1172</v>
      </c>
      <c r="S103" s="32" t="s">
        <v>45</v>
      </c>
      <c r="T103" s="32" t="s">
        <v>997</v>
      </c>
      <c r="U103" s="32">
        <v>85747</v>
      </c>
      <c r="V103" s="32">
        <v>32.117756</v>
      </c>
      <c r="W103" s="32">
        <v>-110.714939</v>
      </c>
      <c r="X103" s="32">
        <v>1602</v>
      </c>
      <c r="Y103" s="32">
        <v>2026</v>
      </c>
      <c r="Z103" s="32">
        <v>4</v>
      </c>
      <c r="AA103" s="32">
        <v>2</v>
      </c>
      <c r="AB103" s="32" t="s">
        <v>510</v>
      </c>
      <c r="AC103" s="32" t="s">
        <v>998</v>
      </c>
      <c r="AD103" s="32" t="s">
        <v>1347</v>
      </c>
      <c r="AE103" s="32" t="s">
        <v>1348</v>
      </c>
      <c r="AF103" s="32" t="s">
        <v>1349</v>
      </c>
      <c r="AG103" s="32" t="s">
        <v>1002</v>
      </c>
      <c r="AH103" s="32" t="s">
        <v>1003</v>
      </c>
      <c r="AI103" s="32" t="str">
        <f t="shared" si="2"/>
        <v/>
      </c>
      <c r="AJ103" s="32">
        <v>5779</v>
      </c>
      <c r="AK103" s="32" t="s">
        <v>1004</v>
      </c>
      <c r="AL103" s="32">
        <v>90</v>
      </c>
      <c r="AM103" s="32" t="s">
        <v>1771</v>
      </c>
      <c r="AN103" s="41">
        <f t="shared" si="3"/>
        <v>3</v>
      </c>
    </row>
    <row r="104" spans="1:40" x14ac:dyDescent="0.25">
      <c r="A104" s="32">
        <v>22602204</v>
      </c>
      <c r="B104" s="32" t="s">
        <v>1048</v>
      </c>
      <c r="C104" s="32" t="s">
        <v>1049</v>
      </c>
      <c r="D104" s="32" t="s">
        <v>1050</v>
      </c>
      <c r="E104" s="32" t="s">
        <v>993</v>
      </c>
      <c r="F104" s="32" t="s">
        <v>993</v>
      </c>
      <c r="G104" s="40">
        <v>46045</v>
      </c>
      <c r="H104" s="40">
        <v>46093</v>
      </c>
      <c r="I104" s="40">
        <v>46063</v>
      </c>
      <c r="J104" s="32" t="s">
        <v>37</v>
      </c>
      <c r="K104" s="32">
        <v>46105</v>
      </c>
      <c r="L104" s="32">
        <v>479990</v>
      </c>
      <c r="M104" s="32">
        <v>479990</v>
      </c>
      <c r="N104" s="32">
        <v>479990</v>
      </c>
      <c r="O104" s="32">
        <v>216.21</v>
      </c>
      <c r="P104" s="32">
        <v>7807</v>
      </c>
      <c r="Q104" s="32" t="s">
        <v>38</v>
      </c>
      <c r="R104" s="32" t="s">
        <v>1051</v>
      </c>
      <c r="S104" s="32" t="s">
        <v>45</v>
      </c>
      <c r="T104" s="32" t="s">
        <v>997</v>
      </c>
      <c r="U104" s="32">
        <v>85747</v>
      </c>
      <c r="V104" s="32">
        <v>32.109076999999999</v>
      </c>
      <c r="W104" s="32">
        <v>-110.71545399999999</v>
      </c>
      <c r="X104" s="32">
        <v>2220</v>
      </c>
      <c r="Y104" s="32">
        <v>2026</v>
      </c>
      <c r="Z104" s="32">
        <v>4</v>
      </c>
      <c r="AA104" s="32">
        <v>3</v>
      </c>
      <c r="AB104" s="32" t="s">
        <v>510</v>
      </c>
      <c r="AC104" s="32" t="s">
        <v>998</v>
      </c>
      <c r="AD104" s="32" t="s">
        <v>1350</v>
      </c>
      <c r="AE104" s="32" t="s">
        <v>1059</v>
      </c>
      <c r="AF104" s="32" t="s">
        <v>1351</v>
      </c>
      <c r="AG104" s="32" t="s">
        <v>1055</v>
      </c>
      <c r="AH104" s="32" t="s">
        <v>1056</v>
      </c>
      <c r="AI104" s="32" t="str">
        <f t="shared" si="2"/>
        <v>Raleigh</v>
      </c>
      <c r="AJ104" s="32">
        <v>6926</v>
      </c>
      <c r="AK104" s="32" t="s">
        <v>1098</v>
      </c>
      <c r="AL104" s="36">
        <v>60</v>
      </c>
      <c r="AM104" s="30" t="s">
        <v>1772</v>
      </c>
      <c r="AN104" s="41">
        <f t="shared" si="3"/>
        <v>3</v>
      </c>
    </row>
    <row r="105" spans="1:40" x14ac:dyDescent="0.25">
      <c r="A105" s="32">
        <v>22602206</v>
      </c>
      <c r="B105" s="32" t="s">
        <v>1048</v>
      </c>
      <c r="C105" s="32" t="s">
        <v>1049</v>
      </c>
      <c r="D105" s="32" t="s">
        <v>1050</v>
      </c>
      <c r="E105" s="32" t="s">
        <v>993</v>
      </c>
      <c r="F105" s="32" t="s">
        <v>993</v>
      </c>
      <c r="G105" s="40">
        <v>46045</v>
      </c>
      <c r="H105" s="40">
        <v>46111</v>
      </c>
      <c r="I105" s="40">
        <v>46088</v>
      </c>
      <c r="J105" s="32" t="s">
        <v>37</v>
      </c>
      <c r="K105" s="32">
        <v>46120</v>
      </c>
      <c r="L105" s="32">
        <v>489990</v>
      </c>
      <c r="M105" s="32">
        <v>489990</v>
      </c>
      <c r="N105" s="32">
        <v>465000</v>
      </c>
      <c r="O105" s="32">
        <v>209.46</v>
      </c>
      <c r="P105" s="32">
        <v>7817</v>
      </c>
      <c r="Q105" s="32" t="s">
        <v>38</v>
      </c>
      <c r="R105" s="32" t="s">
        <v>1051</v>
      </c>
      <c r="S105" s="32" t="s">
        <v>45</v>
      </c>
      <c r="T105" s="32" t="s">
        <v>997</v>
      </c>
      <c r="U105" s="32">
        <v>85747</v>
      </c>
      <c r="V105" s="32">
        <v>32.108924000000002</v>
      </c>
      <c r="W105" s="32">
        <v>-110.715452</v>
      </c>
      <c r="X105" s="32">
        <v>2220</v>
      </c>
      <c r="Y105" s="32">
        <v>2026</v>
      </c>
      <c r="Z105" s="32">
        <v>4</v>
      </c>
      <c r="AA105" s="32">
        <v>2</v>
      </c>
      <c r="AB105" s="32" t="s">
        <v>510</v>
      </c>
      <c r="AC105" s="32" t="s">
        <v>998</v>
      </c>
      <c r="AD105" s="32" t="s">
        <v>1352</v>
      </c>
      <c r="AE105" s="32" t="s">
        <v>1059</v>
      </c>
      <c r="AF105" s="32" t="s">
        <v>1353</v>
      </c>
      <c r="AG105" s="32" t="s">
        <v>1055</v>
      </c>
      <c r="AH105" s="32" t="s">
        <v>1056</v>
      </c>
      <c r="AI105" s="32" t="str">
        <f t="shared" si="2"/>
        <v>Raleigh</v>
      </c>
      <c r="AJ105" s="32">
        <v>7318</v>
      </c>
      <c r="AK105" s="32" t="s">
        <v>1098</v>
      </c>
      <c r="AL105" s="32">
        <v>75</v>
      </c>
      <c r="AM105" s="32" t="s">
        <v>1772</v>
      </c>
      <c r="AN105" s="41">
        <f t="shared" si="3"/>
        <v>3</v>
      </c>
    </row>
    <row r="106" spans="1:40" x14ac:dyDescent="0.25">
      <c r="A106" s="32">
        <v>22602212</v>
      </c>
      <c r="B106" s="32" t="s">
        <v>1048</v>
      </c>
      <c r="C106" s="32" t="s">
        <v>1049</v>
      </c>
      <c r="D106" s="32" t="s">
        <v>1050</v>
      </c>
      <c r="E106" s="32" t="s">
        <v>993</v>
      </c>
      <c r="F106" s="32" t="s">
        <v>993</v>
      </c>
      <c r="G106" s="40">
        <v>46045</v>
      </c>
      <c r="H106" s="40">
        <v>46108</v>
      </c>
      <c r="I106" s="40">
        <v>46072</v>
      </c>
      <c r="J106" s="32" t="s">
        <v>37</v>
      </c>
      <c r="K106" s="32">
        <v>46112</v>
      </c>
      <c r="L106" s="32">
        <v>579990</v>
      </c>
      <c r="M106" s="32">
        <v>579990</v>
      </c>
      <c r="N106" s="32">
        <v>560000</v>
      </c>
      <c r="O106" s="32">
        <v>192.44</v>
      </c>
      <c r="P106" s="32">
        <v>7827</v>
      </c>
      <c r="Q106" s="32" t="s">
        <v>38</v>
      </c>
      <c r="R106" s="32" t="s">
        <v>1051</v>
      </c>
      <c r="S106" s="32" t="s">
        <v>45</v>
      </c>
      <c r="T106" s="32" t="s">
        <v>997</v>
      </c>
      <c r="U106" s="32">
        <v>85747</v>
      </c>
      <c r="V106" s="32">
        <v>32.108770999999997</v>
      </c>
      <c r="W106" s="32">
        <v>-110.715475</v>
      </c>
      <c r="X106" s="32">
        <v>2910</v>
      </c>
      <c r="Y106" s="32">
        <v>2026</v>
      </c>
      <c r="Z106" s="32">
        <v>5</v>
      </c>
      <c r="AA106" s="32">
        <v>3</v>
      </c>
      <c r="AB106" s="32" t="s">
        <v>510</v>
      </c>
      <c r="AC106" s="32" t="s">
        <v>1008</v>
      </c>
      <c r="AD106" s="32" t="s">
        <v>1354</v>
      </c>
      <c r="AE106" s="32" t="s">
        <v>1355</v>
      </c>
      <c r="AF106" s="32" t="s">
        <v>1356</v>
      </c>
      <c r="AG106" s="32" t="s">
        <v>1055</v>
      </c>
      <c r="AH106" s="32" t="s">
        <v>1056</v>
      </c>
      <c r="AI106" s="32" t="str">
        <f t="shared" si="2"/>
        <v>Yorktown</v>
      </c>
      <c r="AJ106" s="32">
        <v>7710</v>
      </c>
      <c r="AK106" s="32" t="s">
        <v>1098</v>
      </c>
      <c r="AL106" s="32">
        <v>67</v>
      </c>
      <c r="AM106" s="32" t="s">
        <v>1773</v>
      </c>
      <c r="AN106" s="41">
        <f t="shared" si="3"/>
        <v>3</v>
      </c>
    </row>
    <row r="107" spans="1:40" x14ac:dyDescent="0.25">
      <c r="A107" s="32">
        <v>22602270</v>
      </c>
      <c r="B107" s="32" t="s">
        <v>990</v>
      </c>
      <c r="C107" s="32" t="s">
        <v>991</v>
      </c>
      <c r="D107" s="32" t="s">
        <v>992</v>
      </c>
      <c r="E107" s="32" t="s">
        <v>993</v>
      </c>
      <c r="F107" s="32" t="s">
        <v>993</v>
      </c>
      <c r="G107" s="40">
        <v>46045</v>
      </c>
      <c r="H107" s="40" t="s">
        <v>994</v>
      </c>
      <c r="I107" s="40" t="s">
        <v>994</v>
      </c>
      <c r="J107" s="32" t="s">
        <v>995</v>
      </c>
      <c r="K107" s="32">
        <v>46149</v>
      </c>
      <c r="L107" s="32">
        <v>441640</v>
      </c>
      <c r="M107" s="32">
        <v>425640</v>
      </c>
      <c r="O107" s="32" t="s">
        <v>994</v>
      </c>
      <c r="P107" s="32">
        <v>7317</v>
      </c>
      <c r="Q107" s="32" t="s">
        <v>38</v>
      </c>
      <c r="R107" s="32" t="s">
        <v>1172</v>
      </c>
      <c r="S107" s="32" t="s">
        <v>45</v>
      </c>
      <c r="T107" s="32" t="s">
        <v>997</v>
      </c>
      <c r="U107" s="32">
        <v>85747</v>
      </c>
      <c r="V107" s="32">
        <v>32.117801</v>
      </c>
      <c r="W107" s="32">
        <v>-110.71483499999999</v>
      </c>
      <c r="X107" s="32">
        <v>2384</v>
      </c>
      <c r="Y107" s="32">
        <v>2026</v>
      </c>
      <c r="Z107" s="32">
        <v>4</v>
      </c>
      <c r="AA107" s="32">
        <v>3</v>
      </c>
      <c r="AB107" s="32" t="s">
        <v>510</v>
      </c>
      <c r="AC107" s="32" t="s">
        <v>1008</v>
      </c>
      <c r="AD107" s="32" t="s">
        <v>1357</v>
      </c>
      <c r="AE107" s="32" t="s">
        <v>1358</v>
      </c>
      <c r="AF107" s="32" t="s">
        <v>1359</v>
      </c>
      <c r="AG107" s="32" t="s">
        <v>1002</v>
      </c>
      <c r="AH107" s="32" t="s">
        <v>1003</v>
      </c>
      <c r="AI107" s="32" t="str">
        <f t="shared" si="2"/>
        <v/>
      </c>
      <c r="AJ107" s="32">
        <v>4800</v>
      </c>
      <c r="AK107" s="32" t="s">
        <v>1004</v>
      </c>
      <c r="AL107" s="36">
        <v>124</v>
      </c>
      <c r="AM107" s="30" t="s">
        <v>1774</v>
      </c>
      <c r="AN107" s="41">
        <f t="shared" si="3"/>
        <v>1</v>
      </c>
    </row>
    <row r="108" spans="1:40" x14ac:dyDescent="0.25">
      <c r="A108" s="32">
        <v>22602273</v>
      </c>
      <c r="B108" s="32" t="s">
        <v>990</v>
      </c>
      <c r="C108" s="32" t="s">
        <v>991</v>
      </c>
      <c r="D108" s="32" t="s">
        <v>992</v>
      </c>
      <c r="E108" s="32" t="s">
        <v>993</v>
      </c>
      <c r="F108" s="32" t="s">
        <v>993</v>
      </c>
      <c r="G108" s="40">
        <v>46045</v>
      </c>
      <c r="H108" s="40">
        <v>46132</v>
      </c>
      <c r="I108" s="40">
        <v>46122</v>
      </c>
      <c r="J108" s="32" t="s">
        <v>37</v>
      </c>
      <c r="K108" s="32">
        <v>46133</v>
      </c>
      <c r="L108" s="32">
        <v>494010</v>
      </c>
      <c r="M108" s="32">
        <v>490000</v>
      </c>
      <c r="N108" s="32">
        <v>490000</v>
      </c>
      <c r="O108" s="32">
        <v>227.06</v>
      </c>
      <c r="P108" s="32">
        <v>13291</v>
      </c>
      <c r="Q108" s="32" t="s">
        <v>48</v>
      </c>
      <c r="R108" s="32" t="s">
        <v>1276</v>
      </c>
      <c r="S108" s="32" t="s">
        <v>45</v>
      </c>
      <c r="T108" s="32" t="s">
        <v>997</v>
      </c>
      <c r="U108" s="32">
        <v>85747</v>
      </c>
      <c r="V108" s="32">
        <v>32.116968</v>
      </c>
      <c r="W108" s="32">
        <v>-110.71122800000001</v>
      </c>
      <c r="X108" s="32">
        <v>2158</v>
      </c>
      <c r="Y108" s="32">
        <v>2026</v>
      </c>
      <c r="Z108" s="32">
        <v>4</v>
      </c>
      <c r="AA108" s="32">
        <v>3</v>
      </c>
      <c r="AB108" s="32" t="s">
        <v>510</v>
      </c>
      <c r="AC108" s="32" t="s">
        <v>998</v>
      </c>
      <c r="AD108" s="32" t="s">
        <v>1360</v>
      </c>
      <c r="AE108" s="32" t="s">
        <v>1361</v>
      </c>
      <c r="AF108" s="32" t="s">
        <v>1362</v>
      </c>
      <c r="AG108" s="32" t="s">
        <v>1002</v>
      </c>
      <c r="AH108" s="32" t="s">
        <v>1003</v>
      </c>
      <c r="AI108" s="32" t="str">
        <f t="shared" si="2"/>
        <v/>
      </c>
      <c r="AJ108" s="32">
        <v>6875</v>
      </c>
      <c r="AK108" s="32" t="s">
        <v>1004</v>
      </c>
      <c r="AL108" s="32">
        <v>67</v>
      </c>
      <c r="AM108" s="32" t="s">
        <v>1775</v>
      </c>
      <c r="AN108" s="41">
        <f t="shared" si="3"/>
        <v>3</v>
      </c>
    </row>
    <row r="109" spans="1:40" x14ac:dyDescent="0.25">
      <c r="A109" s="32">
        <v>22602538</v>
      </c>
      <c r="B109" s="32" t="s">
        <v>990</v>
      </c>
      <c r="C109" s="32" t="s">
        <v>991</v>
      </c>
      <c r="D109" s="32" t="s">
        <v>992</v>
      </c>
      <c r="E109" s="32" t="s">
        <v>993</v>
      </c>
      <c r="F109" s="32" t="s">
        <v>993</v>
      </c>
      <c r="G109" s="40">
        <v>46049</v>
      </c>
      <c r="H109" s="40">
        <v>46176</v>
      </c>
      <c r="I109" s="40">
        <v>46112</v>
      </c>
      <c r="J109" s="32" t="s">
        <v>37</v>
      </c>
      <c r="K109" s="32">
        <v>46177</v>
      </c>
      <c r="L109" s="32">
        <v>525410</v>
      </c>
      <c r="M109" s="32">
        <v>525410</v>
      </c>
      <c r="N109" s="32">
        <v>525410</v>
      </c>
      <c r="O109" s="32">
        <v>205.88</v>
      </c>
      <c r="P109" s="32">
        <v>13283</v>
      </c>
      <c r="Q109" s="32" t="s">
        <v>48</v>
      </c>
      <c r="R109" s="32" t="s">
        <v>1276</v>
      </c>
      <c r="S109" s="32" t="s">
        <v>45</v>
      </c>
      <c r="T109" s="32" t="s">
        <v>997</v>
      </c>
      <c r="U109" s="32">
        <v>85747</v>
      </c>
      <c r="V109" s="32">
        <v>32.117103</v>
      </c>
      <c r="W109" s="32">
        <v>-110.71466100000001</v>
      </c>
      <c r="X109" s="32">
        <v>2552</v>
      </c>
      <c r="Y109" s="32">
        <v>2026</v>
      </c>
      <c r="Z109" s="32">
        <v>5</v>
      </c>
      <c r="AA109" s="32">
        <v>3</v>
      </c>
      <c r="AB109" s="32" t="s">
        <v>510</v>
      </c>
      <c r="AC109" s="32" t="s">
        <v>998</v>
      </c>
      <c r="AD109" s="32" t="s">
        <v>1363</v>
      </c>
      <c r="AE109" s="32" t="s">
        <v>1364</v>
      </c>
      <c r="AF109" s="32" t="s">
        <v>1365</v>
      </c>
      <c r="AG109" s="32" t="s">
        <v>1002</v>
      </c>
      <c r="AH109" s="32" t="s">
        <v>1003</v>
      </c>
      <c r="AI109" s="32" t="str">
        <f t="shared" si="2"/>
        <v/>
      </c>
      <c r="AJ109" s="32">
        <v>6875</v>
      </c>
      <c r="AK109" s="32" t="s">
        <v>1004</v>
      </c>
      <c r="AL109" s="32">
        <v>63</v>
      </c>
      <c r="AM109" s="32" t="s">
        <v>1776</v>
      </c>
      <c r="AN109" s="41">
        <f t="shared" si="3"/>
        <v>3</v>
      </c>
    </row>
    <row r="110" spans="1:40" x14ac:dyDescent="0.25">
      <c r="A110" s="32">
        <v>22602547</v>
      </c>
      <c r="B110" s="32" t="s">
        <v>1025</v>
      </c>
      <c r="C110" s="32" t="s">
        <v>1026</v>
      </c>
      <c r="D110" s="32" t="s">
        <v>1027</v>
      </c>
      <c r="E110" s="32" t="s">
        <v>993</v>
      </c>
      <c r="F110" s="32" t="s">
        <v>993</v>
      </c>
      <c r="G110" s="40">
        <v>46049</v>
      </c>
      <c r="H110" s="40">
        <v>46142</v>
      </c>
      <c r="I110" s="40">
        <v>46111</v>
      </c>
      <c r="J110" s="32" t="s">
        <v>37</v>
      </c>
      <c r="K110" s="32">
        <v>46142</v>
      </c>
      <c r="L110" s="32">
        <v>453990</v>
      </c>
      <c r="M110" s="32">
        <v>434990</v>
      </c>
      <c r="N110" s="32">
        <v>434990</v>
      </c>
      <c r="O110" s="32">
        <v>203.74</v>
      </c>
      <c r="P110" s="32">
        <v>8231</v>
      </c>
      <c r="Q110" s="32" t="s">
        <v>38</v>
      </c>
      <c r="R110" s="32" t="s">
        <v>1028</v>
      </c>
      <c r="S110" s="32" t="s">
        <v>1029</v>
      </c>
      <c r="T110" s="32" t="s">
        <v>997</v>
      </c>
      <c r="U110" s="32">
        <v>85641</v>
      </c>
      <c r="V110" s="32">
        <v>32.099764</v>
      </c>
      <c r="W110" s="32">
        <v>-110.71841999999999</v>
      </c>
      <c r="X110" s="32">
        <v>2135</v>
      </c>
      <c r="Y110" s="32">
        <v>2025</v>
      </c>
      <c r="Z110" s="32">
        <v>4</v>
      </c>
      <c r="AA110" s="32">
        <v>2</v>
      </c>
      <c r="AB110" s="32" t="s">
        <v>510</v>
      </c>
      <c r="AC110" s="32" t="s">
        <v>998</v>
      </c>
      <c r="AD110" s="32" t="s">
        <v>1366</v>
      </c>
      <c r="AE110" s="32" t="s">
        <v>1129</v>
      </c>
      <c r="AF110" s="32" t="s">
        <v>1367</v>
      </c>
      <c r="AG110" s="32" t="s">
        <v>1033</v>
      </c>
      <c r="AH110" s="32" t="s">
        <v>1003</v>
      </c>
      <c r="AI110" s="32" t="str">
        <f t="shared" si="2"/>
        <v>Traverse C</v>
      </c>
      <c r="AJ110" s="32">
        <v>6875</v>
      </c>
      <c r="AK110" s="32" t="s">
        <v>1034</v>
      </c>
      <c r="AL110" s="36">
        <v>62</v>
      </c>
      <c r="AM110" s="30" t="s">
        <v>1777</v>
      </c>
      <c r="AN110" s="41">
        <f t="shared" si="3"/>
        <v>3</v>
      </c>
    </row>
    <row r="111" spans="1:40" x14ac:dyDescent="0.25">
      <c r="A111" s="32">
        <v>22602663</v>
      </c>
      <c r="B111" s="32" t="s">
        <v>1076</v>
      </c>
      <c r="C111" s="32" t="s">
        <v>1077</v>
      </c>
      <c r="D111" s="32" t="s">
        <v>1078</v>
      </c>
      <c r="E111" s="32" t="s">
        <v>993</v>
      </c>
      <c r="F111" s="32" t="s">
        <v>993</v>
      </c>
      <c r="G111" s="40">
        <v>46050</v>
      </c>
      <c r="H111" s="40">
        <v>46094</v>
      </c>
      <c r="I111" s="40">
        <v>46072</v>
      </c>
      <c r="J111" s="32" t="s">
        <v>37</v>
      </c>
      <c r="K111" s="32">
        <v>46097</v>
      </c>
      <c r="L111" s="32">
        <v>509990</v>
      </c>
      <c r="M111" s="32">
        <v>499990</v>
      </c>
      <c r="N111" s="32">
        <v>464010</v>
      </c>
      <c r="O111" s="32">
        <v>253.28</v>
      </c>
      <c r="P111" s="32">
        <v>8245</v>
      </c>
      <c r="Q111" s="32" t="s">
        <v>38</v>
      </c>
      <c r="R111" s="32" t="s">
        <v>1102</v>
      </c>
      <c r="S111" s="32" t="s">
        <v>45</v>
      </c>
      <c r="T111" s="32" t="s">
        <v>997</v>
      </c>
      <c r="U111" s="32">
        <v>85747</v>
      </c>
      <c r="V111" s="32">
        <v>32.101846000000002</v>
      </c>
      <c r="W111" s="32">
        <v>-110.70150700000001</v>
      </c>
      <c r="X111" s="32">
        <v>1832</v>
      </c>
      <c r="Y111" s="32">
        <v>2026</v>
      </c>
      <c r="Z111" s="32">
        <v>2</v>
      </c>
      <c r="AA111" s="32">
        <v>2</v>
      </c>
      <c r="AB111" s="32" t="s">
        <v>510</v>
      </c>
      <c r="AC111" s="32" t="s">
        <v>998</v>
      </c>
      <c r="AD111" s="32" t="s">
        <v>1368</v>
      </c>
      <c r="AE111" s="32" t="s">
        <v>1369</v>
      </c>
      <c r="AF111" s="32" t="s">
        <v>1370</v>
      </c>
      <c r="AG111" s="32" t="s">
        <v>1083</v>
      </c>
      <c r="AH111" s="32" t="s">
        <v>1003</v>
      </c>
      <c r="AI111" s="32" t="str">
        <f t="shared" si="2"/>
        <v>Sanctuary</v>
      </c>
      <c r="AJ111" s="32">
        <v>6464</v>
      </c>
      <c r="AK111" s="32" t="s">
        <v>1084</v>
      </c>
      <c r="AL111" s="32">
        <v>22</v>
      </c>
      <c r="AM111" s="32" t="s">
        <v>1778</v>
      </c>
      <c r="AN111" s="41">
        <f t="shared" si="3"/>
        <v>3</v>
      </c>
    </row>
    <row r="112" spans="1:40" x14ac:dyDescent="0.25">
      <c r="A112" s="32">
        <v>22602990</v>
      </c>
      <c r="B112" s="32" t="s">
        <v>1035</v>
      </c>
      <c r="C112" s="32" t="s">
        <v>1036</v>
      </c>
      <c r="D112" s="32" t="s">
        <v>1037</v>
      </c>
      <c r="E112" s="32" t="s">
        <v>993</v>
      </c>
      <c r="F112" s="32" t="s">
        <v>993</v>
      </c>
      <c r="G112" s="40">
        <v>46053</v>
      </c>
      <c r="H112" s="40" t="s">
        <v>994</v>
      </c>
      <c r="I112" s="40" t="s">
        <v>994</v>
      </c>
      <c r="J112" s="32" t="s">
        <v>995</v>
      </c>
      <c r="K112" s="32">
        <v>46053</v>
      </c>
      <c r="L112" s="32">
        <v>442540</v>
      </c>
      <c r="M112" s="32">
        <v>412900</v>
      </c>
      <c r="O112" s="32" t="s">
        <v>994</v>
      </c>
      <c r="P112" s="32">
        <v>14114</v>
      </c>
      <c r="Q112" s="32" t="s">
        <v>48</v>
      </c>
      <c r="R112" s="32" t="s">
        <v>1039</v>
      </c>
      <c r="S112" s="32" t="s">
        <v>1029</v>
      </c>
      <c r="T112" s="32" t="s">
        <v>997</v>
      </c>
      <c r="U112" s="32">
        <v>85641</v>
      </c>
      <c r="V112" s="32">
        <v>32.090167999999998</v>
      </c>
      <c r="W112" s="32">
        <v>-110.69149299999999</v>
      </c>
      <c r="X112" s="32">
        <v>1815</v>
      </c>
      <c r="Y112" s="32">
        <v>2026</v>
      </c>
      <c r="Z112" s="32">
        <v>4</v>
      </c>
      <c r="AA112" s="32">
        <v>2</v>
      </c>
      <c r="AB112" s="32" t="s">
        <v>510</v>
      </c>
      <c r="AC112" s="32" t="s">
        <v>998</v>
      </c>
      <c r="AD112" s="32" t="s">
        <v>1371</v>
      </c>
      <c r="AE112" s="32" t="s">
        <v>1065</v>
      </c>
      <c r="AF112" s="32" t="s">
        <v>1372</v>
      </c>
      <c r="AG112" s="32" t="s">
        <v>1043</v>
      </c>
      <c r="AH112" s="32" t="s">
        <v>1003</v>
      </c>
      <c r="AI112" s="32" t="str">
        <f t="shared" si="2"/>
        <v/>
      </c>
      <c r="AJ112" s="32">
        <v>5178</v>
      </c>
      <c r="AK112" s="32" t="s">
        <v>1044</v>
      </c>
      <c r="AL112" s="36">
        <v>124</v>
      </c>
      <c r="AM112" s="30" t="s">
        <v>1779</v>
      </c>
      <c r="AN112" s="41">
        <f t="shared" si="3"/>
        <v>1</v>
      </c>
    </row>
    <row r="113" spans="1:40" x14ac:dyDescent="0.25">
      <c r="A113" s="32">
        <v>22603084</v>
      </c>
      <c r="B113" s="32" t="s">
        <v>1035</v>
      </c>
      <c r="C113" s="32" t="s">
        <v>1036</v>
      </c>
      <c r="D113" s="32" t="s">
        <v>1037</v>
      </c>
      <c r="E113" s="32" t="s">
        <v>993</v>
      </c>
      <c r="F113" s="32" t="s">
        <v>993</v>
      </c>
      <c r="G113" s="40">
        <v>46055</v>
      </c>
      <c r="H113" s="40" t="s">
        <v>994</v>
      </c>
      <c r="I113" s="40">
        <v>46129</v>
      </c>
      <c r="J113" s="32" t="s">
        <v>1038</v>
      </c>
      <c r="K113" s="32">
        <v>46130</v>
      </c>
      <c r="L113" s="32">
        <v>465070</v>
      </c>
      <c r="M113" s="32">
        <v>388900</v>
      </c>
      <c r="O113" s="32" t="s">
        <v>994</v>
      </c>
      <c r="P113" s="32">
        <v>14108</v>
      </c>
      <c r="Q113" s="32" t="s">
        <v>48</v>
      </c>
      <c r="R113" s="32" t="s">
        <v>1039</v>
      </c>
      <c r="S113" s="32" t="s">
        <v>1029</v>
      </c>
      <c r="T113" s="32" t="s">
        <v>997</v>
      </c>
      <c r="U113" s="32">
        <v>85641</v>
      </c>
      <c r="V113" s="32">
        <v>32.090277999999998</v>
      </c>
      <c r="W113" s="32">
        <v>-110.69173600000001</v>
      </c>
      <c r="X113" s="32">
        <v>1768</v>
      </c>
      <c r="Y113" s="32">
        <v>2026</v>
      </c>
      <c r="Z113" s="32">
        <v>4</v>
      </c>
      <c r="AA113" s="32">
        <v>3</v>
      </c>
      <c r="AB113" s="32" t="s">
        <v>510</v>
      </c>
      <c r="AC113" s="32" t="s">
        <v>998</v>
      </c>
      <c r="AD113" s="32" t="s">
        <v>1373</v>
      </c>
      <c r="AE113" s="32" t="s">
        <v>1170</v>
      </c>
      <c r="AF113" s="32" t="s">
        <v>1374</v>
      </c>
      <c r="AG113" s="32" t="s">
        <v>1043</v>
      </c>
      <c r="AH113" s="32" t="s">
        <v>1003</v>
      </c>
      <c r="AI113" s="32" t="str">
        <f t="shared" si="2"/>
        <v/>
      </c>
      <c r="AJ113" s="32">
        <v>5603</v>
      </c>
      <c r="AK113" s="32" t="s">
        <v>1044</v>
      </c>
      <c r="AL113" s="36">
        <v>75</v>
      </c>
      <c r="AM113" s="30" t="s">
        <v>1780</v>
      </c>
      <c r="AN113" s="41">
        <f t="shared" si="3"/>
        <v>2</v>
      </c>
    </row>
    <row r="114" spans="1:40" x14ac:dyDescent="0.25">
      <c r="A114" s="32">
        <v>22603436</v>
      </c>
      <c r="B114" s="32" t="s">
        <v>1222</v>
      </c>
      <c r="C114" s="32" t="s">
        <v>1223</v>
      </c>
      <c r="D114" s="32" t="s">
        <v>1224</v>
      </c>
      <c r="E114" s="32" t="s">
        <v>993</v>
      </c>
      <c r="F114" s="32" t="s">
        <v>993</v>
      </c>
      <c r="G114" s="40">
        <v>46058</v>
      </c>
      <c r="H114" s="40">
        <v>46059</v>
      </c>
      <c r="I114" s="40">
        <v>46058</v>
      </c>
      <c r="J114" s="32" t="s">
        <v>37</v>
      </c>
      <c r="K114" s="32">
        <v>46059</v>
      </c>
      <c r="L114" s="32">
        <v>473217</v>
      </c>
      <c r="M114" s="32">
        <v>473217</v>
      </c>
      <c r="N114" s="32">
        <v>473217</v>
      </c>
      <c r="O114" s="32">
        <v>207.01</v>
      </c>
      <c r="P114" s="32">
        <v>13910</v>
      </c>
      <c r="Q114" s="32" t="s">
        <v>48</v>
      </c>
      <c r="R114" s="32" t="s">
        <v>1039</v>
      </c>
      <c r="S114" s="32" t="s">
        <v>1029</v>
      </c>
      <c r="T114" s="32" t="s">
        <v>997</v>
      </c>
      <c r="U114" s="32">
        <v>85641</v>
      </c>
      <c r="V114" s="32">
        <v>32.092449999999999</v>
      </c>
      <c r="W114" s="32">
        <v>-110.695746</v>
      </c>
      <c r="X114" s="32">
        <v>2286</v>
      </c>
      <c r="Y114" s="32">
        <v>2025</v>
      </c>
      <c r="Z114" s="32">
        <v>4</v>
      </c>
      <c r="AA114" s="32">
        <v>3</v>
      </c>
      <c r="AB114" s="32" t="s">
        <v>510</v>
      </c>
      <c r="AC114" s="32" t="s">
        <v>1008</v>
      </c>
      <c r="AD114" s="32" t="s">
        <v>1375</v>
      </c>
      <c r="AE114" s="32" t="s">
        <v>1376</v>
      </c>
      <c r="AF114" s="32" t="s">
        <v>1377</v>
      </c>
      <c r="AG114" s="32" t="s">
        <v>1229</v>
      </c>
      <c r="AH114" s="32" t="s">
        <v>1056</v>
      </c>
      <c r="AI114" s="32" t="str">
        <f t="shared" si="2"/>
        <v>Sienna</v>
      </c>
      <c r="AJ114" s="32">
        <v>9784</v>
      </c>
      <c r="AK114" s="32" t="s">
        <v>1044</v>
      </c>
      <c r="AL114" s="32">
        <v>0</v>
      </c>
      <c r="AM114" s="32" t="s">
        <v>1781</v>
      </c>
      <c r="AN114" s="41">
        <f t="shared" si="3"/>
        <v>3</v>
      </c>
    </row>
    <row r="115" spans="1:40" x14ac:dyDescent="0.25">
      <c r="A115" s="32">
        <v>22603731</v>
      </c>
      <c r="B115" s="32" t="s">
        <v>1025</v>
      </c>
      <c r="C115" s="32" t="s">
        <v>1026</v>
      </c>
      <c r="D115" s="32" t="s">
        <v>1027</v>
      </c>
      <c r="E115" s="32" t="s">
        <v>993</v>
      </c>
      <c r="F115" s="32" t="s">
        <v>993</v>
      </c>
      <c r="G115" s="40">
        <v>46062</v>
      </c>
      <c r="H115" s="40">
        <v>46133</v>
      </c>
      <c r="I115" s="40">
        <v>46092</v>
      </c>
      <c r="J115" s="32" t="s">
        <v>37</v>
      </c>
      <c r="K115" s="32">
        <v>46133</v>
      </c>
      <c r="L115" s="32">
        <v>389990</v>
      </c>
      <c r="M115" s="32">
        <v>378040</v>
      </c>
      <c r="N115" s="32">
        <v>378040</v>
      </c>
      <c r="O115" s="32">
        <v>200.23</v>
      </c>
      <c r="P115" s="32">
        <v>8814</v>
      </c>
      <c r="Q115" s="32" t="s">
        <v>38</v>
      </c>
      <c r="R115" s="32" t="s">
        <v>1213</v>
      </c>
      <c r="S115" s="32" t="s">
        <v>1029</v>
      </c>
      <c r="T115" s="32" t="s">
        <v>997</v>
      </c>
      <c r="U115" s="32">
        <v>85641</v>
      </c>
      <c r="V115" s="32">
        <v>32.096716999999998</v>
      </c>
      <c r="W115" s="32">
        <v>-110.693977</v>
      </c>
      <c r="X115" s="32">
        <v>1888</v>
      </c>
      <c r="Y115" s="32">
        <v>2025</v>
      </c>
      <c r="Z115" s="32">
        <v>4</v>
      </c>
      <c r="AA115" s="32">
        <v>3</v>
      </c>
      <c r="AB115" s="32" t="s">
        <v>510</v>
      </c>
      <c r="AC115" s="32" t="s">
        <v>1008</v>
      </c>
      <c r="AD115" s="32" t="s">
        <v>1378</v>
      </c>
      <c r="AE115" s="32" t="s">
        <v>1140</v>
      </c>
      <c r="AF115" s="32" t="s">
        <v>1379</v>
      </c>
      <c r="AG115" s="32" t="s">
        <v>1033</v>
      </c>
      <c r="AH115" s="32" t="s">
        <v>1003</v>
      </c>
      <c r="AI115" s="32" t="str">
        <f t="shared" si="2"/>
        <v>Gwen A</v>
      </c>
      <c r="AJ115" s="32">
        <v>5560</v>
      </c>
      <c r="AK115" s="32" t="s">
        <v>1072</v>
      </c>
      <c r="AL115" s="36">
        <v>31</v>
      </c>
      <c r="AM115" s="30" t="s">
        <v>1782</v>
      </c>
      <c r="AN115" s="41">
        <f t="shared" si="3"/>
        <v>3</v>
      </c>
    </row>
    <row r="116" spans="1:40" x14ac:dyDescent="0.25">
      <c r="A116" s="32">
        <v>22603746</v>
      </c>
      <c r="B116" s="32" t="s">
        <v>1222</v>
      </c>
      <c r="C116" s="32" t="s">
        <v>1223</v>
      </c>
      <c r="D116" s="32" t="s">
        <v>1224</v>
      </c>
      <c r="E116" s="32" t="s">
        <v>993</v>
      </c>
      <c r="F116" s="32" t="s">
        <v>993</v>
      </c>
      <c r="G116" s="40">
        <v>46062</v>
      </c>
      <c r="H116" s="40">
        <v>46082</v>
      </c>
      <c r="I116" s="40">
        <v>46072</v>
      </c>
      <c r="J116" s="32" t="s">
        <v>37</v>
      </c>
      <c r="K116" s="32">
        <v>46101</v>
      </c>
      <c r="L116" s="32">
        <v>409119</v>
      </c>
      <c r="M116" s="32">
        <v>409119</v>
      </c>
      <c r="N116" s="32">
        <v>409119</v>
      </c>
      <c r="O116" s="32">
        <v>235.8</v>
      </c>
      <c r="P116" s="32">
        <v>13920</v>
      </c>
      <c r="Q116" s="32" t="s">
        <v>48</v>
      </c>
      <c r="R116" s="32" t="s">
        <v>1039</v>
      </c>
      <c r="S116" s="32" t="s">
        <v>1029</v>
      </c>
      <c r="T116" s="32" t="s">
        <v>997</v>
      </c>
      <c r="U116" s="32">
        <v>85641</v>
      </c>
      <c r="V116" s="32">
        <v>32.092365999999998</v>
      </c>
      <c r="W116" s="32">
        <v>-110.695555</v>
      </c>
      <c r="X116" s="32">
        <v>1735</v>
      </c>
      <c r="Y116" s="32">
        <v>2025</v>
      </c>
      <c r="Z116" s="32">
        <v>3</v>
      </c>
      <c r="AA116" s="32">
        <v>2</v>
      </c>
      <c r="AB116" s="32" t="s">
        <v>510</v>
      </c>
      <c r="AC116" s="32" t="s">
        <v>998</v>
      </c>
      <c r="AD116" s="32" t="s">
        <v>1380</v>
      </c>
      <c r="AE116" s="32" t="s">
        <v>1381</v>
      </c>
      <c r="AF116" s="32" t="s">
        <v>1382</v>
      </c>
      <c r="AG116" s="32" t="s">
        <v>1229</v>
      </c>
      <c r="AH116" s="32" t="s">
        <v>1056</v>
      </c>
      <c r="AI116" s="32" t="str">
        <f t="shared" si="2"/>
        <v>Brandy</v>
      </c>
      <c r="AJ116" s="32">
        <v>5180</v>
      </c>
      <c r="AK116" s="32" t="s">
        <v>1044</v>
      </c>
      <c r="AL116" s="32">
        <v>10</v>
      </c>
      <c r="AM116" s="32" t="s">
        <v>1783</v>
      </c>
      <c r="AN116" s="41">
        <f t="shared" si="3"/>
        <v>3</v>
      </c>
    </row>
    <row r="117" spans="1:40" x14ac:dyDescent="0.25">
      <c r="A117" s="32">
        <v>22603750</v>
      </c>
      <c r="B117" s="32" t="s">
        <v>1222</v>
      </c>
      <c r="C117" s="32" t="s">
        <v>1223</v>
      </c>
      <c r="D117" s="32" t="s">
        <v>1224</v>
      </c>
      <c r="E117" s="32" t="s">
        <v>993</v>
      </c>
      <c r="F117" s="32" t="s">
        <v>993</v>
      </c>
      <c r="G117" s="40">
        <v>46062</v>
      </c>
      <c r="H117" s="40">
        <v>46094</v>
      </c>
      <c r="I117" s="40">
        <v>46065</v>
      </c>
      <c r="J117" s="32" t="s">
        <v>37</v>
      </c>
      <c r="K117" s="32">
        <v>46094</v>
      </c>
      <c r="L117" s="32">
        <v>449550</v>
      </c>
      <c r="M117" s="32">
        <v>449550</v>
      </c>
      <c r="N117" s="32">
        <v>449550</v>
      </c>
      <c r="O117" s="32">
        <v>196.65</v>
      </c>
      <c r="P117" s="32">
        <v>14027</v>
      </c>
      <c r="Q117" s="32" t="s">
        <v>48</v>
      </c>
      <c r="R117" s="32" t="s">
        <v>1225</v>
      </c>
      <c r="S117" s="32" t="s">
        <v>1029</v>
      </c>
      <c r="T117" s="32" t="s">
        <v>997</v>
      </c>
      <c r="U117" s="32">
        <v>85641</v>
      </c>
      <c r="V117" s="32">
        <v>32.091205000000002</v>
      </c>
      <c r="W117" s="32">
        <v>-110.69331200000001</v>
      </c>
      <c r="X117" s="32">
        <v>2286</v>
      </c>
      <c r="Y117" s="32">
        <v>2025</v>
      </c>
      <c r="Z117" s="32">
        <v>4</v>
      </c>
      <c r="AA117" s="32">
        <v>3</v>
      </c>
      <c r="AB117" s="32" t="s">
        <v>510</v>
      </c>
      <c r="AC117" s="32" t="s">
        <v>1008</v>
      </c>
      <c r="AD117" s="32" t="s">
        <v>1383</v>
      </c>
      <c r="AE117" s="32" t="s">
        <v>1384</v>
      </c>
      <c r="AF117" s="32" t="s">
        <v>1385</v>
      </c>
      <c r="AG117" s="32" t="s">
        <v>1229</v>
      </c>
      <c r="AH117" s="32" t="s">
        <v>1056</v>
      </c>
      <c r="AI117" s="32" t="str">
        <f t="shared" si="2"/>
        <v>Sienna</v>
      </c>
      <c r="AJ117" s="32">
        <v>5677</v>
      </c>
      <c r="AK117" s="32" t="s">
        <v>1044</v>
      </c>
      <c r="AL117" s="36">
        <v>4</v>
      </c>
      <c r="AM117" s="30" t="s">
        <v>1784</v>
      </c>
      <c r="AN117" s="41">
        <f t="shared" si="3"/>
        <v>3</v>
      </c>
    </row>
    <row r="118" spans="1:40" x14ac:dyDescent="0.25">
      <c r="A118" s="32">
        <v>22603754</v>
      </c>
      <c r="B118" s="32" t="s">
        <v>1222</v>
      </c>
      <c r="C118" s="32" t="s">
        <v>1223</v>
      </c>
      <c r="D118" s="32" t="s">
        <v>1224</v>
      </c>
      <c r="E118" s="32" t="s">
        <v>993</v>
      </c>
      <c r="F118" s="32" t="s">
        <v>993</v>
      </c>
      <c r="G118" s="40">
        <v>46062</v>
      </c>
      <c r="H118" s="40">
        <v>46111</v>
      </c>
      <c r="I118" s="40">
        <v>46066</v>
      </c>
      <c r="J118" s="32" t="s">
        <v>37</v>
      </c>
      <c r="K118" s="32">
        <v>46111</v>
      </c>
      <c r="L118" s="32">
        <v>389568</v>
      </c>
      <c r="M118" s="32">
        <v>389568</v>
      </c>
      <c r="N118" s="32">
        <v>379000</v>
      </c>
      <c r="O118" s="32">
        <v>218.44</v>
      </c>
      <c r="P118" s="32">
        <v>13992</v>
      </c>
      <c r="Q118" s="32" t="s">
        <v>48</v>
      </c>
      <c r="R118" s="32" t="s">
        <v>1386</v>
      </c>
      <c r="S118" s="32" t="s">
        <v>1029</v>
      </c>
      <c r="T118" s="32" t="s">
        <v>997</v>
      </c>
      <c r="U118" s="32">
        <v>85641</v>
      </c>
      <c r="V118" s="32">
        <v>32.091537000000002</v>
      </c>
      <c r="W118" s="32">
        <v>-110.69409899999999</v>
      </c>
      <c r="X118" s="32">
        <v>1735</v>
      </c>
      <c r="Y118" s="32">
        <v>2025</v>
      </c>
      <c r="Z118" s="32">
        <v>3</v>
      </c>
      <c r="AA118" s="32">
        <v>2</v>
      </c>
      <c r="AB118" s="32" t="s">
        <v>510</v>
      </c>
      <c r="AC118" s="32" t="s">
        <v>998</v>
      </c>
      <c r="AD118" s="32" t="s">
        <v>1387</v>
      </c>
      <c r="AE118" s="32" t="s">
        <v>1388</v>
      </c>
      <c r="AF118" s="32" t="s">
        <v>1389</v>
      </c>
      <c r="AG118" s="32" t="s">
        <v>1229</v>
      </c>
      <c r="AH118" s="32" t="s">
        <v>1056</v>
      </c>
      <c r="AI118" s="32" t="str">
        <f t="shared" si="2"/>
        <v>Brandy</v>
      </c>
      <c r="AJ118" s="32">
        <v>5430</v>
      </c>
      <c r="AK118" s="32" t="s">
        <v>1044</v>
      </c>
      <c r="AL118" s="36">
        <v>4</v>
      </c>
      <c r="AM118" s="30" t="s">
        <v>1785</v>
      </c>
      <c r="AN118" s="41">
        <f t="shared" si="3"/>
        <v>3</v>
      </c>
    </row>
    <row r="119" spans="1:40" x14ac:dyDescent="0.25">
      <c r="A119" s="32">
        <v>22604296</v>
      </c>
      <c r="B119" s="32" t="s">
        <v>1035</v>
      </c>
      <c r="C119" s="32" t="s">
        <v>1036</v>
      </c>
      <c r="D119" s="32" t="s">
        <v>1037</v>
      </c>
      <c r="E119" s="32" t="s">
        <v>993</v>
      </c>
      <c r="F119" s="32" t="s">
        <v>993</v>
      </c>
      <c r="G119" s="40">
        <v>46067</v>
      </c>
      <c r="H119" s="40" t="s">
        <v>994</v>
      </c>
      <c r="I119" s="40" t="s">
        <v>994</v>
      </c>
      <c r="J119" s="32" t="s">
        <v>995</v>
      </c>
      <c r="K119" s="32">
        <v>46067</v>
      </c>
      <c r="L119" s="32">
        <v>448865</v>
      </c>
      <c r="M119" s="32">
        <v>408900</v>
      </c>
      <c r="N119" s="42"/>
      <c r="O119" s="32" t="s">
        <v>994</v>
      </c>
      <c r="P119" s="32">
        <v>870</v>
      </c>
      <c r="Q119" s="32" t="s">
        <v>706</v>
      </c>
      <c r="R119" s="32" t="s">
        <v>1390</v>
      </c>
      <c r="S119" s="32" t="s">
        <v>708</v>
      </c>
      <c r="T119" s="32" t="s">
        <v>997</v>
      </c>
      <c r="U119" s="32">
        <v>85614</v>
      </c>
      <c r="V119" s="32">
        <v>31.883208</v>
      </c>
      <c r="W119" s="32">
        <v>-111.006557</v>
      </c>
      <c r="X119" s="32">
        <v>1863</v>
      </c>
      <c r="Y119" s="32">
        <v>2026</v>
      </c>
      <c r="Z119" s="32">
        <v>2</v>
      </c>
      <c r="AA119" s="32">
        <v>3</v>
      </c>
      <c r="AB119" s="32" t="s">
        <v>510</v>
      </c>
      <c r="AC119" s="32" t="s">
        <v>998</v>
      </c>
      <c r="AD119" s="32" t="s">
        <v>1391</v>
      </c>
      <c r="AE119" s="32" t="s">
        <v>1392</v>
      </c>
      <c r="AF119" s="32">
        <v>304790640</v>
      </c>
      <c r="AG119" s="32" t="s">
        <v>1393</v>
      </c>
      <c r="AH119" s="32" t="s">
        <v>1003</v>
      </c>
      <c r="AI119" s="32" t="str">
        <f t="shared" si="2"/>
        <v>York</v>
      </c>
      <c r="AJ119" s="32">
        <v>6800</v>
      </c>
      <c r="AK119" s="32" t="s">
        <v>1394</v>
      </c>
      <c r="AL119" s="36">
        <v>110</v>
      </c>
      <c r="AM119" s="30" t="s">
        <v>1786</v>
      </c>
      <c r="AN119" s="41">
        <f t="shared" si="3"/>
        <v>1</v>
      </c>
    </row>
    <row r="120" spans="1:40" x14ac:dyDescent="0.25">
      <c r="A120" s="32">
        <v>22604441</v>
      </c>
      <c r="B120" s="32" t="s">
        <v>1222</v>
      </c>
      <c r="C120" s="32" t="s">
        <v>1223</v>
      </c>
      <c r="D120" s="32" t="s">
        <v>1224</v>
      </c>
      <c r="E120" s="32" t="s">
        <v>993</v>
      </c>
      <c r="F120" s="32" t="s">
        <v>993</v>
      </c>
      <c r="G120" s="40">
        <v>46070</v>
      </c>
      <c r="H120" s="40">
        <v>46147</v>
      </c>
      <c r="I120" s="40">
        <v>46109</v>
      </c>
      <c r="J120" s="32" t="s">
        <v>37</v>
      </c>
      <c r="K120" s="32">
        <v>46147</v>
      </c>
      <c r="L120" s="32">
        <v>418519</v>
      </c>
      <c r="M120" s="32">
        <v>422519</v>
      </c>
      <c r="N120" s="32">
        <v>422519</v>
      </c>
      <c r="O120" s="32">
        <v>232.79</v>
      </c>
      <c r="P120" s="32">
        <v>13951</v>
      </c>
      <c r="Q120" s="32" t="s">
        <v>48</v>
      </c>
      <c r="R120" s="32" t="s">
        <v>1386</v>
      </c>
      <c r="S120" s="32" t="s">
        <v>1029</v>
      </c>
      <c r="T120" s="32" t="s">
        <v>997</v>
      </c>
      <c r="U120" s="32">
        <v>85641</v>
      </c>
      <c r="V120" s="32">
        <v>32.091980999999997</v>
      </c>
      <c r="W120" s="32">
        <v>-110.694861</v>
      </c>
      <c r="X120" s="32">
        <v>1815</v>
      </c>
      <c r="Y120" s="32">
        <v>2025</v>
      </c>
      <c r="Z120" s="32">
        <v>3</v>
      </c>
      <c r="AA120" s="32">
        <v>2</v>
      </c>
      <c r="AB120" s="32" t="s">
        <v>510</v>
      </c>
      <c r="AC120" s="32" t="s">
        <v>998</v>
      </c>
      <c r="AD120" s="32" t="s">
        <v>1395</v>
      </c>
      <c r="AE120" s="32" t="s">
        <v>1396</v>
      </c>
      <c r="AF120" s="32" t="s">
        <v>1397</v>
      </c>
      <c r="AG120" s="32" t="s">
        <v>1229</v>
      </c>
      <c r="AH120" s="32" t="s">
        <v>1056</v>
      </c>
      <c r="AI120" s="32" t="str">
        <f t="shared" ref="AI120:AI145" si="4">IFERROR(_xlfn.TEXTBEFORE(_xlfn.TEXTAFTER(AM120,"Construction|Model Name|"),";"),"")</f>
        <v>Copper</v>
      </c>
      <c r="AJ120" s="32">
        <v>6659</v>
      </c>
      <c r="AK120" s="32" t="s">
        <v>1044</v>
      </c>
      <c r="AL120" s="36">
        <v>41</v>
      </c>
      <c r="AM120" s="30" t="s">
        <v>1787</v>
      </c>
      <c r="AN120" s="41">
        <f t="shared" si="3"/>
        <v>3</v>
      </c>
    </row>
    <row r="121" spans="1:40" x14ac:dyDescent="0.25">
      <c r="A121" s="32">
        <v>22604474</v>
      </c>
      <c r="B121" s="32" t="s">
        <v>1222</v>
      </c>
      <c r="C121" s="32" t="s">
        <v>1223</v>
      </c>
      <c r="D121" s="32" t="s">
        <v>1224</v>
      </c>
      <c r="E121" s="32" t="s">
        <v>993</v>
      </c>
      <c r="F121" s="32" t="s">
        <v>993</v>
      </c>
      <c r="G121" s="40">
        <v>46070</v>
      </c>
      <c r="H121" s="40">
        <v>46070</v>
      </c>
      <c r="I121" s="40">
        <v>46070</v>
      </c>
      <c r="J121" s="32" t="s">
        <v>37</v>
      </c>
      <c r="K121" s="32">
        <v>46070</v>
      </c>
      <c r="L121" s="32">
        <v>429798</v>
      </c>
      <c r="M121" s="32">
        <v>429798</v>
      </c>
      <c r="N121" s="32">
        <v>429798</v>
      </c>
      <c r="O121" s="32">
        <v>236.8</v>
      </c>
      <c r="P121" s="32">
        <v>13900</v>
      </c>
      <c r="Q121" s="32" t="s">
        <v>48</v>
      </c>
      <c r="R121" s="32" t="s">
        <v>1039</v>
      </c>
      <c r="S121" s="32" t="s">
        <v>1029</v>
      </c>
      <c r="T121" s="32" t="s">
        <v>997</v>
      </c>
      <c r="U121" s="32">
        <v>85641</v>
      </c>
      <c r="V121" s="32">
        <v>32.092668000000003</v>
      </c>
      <c r="W121" s="32">
        <v>-110.695803</v>
      </c>
      <c r="X121" s="32">
        <v>1815</v>
      </c>
      <c r="Y121" s="32">
        <v>2026</v>
      </c>
      <c r="Z121" s="32">
        <v>3</v>
      </c>
      <c r="AA121" s="32">
        <v>2</v>
      </c>
      <c r="AB121" s="32" t="s">
        <v>510</v>
      </c>
      <c r="AC121" s="32" t="s">
        <v>998</v>
      </c>
      <c r="AD121" s="32" t="s">
        <v>1398</v>
      </c>
      <c r="AE121" s="32" t="s">
        <v>1399</v>
      </c>
      <c r="AF121" s="32" t="s">
        <v>1400</v>
      </c>
      <c r="AG121" s="32" t="s">
        <v>1229</v>
      </c>
      <c r="AH121" s="32" t="s">
        <v>1056</v>
      </c>
      <c r="AI121" s="32" t="str">
        <f t="shared" si="4"/>
        <v>Copper</v>
      </c>
      <c r="AJ121" s="32">
        <v>10127</v>
      </c>
      <c r="AK121" s="32" t="s">
        <v>1044</v>
      </c>
      <c r="AL121" s="36">
        <v>0</v>
      </c>
      <c r="AM121" s="30" t="s">
        <v>1788</v>
      </c>
      <c r="AN121" s="41">
        <f t="shared" si="3"/>
        <v>3</v>
      </c>
    </row>
    <row r="122" spans="1:40" x14ac:dyDescent="0.25">
      <c r="A122" s="32">
        <v>22604490</v>
      </c>
      <c r="B122" s="32" t="s">
        <v>990</v>
      </c>
      <c r="C122" s="32" t="s">
        <v>991</v>
      </c>
      <c r="D122" s="32" t="s">
        <v>992</v>
      </c>
      <c r="E122" s="32" t="s">
        <v>993</v>
      </c>
      <c r="F122" s="32" t="s">
        <v>993</v>
      </c>
      <c r="G122" s="40">
        <v>46070</v>
      </c>
      <c r="H122" s="40" t="s">
        <v>994</v>
      </c>
      <c r="I122" s="40" t="s">
        <v>994</v>
      </c>
      <c r="J122" s="32" t="s">
        <v>995</v>
      </c>
      <c r="K122" s="32">
        <v>46070</v>
      </c>
      <c r="L122" s="32">
        <v>447240</v>
      </c>
      <c r="M122" s="32">
        <v>431240</v>
      </c>
      <c r="O122" s="32" t="s">
        <v>994</v>
      </c>
      <c r="P122" s="32">
        <v>7304</v>
      </c>
      <c r="Q122" s="32" t="s">
        <v>38</v>
      </c>
      <c r="R122" s="32" t="s">
        <v>1172</v>
      </c>
      <c r="S122" s="32" t="s">
        <v>45</v>
      </c>
      <c r="T122" s="32" t="s">
        <v>997</v>
      </c>
      <c r="U122" s="32">
        <v>85747</v>
      </c>
      <c r="V122" s="32">
        <v>32.118082999999999</v>
      </c>
      <c r="W122" s="32">
        <v>-110.715766</v>
      </c>
      <c r="X122" s="32">
        <v>2384</v>
      </c>
      <c r="Y122" s="32">
        <v>2026</v>
      </c>
      <c r="Z122" s="32">
        <v>4</v>
      </c>
      <c r="AA122" s="32">
        <v>3</v>
      </c>
      <c r="AB122" s="32" t="s">
        <v>510</v>
      </c>
      <c r="AC122" s="32" t="s">
        <v>1008</v>
      </c>
      <c r="AD122" s="32" t="s">
        <v>1401</v>
      </c>
      <c r="AE122" s="32" t="s">
        <v>1402</v>
      </c>
      <c r="AF122" s="32" t="s">
        <v>1403</v>
      </c>
      <c r="AG122" s="32" t="s">
        <v>1002</v>
      </c>
      <c r="AH122" s="32" t="s">
        <v>1003</v>
      </c>
      <c r="AI122" s="32" t="str">
        <f t="shared" si="4"/>
        <v/>
      </c>
      <c r="AJ122" s="32">
        <v>4800</v>
      </c>
      <c r="AK122" s="32" t="s">
        <v>1004</v>
      </c>
      <c r="AL122" s="36">
        <v>107</v>
      </c>
      <c r="AM122" s="30" t="s">
        <v>1789</v>
      </c>
      <c r="AN122" s="41">
        <f t="shared" si="3"/>
        <v>1</v>
      </c>
    </row>
    <row r="123" spans="1:40" x14ac:dyDescent="0.25">
      <c r="A123" s="32">
        <v>22604523</v>
      </c>
      <c r="B123" s="32" t="s">
        <v>990</v>
      </c>
      <c r="C123" s="32" t="s">
        <v>991</v>
      </c>
      <c r="D123" s="32" t="s">
        <v>992</v>
      </c>
      <c r="E123" s="32" t="s">
        <v>993</v>
      </c>
      <c r="F123" s="32" t="s">
        <v>993</v>
      </c>
      <c r="G123" s="40">
        <v>46071</v>
      </c>
      <c r="H123" s="40" t="s">
        <v>994</v>
      </c>
      <c r="I123" s="40" t="s">
        <v>994</v>
      </c>
      <c r="J123" s="32" t="s">
        <v>995</v>
      </c>
      <c r="K123" s="32">
        <v>46071</v>
      </c>
      <c r="L123" s="32">
        <v>479840</v>
      </c>
      <c r="M123" s="32">
        <v>463840</v>
      </c>
      <c r="O123" s="32" t="s">
        <v>994</v>
      </c>
      <c r="P123" s="32">
        <v>7298</v>
      </c>
      <c r="Q123" s="32" t="s">
        <v>38</v>
      </c>
      <c r="R123" s="32" t="s">
        <v>1172</v>
      </c>
      <c r="S123" s="32" t="s">
        <v>45</v>
      </c>
      <c r="T123" s="32" t="s">
        <v>997</v>
      </c>
      <c r="U123" s="32">
        <v>85747</v>
      </c>
      <c r="V123" s="32">
        <v>32.118257</v>
      </c>
      <c r="W123" s="32">
        <v>-110.71745300000001</v>
      </c>
      <c r="X123" s="32">
        <v>2694</v>
      </c>
      <c r="Y123" s="32">
        <v>2026</v>
      </c>
      <c r="Z123" s="32">
        <v>4</v>
      </c>
      <c r="AA123" s="32">
        <v>3</v>
      </c>
      <c r="AB123" s="32" t="s">
        <v>510</v>
      </c>
      <c r="AC123" s="32" t="s">
        <v>1008</v>
      </c>
      <c r="AD123" s="32" t="s">
        <v>1404</v>
      </c>
      <c r="AE123" s="32" t="s">
        <v>1405</v>
      </c>
      <c r="AF123" s="32" t="s">
        <v>1406</v>
      </c>
      <c r="AG123" s="32" t="s">
        <v>1002</v>
      </c>
      <c r="AH123" s="32" t="s">
        <v>1003</v>
      </c>
      <c r="AI123" s="32" t="str">
        <f t="shared" si="4"/>
        <v/>
      </c>
      <c r="AJ123" s="32">
        <v>4800</v>
      </c>
      <c r="AK123" s="32" t="s">
        <v>1004</v>
      </c>
      <c r="AL123" s="36">
        <v>106</v>
      </c>
      <c r="AM123" s="30" t="s">
        <v>1790</v>
      </c>
      <c r="AN123" s="41">
        <f t="shared" si="3"/>
        <v>1</v>
      </c>
    </row>
    <row r="124" spans="1:40" x14ac:dyDescent="0.25">
      <c r="A124" s="32">
        <v>22605065</v>
      </c>
      <c r="B124" s="32" t="s">
        <v>1025</v>
      </c>
      <c r="C124" s="32" t="s">
        <v>1026</v>
      </c>
      <c r="D124" s="32" t="s">
        <v>1027</v>
      </c>
      <c r="E124" s="32" t="s">
        <v>993</v>
      </c>
      <c r="F124" s="32" t="s">
        <v>993</v>
      </c>
      <c r="G124" s="40">
        <v>46077</v>
      </c>
      <c r="H124" s="40">
        <v>46162</v>
      </c>
      <c r="I124" s="40">
        <v>46132</v>
      </c>
      <c r="J124" s="32" t="s">
        <v>37</v>
      </c>
      <c r="K124" s="32">
        <v>46162</v>
      </c>
      <c r="L124" s="32">
        <v>339990</v>
      </c>
      <c r="M124" s="32">
        <v>309940</v>
      </c>
      <c r="N124" s="32">
        <v>309940</v>
      </c>
      <c r="O124" s="32">
        <v>241.57</v>
      </c>
      <c r="P124" s="32">
        <v>13032</v>
      </c>
      <c r="Q124" s="32" t="s">
        <v>48</v>
      </c>
      <c r="R124" s="32" t="s">
        <v>1407</v>
      </c>
      <c r="S124" s="32" t="s">
        <v>45</v>
      </c>
      <c r="T124" s="32" t="s">
        <v>997</v>
      </c>
      <c r="U124" s="32">
        <v>85747</v>
      </c>
      <c r="V124" s="32">
        <v>32.111910999999999</v>
      </c>
      <c r="W124" s="32">
        <v>-110.707201</v>
      </c>
      <c r="X124" s="32">
        <v>1283</v>
      </c>
      <c r="Y124" s="32">
        <v>2026</v>
      </c>
      <c r="Z124" s="32">
        <v>3</v>
      </c>
      <c r="AA124" s="32">
        <v>2</v>
      </c>
      <c r="AB124" s="32" t="s">
        <v>510</v>
      </c>
      <c r="AC124" s="32" t="s">
        <v>998</v>
      </c>
      <c r="AD124" s="32" t="s">
        <v>1408</v>
      </c>
      <c r="AE124" s="32" t="s">
        <v>1409</v>
      </c>
      <c r="AF124" s="32" t="s">
        <v>1410</v>
      </c>
      <c r="AG124" s="32" t="s">
        <v>1033</v>
      </c>
      <c r="AH124" s="32" t="s">
        <v>1003</v>
      </c>
      <c r="AI124" s="32" t="str">
        <f t="shared" si="4"/>
        <v>Archer A</v>
      </c>
      <c r="AJ124" s="32">
        <v>5180</v>
      </c>
      <c r="AK124" s="32" t="s">
        <v>1411</v>
      </c>
      <c r="AL124" s="32">
        <v>55</v>
      </c>
      <c r="AM124" s="32" t="s">
        <v>1791</v>
      </c>
      <c r="AN124" s="41">
        <f t="shared" si="3"/>
        <v>3</v>
      </c>
    </row>
    <row r="125" spans="1:40" x14ac:dyDescent="0.25">
      <c r="A125" s="32">
        <v>22605066</v>
      </c>
      <c r="B125" s="32" t="s">
        <v>1025</v>
      </c>
      <c r="C125" s="32" t="s">
        <v>1026</v>
      </c>
      <c r="D125" s="32" t="s">
        <v>1027</v>
      </c>
      <c r="E125" s="32" t="s">
        <v>993</v>
      </c>
      <c r="F125" s="32" t="s">
        <v>993</v>
      </c>
      <c r="G125" s="40">
        <v>46077</v>
      </c>
      <c r="H125" s="40">
        <v>46139</v>
      </c>
      <c r="I125" s="40">
        <v>46080</v>
      </c>
      <c r="J125" s="32" t="s">
        <v>37</v>
      </c>
      <c r="K125" s="32">
        <v>46139</v>
      </c>
      <c r="L125" s="32">
        <v>350990</v>
      </c>
      <c r="M125" s="32">
        <v>349940</v>
      </c>
      <c r="N125" s="32">
        <v>349940</v>
      </c>
      <c r="O125" s="32">
        <v>241.01</v>
      </c>
      <c r="P125" s="32">
        <v>13010</v>
      </c>
      <c r="Q125" s="32" t="s">
        <v>48</v>
      </c>
      <c r="R125" s="32" t="s">
        <v>1412</v>
      </c>
      <c r="S125" s="32" t="s">
        <v>45</v>
      </c>
      <c r="T125" s="32" t="s">
        <v>997</v>
      </c>
      <c r="U125" s="32">
        <v>85747</v>
      </c>
      <c r="V125" s="32">
        <v>32.111840000000001</v>
      </c>
      <c r="W125" s="32">
        <v>-110.707334</v>
      </c>
      <c r="X125" s="32">
        <v>1452</v>
      </c>
      <c r="Y125" s="32">
        <v>2026</v>
      </c>
      <c r="Z125" s="32">
        <v>3</v>
      </c>
      <c r="AA125" s="32">
        <v>2</v>
      </c>
      <c r="AB125" s="32" t="s">
        <v>510</v>
      </c>
      <c r="AC125" s="32" t="s">
        <v>998</v>
      </c>
      <c r="AD125" s="32" t="s">
        <v>1413</v>
      </c>
      <c r="AE125" s="32" t="s">
        <v>1414</v>
      </c>
      <c r="AF125" s="32" t="s">
        <v>1415</v>
      </c>
      <c r="AG125" s="32" t="s">
        <v>1033</v>
      </c>
      <c r="AH125" s="32" t="s">
        <v>1003</v>
      </c>
      <c r="AI125" s="32" t="str">
        <f t="shared" si="4"/>
        <v>Bristle B</v>
      </c>
      <c r="AJ125" s="32">
        <v>7555</v>
      </c>
      <c r="AK125" s="32" t="s">
        <v>1411</v>
      </c>
      <c r="AL125" s="36">
        <v>3</v>
      </c>
      <c r="AM125" s="30" t="s">
        <v>1792</v>
      </c>
      <c r="AN125" s="41">
        <f t="shared" si="3"/>
        <v>3</v>
      </c>
    </row>
    <row r="126" spans="1:40" x14ac:dyDescent="0.25">
      <c r="A126" s="32">
        <v>22605068</v>
      </c>
      <c r="B126" s="32" t="s">
        <v>1025</v>
      </c>
      <c r="C126" s="32" t="s">
        <v>1026</v>
      </c>
      <c r="D126" s="32" t="s">
        <v>1027</v>
      </c>
      <c r="E126" s="32" t="s">
        <v>993</v>
      </c>
      <c r="F126" s="32" t="s">
        <v>993</v>
      </c>
      <c r="G126" s="40">
        <v>46077</v>
      </c>
      <c r="H126" s="40">
        <v>46136</v>
      </c>
      <c r="I126" s="40">
        <v>46096</v>
      </c>
      <c r="J126" s="32" t="s">
        <v>37</v>
      </c>
      <c r="K126" s="32">
        <v>46136</v>
      </c>
      <c r="L126" s="32">
        <v>361990</v>
      </c>
      <c r="M126" s="32">
        <v>354940</v>
      </c>
      <c r="N126" s="32">
        <v>354940</v>
      </c>
      <c r="O126" s="32">
        <v>217.62</v>
      </c>
      <c r="P126" s="32">
        <v>13029</v>
      </c>
      <c r="Q126" s="32" t="s">
        <v>48</v>
      </c>
      <c r="R126" s="32" t="s">
        <v>1407</v>
      </c>
      <c r="S126" s="32" t="s">
        <v>45</v>
      </c>
      <c r="T126" s="32" t="s">
        <v>997</v>
      </c>
      <c r="U126" s="32">
        <v>85747</v>
      </c>
      <c r="V126" s="32">
        <v>32.110911999999999</v>
      </c>
      <c r="W126" s="32">
        <v>-110.707528</v>
      </c>
      <c r="X126" s="32">
        <v>1631</v>
      </c>
      <c r="Y126" s="32">
        <v>2026</v>
      </c>
      <c r="Z126" s="32">
        <v>4</v>
      </c>
      <c r="AA126" s="32">
        <v>2</v>
      </c>
      <c r="AB126" s="32" t="s">
        <v>510</v>
      </c>
      <c r="AC126" s="32" t="s">
        <v>998</v>
      </c>
      <c r="AD126" s="32" t="s">
        <v>1416</v>
      </c>
      <c r="AE126" s="32" t="s">
        <v>1417</v>
      </c>
      <c r="AF126" s="32" t="s">
        <v>1418</v>
      </c>
      <c r="AG126" s="32" t="s">
        <v>1033</v>
      </c>
      <c r="AH126" s="32" t="s">
        <v>1003</v>
      </c>
      <c r="AI126" s="32" t="str">
        <f t="shared" si="4"/>
        <v>Carson A</v>
      </c>
      <c r="AJ126" s="32">
        <v>8232</v>
      </c>
      <c r="AK126" s="32" t="s">
        <v>1411</v>
      </c>
      <c r="AL126" s="32">
        <v>20</v>
      </c>
      <c r="AM126" s="32" t="s">
        <v>1793</v>
      </c>
      <c r="AN126" s="41">
        <f t="shared" si="3"/>
        <v>3</v>
      </c>
    </row>
    <row r="127" spans="1:40" x14ac:dyDescent="0.25">
      <c r="A127" s="32">
        <v>22605069</v>
      </c>
      <c r="B127" s="32" t="s">
        <v>1025</v>
      </c>
      <c r="C127" s="32" t="s">
        <v>1026</v>
      </c>
      <c r="D127" s="32" t="s">
        <v>1027</v>
      </c>
      <c r="E127" s="32" t="s">
        <v>993</v>
      </c>
      <c r="F127" s="32" t="s">
        <v>993</v>
      </c>
      <c r="G127" s="40">
        <v>46077</v>
      </c>
      <c r="H127" s="40">
        <v>46171</v>
      </c>
      <c r="I127" s="40">
        <v>46139</v>
      </c>
      <c r="J127" s="32" t="s">
        <v>37</v>
      </c>
      <c r="K127" s="32">
        <v>46171</v>
      </c>
      <c r="L127" s="32">
        <v>379990</v>
      </c>
      <c r="M127" s="32">
        <v>349940</v>
      </c>
      <c r="N127" s="32">
        <v>349940</v>
      </c>
      <c r="O127" s="32">
        <v>186.34</v>
      </c>
      <c r="P127" s="32">
        <v>13037</v>
      </c>
      <c r="Q127" s="32" t="s">
        <v>48</v>
      </c>
      <c r="R127" s="32" t="s">
        <v>1407</v>
      </c>
      <c r="S127" s="32" t="s">
        <v>45</v>
      </c>
      <c r="T127" s="32" t="s">
        <v>997</v>
      </c>
      <c r="U127" s="32">
        <v>85747</v>
      </c>
      <c r="V127" s="32">
        <v>32.111105999999999</v>
      </c>
      <c r="W127" s="32">
        <v>-110.70779899999999</v>
      </c>
      <c r="X127" s="32">
        <v>1878</v>
      </c>
      <c r="Y127" s="32">
        <v>2026</v>
      </c>
      <c r="Z127" s="32">
        <v>4</v>
      </c>
      <c r="AA127" s="32">
        <v>3</v>
      </c>
      <c r="AB127" s="32" t="s">
        <v>510</v>
      </c>
      <c r="AC127" s="32" t="s">
        <v>1008</v>
      </c>
      <c r="AD127" s="32" t="s">
        <v>1419</v>
      </c>
      <c r="AE127" s="32" t="s">
        <v>1420</v>
      </c>
      <c r="AF127" s="32" t="s">
        <v>1421</v>
      </c>
      <c r="AG127" s="32" t="s">
        <v>1033</v>
      </c>
      <c r="AH127" s="32" t="s">
        <v>1003</v>
      </c>
      <c r="AI127" s="32" t="str">
        <f t="shared" si="4"/>
        <v>Clark C</v>
      </c>
      <c r="AJ127" s="32">
        <v>4840</v>
      </c>
      <c r="AK127" s="32" t="s">
        <v>1411</v>
      </c>
      <c r="AL127" s="32">
        <v>62</v>
      </c>
      <c r="AM127" s="32" t="s">
        <v>1794</v>
      </c>
      <c r="AN127" s="41">
        <f t="shared" si="3"/>
        <v>3</v>
      </c>
    </row>
    <row r="128" spans="1:40" x14ac:dyDescent="0.25">
      <c r="A128" s="32">
        <v>22605070</v>
      </c>
      <c r="B128" s="32" t="s">
        <v>1025</v>
      </c>
      <c r="C128" s="32" t="s">
        <v>1026</v>
      </c>
      <c r="D128" s="32" t="s">
        <v>1027</v>
      </c>
      <c r="E128" s="32" t="s">
        <v>993</v>
      </c>
      <c r="F128" s="32" t="s">
        <v>993</v>
      </c>
      <c r="G128" s="40">
        <v>46077</v>
      </c>
      <c r="H128" s="40">
        <v>46154</v>
      </c>
      <c r="I128" s="40">
        <v>46104</v>
      </c>
      <c r="J128" s="32" t="s">
        <v>37</v>
      </c>
      <c r="K128" s="32">
        <v>46154</v>
      </c>
      <c r="L128" s="32">
        <v>363990</v>
      </c>
      <c r="M128" s="32">
        <v>354940</v>
      </c>
      <c r="N128" s="32">
        <v>354940</v>
      </c>
      <c r="O128" s="32">
        <v>217.62</v>
      </c>
      <c r="P128" s="32">
        <v>13028</v>
      </c>
      <c r="Q128" s="32" t="s">
        <v>48</v>
      </c>
      <c r="R128" s="32" t="s">
        <v>1407</v>
      </c>
      <c r="S128" s="32" t="s">
        <v>45</v>
      </c>
      <c r="T128" s="32" t="s">
        <v>997</v>
      </c>
      <c r="U128" s="32">
        <v>85747</v>
      </c>
      <c r="V128" s="32">
        <v>32.111286</v>
      </c>
      <c r="W128" s="32">
        <v>-110.707403</v>
      </c>
      <c r="X128" s="32">
        <v>1631</v>
      </c>
      <c r="Y128" s="32">
        <v>2026</v>
      </c>
      <c r="Z128" s="32">
        <v>4</v>
      </c>
      <c r="AA128" s="32">
        <v>2</v>
      </c>
      <c r="AB128" s="32" t="s">
        <v>510</v>
      </c>
      <c r="AC128" s="32" t="s">
        <v>998</v>
      </c>
      <c r="AD128" s="32" t="s">
        <v>1422</v>
      </c>
      <c r="AE128" s="32" t="s">
        <v>1417</v>
      </c>
      <c r="AF128" s="32" t="s">
        <v>1423</v>
      </c>
      <c r="AG128" s="32" t="s">
        <v>1033</v>
      </c>
      <c r="AH128" s="32" t="s">
        <v>1003</v>
      </c>
      <c r="AI128" s="32" t="str">
        <f t="shared" si="4"/>
        <v>Carson A</v>
      </c>
      <c r="AJ128" s="32">
        <v>8232</v>
      </c>
      <c r="AK128" s="32" t="s">
        <v>1411</v>
      </c>
      <c r="AL128" s="32">
        <v>27</v>
      </c>
      <c r="AM128" s="32" t="s">
        <v>1795</v>
      </c>
      <c r="AN128" s="41">
        <f t="shared" si="3"/>
        <v>3</v>
      </c>
    </row>
    <row r="129" spans="1:40" x14ac:dyDescent="0.25">
      <c r="A129" s="32">
        <v>22605073</v>
      </c>
      <c r="B129" s="32" t="s">
        <v>1025</v>
      </c>
      <c r="C129" s="32" t="s">
        <v>1026</v>
      </c>
      <c r="D129" s="32" t="s">
        <v>1027</v>
      </c>
      <c r="E129" s="32" t="s">
        <v>993</v>
      </c>
      <c r="F129" s="32" t="s">
        <v>993</v>
      </c>
      <c r="G129" s="40">
        <v>46077</v>
      </c>
      <c r="H129" s="40">
        <v>46162</v>
      </c>
      <c r="I129" s="40">
        <v>46139</v>
      </c>
      <c r="J129" s="32" t="s">
        <v>37</v>
      </c>
      <c r="K129" s="32">
        <v>46162</v>
      </c>
      <c r="L129" s="32">
        <v>395990</v>
      </c>
      <c r="M129" s="32">
        <v>356840</v>
      </c>
      <c r="N129" s="32">
        <v>356840</v>
      </c>
      <c r="O129" s="32">
        <v>167.85</v>
      </c>
      <c r="P129" s="32">
        <v>13020</v>
      </c>
      <c r="Q129" s="32" t="s">
        <v>48</v>
      </c>
      <c r="R129" s="32" t="s">
        <v>1412</v>
      </c>
      <c r="S129" s="32" t="s">
        <v>45</v>
      </c>
      <c r="T129" s="32" t="s">
        <v>997</v>
      </c>
      <c r="U129" s="32">
        <v>85747</v>
      </c>
      <c r="V129" s="32">
        <v>32.111674999999998</v>
      </c>
      <c r="W129" s="32">
        <v>-110.707913</v>
      </c>
      <c r="X129" s="32">
        <v>2126</v>
      </c>
      <c r="Y129" s="32">
        <v>2026</v>
      </c>
      <c r="Z129" s="32">
        <v>5</v>
      </c>
      <c r="AA129" s="32">
        <v>3</v>
      </c>
      <c r="AB129" s="32" t="s">
        <v>510</v>
      </c>
      <c r="AC129" s="32" t="s">
        <v>1008</v>
      </c>
      <c r="AD129" s="32" t="s">
        <v>1424</v>
      </c>
      <c r="AE129" s="32" t="s">
        <v>1425</v>
      </c>
      <c r="AF129" s="32" t="s">
        <v>1426</v>
      </c>
      <c r="AG129" s="32" t="s">
        <v>1033</v>
      </c>
      <c r="AH129" s="32" t="s">
        <v>1003</v>
      </c>
      <c r="AI129" s="32" t="str">
        <f t="shared" si="4"/>
        <v>Etta A</v>
      </c>
      <c r="AJ129" s="32">
        <v>4880</v>
      </c>
      <c r="AK129" s="32" t="s">
        <v>1411</v>
      </c>
      <c r="AL129" s="36">
        <v>62</v>
      </c>
      <c r="AM129" s="30" t="s">
        <v>1796</v>
      </c>
      <c r="AN129" s="41">
        <f t="shared" si="3"/>
        <v>3</v>
      </c>
    </row>
    <row r="130" spans="1:40" x14ac:dyDescent="0.25">
      <c r="A130" s="32">
        <v>22605074</v>
      </c>
      <c r="B130" s="32" t="s">
        <v>1025</v>
      </c>
      <c r="C130" s="32" t="s">
        <v>1026</v>
      </c>
      <c r="D130" s="32" t="s">
        <v>1027</v>
      </c>
      <c r="E130" s="32" t="s">
        <v>993</v>
      </c>
      <c r="F130" s="32" t="s">
        <v>993</v>
      </c>
      <c r="G130" s="40">
        <v>46077</v>
      </c>
      <c r="H130" s="40">
        <v>46164</v>
      </c>
      <c r="I130" s="40">
        <v>46139</v>
      </c>
      <c r="J130" s="32" t="s">
        <v>37</v>
      </c>
      <c r="K130" s="32">
        <v>46164</v>
      </c>
      <c r="L130" s="32">
        <v>415990</v>
      </c>
      <c r="M130" s="32">
        <v>368890</v>
      </c>
      <c r="N130" s="32">
        <v>368890</v>
      </c>
      <c r="O130" s="32">
        <v>152.12</v>
      </c>
      <c r="P130" s="32">
        <v>13026</v>
      </c>
      <c r="Q130" s="32" t="s">
        <v>48</v>
      </c>
      <c r="R130" s="32" t="s">
        <v>1412</v>
      </c>
      <c r="S130" s="32" t="s">
        <v>45</v>
      </c>
      <c r="T130" s="32" t="s">
        <v>997</v>
      </c>
      <c r="U130" s="32">
        <v>85747</v>
      </c>
      <c r="V130" s="32">
        <v>32.111536999999998</v>
      </c>
      <c r="W130" s="32">
        <v>-110.707272</v>
      </c>
      <c r="X130" s="32">
        <v>2425</v>
      </c>
      <c r="Y130" s="32">
        <v>2026</v>
      </c>
      <c r="Z130" s="32">
        <v>6</v>
      </c>
      <c r="AA130" s="32">
        <v>3</v>
      </c>
      <c r="AB130" s="32" t="s">
        <v>510</v>
      </c>
      <c r="AC130" s="32" t="s">
        <v>1008</v>
      </c>
      <c r="AD130" s="32" t="s">
        <v>1427</v>
      </c>
      <c r="AE130" s="32" t="s">
        <v>1428</v>
      </c>
      <c r="AF130" s="32" t="s">
        <v>1429</v>
      </c>
      <c r="AG130" s="32" t="s">
        <v>1033</v>
      </c>
      <c r="AH130" s="32" t="s">
        <v>1003</v>
      </c>
      <c r="AI130" s="32" t="str">
        <f t="shared" si="4"/>
        <v>Jeffry C</v>
      </c>
      <c r="AJ130" s="32">
        <v>4880</v>
      </c>
      <c r="AK130" s="32" t="s">
        <v>1411</v>
      </c>
      <c r="AL130" s="32">
        <v>62</v>
      </c>
      <c r="AM130" s="32" t="s">
        <v>1797</v>
      </c>
      <c r="AN130" s="41">
        <f t="shared" ref="AN130:AN193" si="5">IF(J130="A",1,IF(J130="P",2,IF(J130="C",3,"-")))</f>
        <v>3</v>
      </c>
    </row>
    <row r="131" spans="1:40" x14ac:dyDescent="0.25">
      <c r="A131" s="32">
        <v>22605075</v>
      </c>
      <c r="B131" s="32" t="s">
        <v>1025</v>
      </c>
      <c r="C131" s="32" t="s">
        <v>1026</v>
      </c>
      <c r="D131" s="32" t="s">
        <v>1027</v>
      </c>
      <c r="E131" s="32" t="s">
        <v>993</v>
      </c>
      <c r="F131" s="32" t="s">
        <v>993</v>
      </c>
      <c r="G131" s="40">
        <v>46077</v>
      </c>
      <c r="H131" s="40" t="s">
        <v>994</v>
      </c>
      <c r="I131" s="40">
        <v>46139</v>
      </c>
      <c r="J131" s="32" t="s">
        <v>1038</v>
      </c>
      <c r="K131" s="32">
        <v>46139</v>
      </c>
      <c r="L131" s="32">
        <v>382990</v>
      </c>
      <c r="M131" s="32">
        <v>349740</v>
      </c>
      <c r="N131" s="42"/>
      <c r="O131" s="32" t="s">
        <v>994</v>
      </c>
      <c r="P131" s="32">
        <v>13142</v>
      </c>
      <c r="Q131" s="32" t="s">
        <v>48</v>
      </c>
      <c r="R131" s="32" t="s">
        <v>1430</v>
      </c>
      <c r="S131" s="32" t="s">
        <v>45</v>
      </c>
      <c r="T131" s="32" t="s">
        <v>997</v>
      </c>
      <c r="U131" s="32">
        <v>85747</v>
      </c>
      <c r="V131" s="32">
        <v>32.114469</v>
      </c>
      <c r="W131" s="32">
        <v>-110.71158699999999</v>
      </c>
      <c r="X131" s="32">
        <v>1746</v>
      </c>
      <c r="Y131" s="32">
        <v>2026</v>
      </c>
      <c r="Z131" s="32">
        <v>4</v>
      </c>
      <c r="AA131" s="32">
        <v>2</v>
      </c>
      <c r="AB131" s="32" t="s">
        <v>510</v>
      </c>
      <c r="AC131" s="32" t="s">
        <v>998</v>
      </c>
      <c r="AD131" s="32" t="s">
        <v>1431</v>
      </c>
      <c r="AE131" s="32" t="s">
        <v>1432</v>
      </c>
      <c r="AF131" s="32" t="s">
        <v>1433</v>
      </c>
      <c r="AG131" s="32" t="s">
        <v>1033</v>
      </c>
      <c r="AH131" s="32" t="s">
        <v>1003</v>
      </c>
      <c r="AI131" s="32" t="str">
        <f t="shared" si="4"/>
        <v>Arcadia C</v>
      </c>
      <c r="AJ131" s="32">
        <v>6665</v>
      </c>
      <c r="AK131" s="32" t="s">
        <v>1411</v>
      </c>
      <c r="AL131" s="36">
        <v>62</v>
      </c>
      <c r="AM131" s="30" t="s">
        <v>1798</v>
      </c>
      <c r="AN131" s="41">
        <f t="shared" si="5"/>
        <v>2</v>
      </c>
    </row>
    <row r="132" spans="1:40" x14ac:dyDescent="0.25">
      <c r="A132" s="32">
        <v>22605078</v>
      </c>
      <c r="B132" s="32" t="s">
        <v>1025</v>
      </c>
      <c r="C132" s="32" t="s">
        <v>1026</v>
      </c>
      <c r="D132" s="32" t="s">
        <v>1027</v>
      </c>
      <c r="E132" s="32" t="s">
        <v>993</v>
      </c>
      <c r="F132" s="32" t="s">
        <v>993</v>
      </c>
      <c r="G132" s="40">
        <v>46077</v>
      </c>
      <c r="H132" s="40">
        <v>46169</v>
      </c>
      <c r="I132" s="40">
        <v>46118</v>
      </c>
      <c r="J132" s="32" t="s">
        <v>37</v>
      </c>
      <c r="K132" s="32">
        <v>46169</v>
      </c>
      <c r="L132" s="32">
        <v>387990</v>
      </c>
      <c r="M132" s="32">
        <v>383840</v>
      </c>
      <c r="N132" s="32">
        <v>383840</v>
      </c>
      <c r="O132" s="32">
        <v>209.29</v>
      </c>
      <c r="P132" s="32">
        <v>13154</v>
      </c>
      <c r="Q132" s="32" t="s">
        <v>48</v>
      </c>
      <c r="R132" s="32" t="s">
        <v>1430</v>
      </c>
      <c r="S132" s="32" t="s">
        <v>45</v>
      </c>
      <c r="T132" s="32" t="s">
        <v>997</v>
      </c>
      <c r="U132" s="32">
        <v>85747</v>
      </c>
      <c r="V132" s="32">
        <v>32.115175999999998</v>
      </c>
      <c r="W132" s="32">
        <v>-110.71109</v>
      </c>
      <c r="X132" s="32">
        <v>1834</v>
      </c>
      <c r="Y132" s="32">
        <v>2026</v>
      </c>
      <c r="Z132" s="32">
        <v>3</v>
      </c>
      <c r="AA132" s="32">
        <v>2</v>
      </c>
      <c r="AB132" s="32" t="s">
        <v>510</v>
      </c>
      <c r="AC132" s="32" t="s">
        <v>998</v>
      </c>
      <c r="AD132" s="32" t="s">
        <v>1434</v>
      </c>
      <c r="AE132" s="32" t="s">
        <v>1435</v>
      </c>
      <c r="AF132" s="32" t="s">
        <v>1436</v>
      </c>
      <c r="AG132" s="32" t="s">
        <v>1033</v>
      </c>
      <c r="AH132" s="32" t="s">
        <v>1003</v>
      </c>
      <c r="AI132" s="32" t="str">
        <f t="shared" si="4"/>
        <v>Tanner A</v>
      </c>
      <c r="AJ132" s="32">
        <v>7231</v>
      </c>
      <c r="AK132" s="32" t="s">
        <v>1411</v>
      </c>
      <c r="AL132" s="36">
        <v>41</v>
      </c>
      <c r="AM132" s="30" t="s">
        <v>1799</v>
      </c>
      <c r="AN132" s="41">
        <f t="shared" si="5"/>
        <v>3</v>
      </c>
    </row>
    <row r="133" spans="1:40" x14ac:dyDescent="0.25">
      <c r="A133" s="32">
        <v>22605080</v>
      </c>
      <c r="B133" s="32" t="s">
        <v>1025</v>
      </c>
      <c r="C133" s="32" t="s">
        <v>1026</v>
      </c>
      <c r="D133" s="32" t="s">
        <v>1027</v>
      </c>
      <c r="E133" s="32" t="s">
        <v>993</v>
      </c>
      <c r="F133" s="32" t="s">
        <v>993</v>
      </c>
      <c r="G133" s="40">
        <v>46077</v>
      </c>
      <c r="H133" s="40">
        <v>46142</v>
      </c>
      <c r="I133" s="40">
        <v>46117</v>
      </c>
      <c r="J133" s="32" t="s">
        <v>37</v>
      </c>
      <c r="K133" s="32">
        <v>46142</v>
      </c>
      <c r="L133" s="32">
        <v>387990</v>
      </c>
      <c r="M133" s="32">
        <v>369190</v>
      </c>
      <c r="N133" s="32">
        <v>368742</v>
      </c>
      <c r="O133" s="32">
        <v>200.73</v>
      </c>
      <c r="P133" s="32">
        <v>13166</v>
      </c>
      <c r="Q133" s="32" t="s">
        <v>48</v>
      </c>
      <c r="R133" s="32" t="s">
        <v>1430</v>
      </c>
      <c r="S133" s="32" t="s">
        <v>45</v>
      </c>
      <c r="T133" s="32" t="s">
        <v>997</v>
      </c>
      <c r="U133" s="32">
        <v>85747</v>
      </c>
      <c r="V133" s="32">
        <v>32.115923000000002</v>
      </c>
      <c r="W133" s="32">
        <v>-110.711783</v>
      </c>
      <c r="X133" s="32">
        <v>1837</v>
      </c>
      <c r="Y133" s="32">
        <v>2026</v>
      </c>
      <c r="Z133" s="32">
        <v>4</v>
      </c>
      <c r="AA133" s="32">
        <v>2</v>
      </c>
      <c r="AB133" s="32" t="s">
        <v>510</v>
      </c>
      <c r="AC133" s="32" t="s">
        <v>998</v>
      </c>
      <c r="AD133" s="32" t="s">
        <v>1437</v>
      </c>
      <c r="AE133" s="32" t="s">
        <v>1438</v>
      </c>
      <c r="AF133" s="32" t="s">
        <v>1439</v>
      </c>
      <c r="AG133" s="32" t="s">
        <v>1033</v>
      </c>
      <c r="AH133" s="32" t="s">
        <v>1003</v>
      </c>
      <c r="AI133" s="32" t="str">
        <f t="shared" si="4"/>
        <v>Ironwood A</v>
      </c>
      <c r="AJ133" s="32">
        <v>7720</v>
      </c>
      <c r="AK133" s="32" t="s">
        <v>1411</v>
      </c>
      <c r="AL133" s="36">
        <v>41</v>
      </c>
      <c r="AM133" s="30" t="s">
        <v>1800</v>
      </c>
      <c r="AN133" s="41">
        <f t="shared" si="5"/>
        <v>3</v>
      </c>
    </row>
    <row r="134" spans="1:40" x14ac:dyDescent="0.25">
      <c r="A134" s="32">
        <v>22605081</v>
      </c>
      <c r="B134" s="32" t="s">
        <v>1025</v>
      </c>
      <c r="C134" s="32" t="s">
        <v>1026</v>
      </c>
      <c r="D134" s="32" t="s">
        <v>1027</v>
      </c>
      <c r="E134" s="32" t="s">
        <v>993</v>
      </c>
      <c r="F134" s="32" t="s">
        <v>993</v>
      </c>
      <c r="G134" s="40">
        <v>46077</v>
      </c>
      <c r="H134" s="40">
        <v>46150</v>
      </c>
      <c r="I134" s="40">
        <v>46114</v>
      </c>
      <c r="J134" s="32" t="s">
        <v>37</v>
      </c>
      <c r="K134" s="32">
        <v>46150</v>
      </c>
      <c r="L134" s="32">
        <v>388990</v>
      </c>
      <c r="M134" s="32">
        <v>373190</v>
      </c>
      <c r="N134" s="32">
        <v>373190</v>
      </c>
      <c r="O134" s="32">
        <v>203.15</v>
      </c>
      <c r="P134" s="32">
        <v>13148</v>
      </c>
      <c r="Q134" s="32" t="s">
        <v>48</v>
      </c>
      <c r="R134" s="32" t="s">
        <v>1430</v>
      </c>
      <c r="S134" s="32" t="s">
        <v>45</v>
      </c>
      <c r="T134" s="32" t="s">
        <v>997</v>
      </c>
      <c r="U134" s="32">
        <v>85747</v>
      </c>
      <c r="V134" s="32">
        <v>32.115867000000001</v>
      </c>
      <c r="W134" s="32">
        <v>-110.712255</v>
      </c>
      <c r="X134" s="32">
        <v>1837</v>
      </c>
      <c r="Y134" s="32">
        <v>2026</v>
      </c>
      <c r="Z134" s="32">
        <v>4</v>
      </c>
      <c r="AA134" s="32">
        <v>2</v>
      </c>
      <c r="AB134" s="32" t="s">
        <v>510</v>
      </c>
      <c r="AC134" s="32" t="s">
        <v>998</v>
      </c>
      <c r="AD134" s="32" t="s">
        <v>1440</v>
      </c>
      <c r="AE134" s="32" t="s">
        <v>1438</v>
      </c>
      <c r="AF134" s="32" t="s">
        <v>1441</v>
      </c>
      <c r="AG134" s="32" t="s">
        <v>1033</v>
      </c>
      <c r="AH134" s="32" t="s">
        <v>1003</v>
      </c>
      <c r="AI134" s="32" t="str">
        <f t="shared" si="4"/>
        <v>Ironwood B</v>
      </c>
      <c r="AJ134" s="32">
        <v>6361</v>
      </c>
      <c r="AK134" s="32" t="s">
        <v>1411</v>
      </c>
      <c r="AL134" s="37">
        <v>37</v>
      </c>
      <c r="AM134" s="31" t="s">
        <v>1801</v>
      </c>
      <c r="AN134" s="41">
        <f t="shared" si="5"/>
        <v>3</v>
      </c>
    </row>
    <row r="135" spans="1:40" x14ac:dyDescent="0.25">
      <c r="A135" s="32">
        <v>22605083</v>
      </c>
      <c r="B135" s="32" t="s">
        <v>1025</v>
      </c>
      <c r="C135" s="32" t="s">
        <v>1026</v>
      </c>
      <c r="D135" s="32" t="s">
        <v>1027</v>
      </c>
      <c r="E135" s="32" t="s">
        <v>993</v>
      </c>
      <c r="F135" s="32" t="s">
        <v>993</v>
      </c>
      <c r="G135" s="40">
        <v>46077</v>
      </c>
      <c r="H135" s="40">
        <v>46142</v>
      </c>
      <c r="I135" s="40">
        <v>46091</v>
      </c>
      <c r="J135" s="32" t="s">
        <v>37</v>
      </c>
      <c r="K135" s="32">
        <v>46142</v>
      </c>
      <c r="L135" s="32">
        <v>409990</v>
      </c>
      <c r="M135" s="32">
        <v>404940</v>
      </c>
      <c r="N135" s="32">
        <v>404940</v>
      </c>
      <c r="O135" s="32">
        <v>192.37</v>
      </c>
      <c r="P135" s="32">
        <v>13160</v>
      </c>
      <c r="Q135" s="32" t="s">
        <v>48</v>
      </c>
      <c r="R135" s="32" t="s">
        <v>1430</v>
      </c>
      <c r="S135" s="32" t="s">
        <v>45</v>
      </c>
      <c r="T135" s="32" t="s">
        <v>997</v>
      </c>
      <c r="U135" s="32">
        <v>85747</v>
      </c>
      <c r="V135" s="32">
        <v>32.116897000000002</v>
      </c>
      <c r="W135" s="32">
        <v>-110.711716</v>
      </c>
      <c r="X135" s="32">
        <v>2105</v>
      </c>
      <c r="Y135" s="32">
        <v>2026</v>
      </c>
      <c r="Z135" s="32">
        <v>4</v>
      </c>
      <c r="AA135" s="32">
        <v>3</v>
      </c>
      <c r="AB135" s="32" t="s">
        <v>510</v>
      </c>
      <c r="AC135" s="32" t="s">
        <v>998</v>
      </c>
      <c r="AD135" s="32" t="s">
        <v>1442</v>
      </c>
      <c r="AE135" s="32" t="s">
        <v>1443</v>
      </c>
      <c r="AF135" s="32" t="s">
        <v>1444</v>
      </c>
      <c r="AG135" s="32" t="s">
        <v>1033</v>
      </c>
      <c r="AH135" s="32" t="s">
        <v>1003</v>
      </c>
      <c r="AI135" s="32" t="str">
        <f t="shared" si="4"/>
        <v>Bella NG C</v>
      </c>
      <c r="AJ135" s="32">
        <v>8010</v>
      </c>
      <c r="AK135" s="32" t="s">
        <v>1411</v>
      </c>
      <c r="AL135" s="32">
        <v>14</v>
      </c>
      <c r="AM135" s="32" t="s">
        <v>1802</v>
      </c>
      <c r="AN135" s="41">
        <f t="shared" si="5"/>
        <v>3</v>
      </c>
    </row>
    <row r="136" spans="1:40" x14ac:dyDescent="0.25">
      <c r="A136" s="32">
        <v>22605086</v>
      </c>
      <c r="B136" s="32" t="s">
        <v>1025</v>
      </c>
      <c r="C136" s="32" t="s">
        <v>1026</v>
      </c>
      <c r="D136" s="32" t="s">
        <v>1027</v>
      </c>
      <c r="E136" s="32" t="s">
        <v>993</v>
      </c>
      <c r="F136" s="32" t="s">
        <v>993</v>
      </c>
      <c r="G136" s="40">
        <v>46077</v>
      </c>
      <c r="H136" s="40">
        <v>46169</v>
      </c>
      <c r="I136" s="40">
        <v>46146</v>
      </c>
      <c r="J136" s="32" t="s">
        <v>37</v>
      </c>
      <c r="K136" s="32">
        <v>46169</v>
      </c>
      <c r="L136" s="32">
        <v>437990</v>
      </c>
      <c r="M136" s="32">
        <v>415940</v>
      </c>
      <c r="N136" s="32">
        <v>413650</v>
      </c>
      <c r="O136" s="32">
        <v>163.18</v>
      </c>
      <c r="P136" s="32">
        <v>7583</v>
      </c>
      <c r="Q136" s="32" t="s">
        <v>38</v>
      </c>
      <c r="R136" s="32" t="s">
        <v>1445</v>
      </c>
      <c r="S136" s="32" t="s">
        <v>45</v>
      </c>
      <c r="T136" s="32" t="s">
        <v>997</v>
      </c>
      <c r="U136" s="32">
        <v>85747</v>
      </c>
      <c r="V136" s="32">
        <v>32.116492000000001</v>
      </c>
      <c r="W136" s="32">
        <v>-110.712304</v>
      </c>
      <c r="X136" s="32">
        <v>2535</v>
      </c>
      <c r="Y136" s="32">
        <v>2026</v>
      </c>
      <c r="Z136" s="32">
        <v>4</v>
      </c>
      <c r="AA136" s="32">
        <v>3</v>
      </c>
      <c r="AB136" s="32" t="s">
        <v>510</v>
      </c>
      <c r="AC136" s="32" t="s">
        <v>1008</v>
      </c>
      <c r="AD136" s="32" t="s">
        <v>1446</v>
      </c>
      <c r="AE136" s="32" t="s">
        <v>1447</v>
      </c>
      <c r="AF136" s="32" t="s">
        <v>1448</v>
      </c>
      <c r="AG136" s="32" t="s">
        <v>1033</v>
      </c>
      <c r="AH136" s="32" t="s">
        <v>1003</v>
      </c>
      <c r="AI136" s="32" t="str">
        <f t="shared" si="4"/>
        <v>Mesa A</v>
      </c>
      <c r="AJ136" s="32">
        <v>6419</v>
      </c>
      <c r="AK136" s="32" t="s">
        <v>1411</v>
      </c>
      <c r="AL136" s="36">
        <v>69</v>
      </c>
      <c r="AM136" s="30" t="s">
        <v>1803</v>
      </c>
      <c r="AN136" s="41">
        <f t="shared" si="5"/>
        <v>3</v>
      </c>
    </row>
    <row r="137" spans="1:40" x14ac:dyDescent="0.25">
      <c r="A137" s="32">
        <v>22605124</v>
      </c>
      <c r="B137" s="32" t="s">
        <v>1035</v>
      </c>
      <c r="C137" s="32" t="s">
        <v>1036</v>
      </c>
      <c r="D137" s="32" t="s">
        <v>1037</v>
      </c>
      <c r="E137" s="32" t="s">
        <v>993</v>
      </c>
      <c r="F137" s="32" t="s">
        <v>993</v>
      </c>
      <c r="G137" s="40">
        <v>46077</v>
      </c>
      <c r="H137" s="40" t="s">
        <v>994</v>
      </c>
      <c r="I137" s="40" t="s">
        <v>994</v>
      </c>
      <c r="J137" s="32" t="s">
        <v>995</v>
      </c>
      <c r="K137" s="32">
        <v>46077</v>
      </c>
      <c r="L137" s="32">
        <v>433705</v>
      </c>
      <c r="M137" s="32">
        <v>433705</v>
      </c>
      <c r="N137" s="42"/>
      <c r="O137" s="32" t="s">
        <v>994</v>
      </c>
      <c r="P137" s="32">
        <v>862</v>
      </c>
      <c r="Q137" s="32" t="s">
        <v>706</v>
      </c>
      <c r="R137" s="32" t="s">
        <v>1390</v>
      </c>
      <c r="S137" s="32" t="s">
        <v>708</v>
      </c>
      <c r="T137" s="32" t="s">
        <v>997</v>
      </c>
      <c r="U137" s="32">
        <v>85614</v>
      </c>
      <c r="V137" s="32">
        <v>31.883126000000001</v>
      </c>
      <c r="W137" s="32">
        <v>-111.00669600000001</v>
      </c>
      <c r="X137" s="32">
        <v>1658</v>
      </c>
      <c r="Y137" s="32">
        <v>2026</v>
      </c>
      <c r="Z137" s="32">
        <v>2</v>
      </c>
      <c r="AA137" s="32">
        <v>2</v>
      </c>
      <c r="AB137" s="32" t="s">
        <v>510</v>
      </c>
      <c r="AC137" s="32" t="s">
        <v>998</v>
      </c>
      <c r="AD137" s="32" t="s">
        <v>1449</v>
      </c>
      <c r="AE137" s="32" t="s">
        <v>1450</v>
      </c>
      <c r="AF137" s="32">
        <v>302790650</v>
      </c>
      <c r="AG137" s="32" t="s">
        <v>1393</v>
      </c>
      <c r="AH137" s="32" t="s">
        <v>1003</v>
      </c>
      <c r="AI137" s="32" t="str">
        <f t="shared" si="4"/>
        <v>Hampton</v>
      </c>
      <c r="AJ137" s="32">
        <v>6800</v>
      </c>
      <c r="AK137" s="32" t="s">
        <v>1394</v>
      </c>
      <c r="AL137" s="32">
        <v>100</v>
      </c>
      <c r="AM137" s="32" t="s">
        <v>1804</v>
      </c>
      <c r="AN137" s="41">
        <f t="shared" si="5"/>
        <v>1</v>
      </c>
    </row>
    <row r="138" spans="1:40" x14ac:dyDescent="0.25">
      <c r="A138" s="32">
        <v>22605143</v>
      </c>
      <c r="B138" s="32" t="s">
        <v>1035</v>
      </c>
      <c r="C138" s="32" t="s">
        <v>1036</v>
      </c>
      <c r="D138" s="32" t="s">
        <v>1037</v>
      </c>
      <c r="E138" s="32" t="s">
        <v>993</v>
      </c>
      <c r="F138" s="32" t="s">
        <v>993</v>
      </c>
      <c r="G138" s="40">
        <v>46077</v>
      </c>
      <c r="H138" s="40" t="s">
        <v>994</v>
      </c>
      <c r="I138" s="40" t="s">
        <v>994</v>
      </c>
      <c r="J138" s="32" t="s">
        <v>995</v>
      </c>
      <c r="K138" s="32">
        <v>46077</v>
      </c>
      <c r="L138" s="32">
        <v>438705</v>
      </c>
      <c r="M138" s="32">
        <v>398900</v>
      </c>
      <c r="N138" s="42"/>
      <c r="O138" s="32" t="s">
        <v>994</v>
      </c>
      <c r="P138" s="32">
        <v>854</v>
      </c>
      <c r="Q138" s="32" t="s">
        <v>706</v>
      </c>
      <c r="R138" s="32" t="s">
        <v>1390</v>
      </c>
      <c r="S138" s="32" t="s">
        <v>708</v>
      </c>
      <c r="T138" s="32" t="s">
        <v>997</v>
      </c>
      <c r="U138" s="32">
        <v>85614</v>
      </c>
      <c r="V138" s="32">
        <v>31.883042</v>
      </c>
      <c r="W138" s="32">
        <v>-111.00682399999999</v>
      </c>
      <c r="X138" s="32">
        <v>1796</v>
      </c>
      <c r="Y138" s="32">
        <v>2026</v>
      </c>
      <c r="Z138" s="32">
        <v>2</v>
      </c>
      <c r="AA138" s="32">
        <v>3</v>
      </c>
      <c r="AB138" s="32" t="s">
        <v>510</v>
      </c>
      <c r="AC138" s="32" t="s">
        <v>998</v>
      </c>
      <c r="AD138" s="32" t="s">
        <v>1451</v>
      </c>
      <c r="AE138" s="32" t="s">
        <v>1452</v>
      </c>
      <c r="AF138" s="32">
        <v>302790660</v>
      </c>
      <c r="AG138" s="32" t="s">
        <v>1393</v>
      </c>
      <c r="AH138" s="32" t="s">
        <v>1003</v>
      </c>
      <c r="AI138" s="32" t="str">
        <f t="shared" si="4"/>
        <v>Thomas</v>
      </c>
      <c r="AJ138" s="32">
        <v>6800</v>
      </c>
      <c r="AK138" s="32" t="s">
        <v>1394</v>
      </c>
      <c r="AL138" s="32">
        <v>100</v>
      </c>
      <c r="AM138" s="32" t="s">
        <v>1805</v>
      </c>
      <c r="AN138" s="41">
        <f t="shared" si="5"/>
        <v>1</v>
      </c>
    </row>
    <row r="139" spans="1:40" x14ac:dyDescent="0.25">
      <c r="A139" s="32">
        <v>22605145</v>
      </c>
      <c r="B139" s="32" t="s">
        <v>1035</v>
      </c>
      <c r="C139" s="32" t="s">
        <v>1036</v>
      </c>
      <c r="D139" s="32" t="s">
        <v>1037</v>
      </c>
      <c r="E139" s="32" t="s">
        <v>993</v>
      </c>
      <c r="F139" s="32" t="s">
        <v>993</v>
      </c>
      <c r="G139" s="40">
        <v>46077</v>
      </c>
      <c r="H139" s="40" t="s">
        <v>994</v>
      </c>
      <c r="I139" s="40" t="s">
        <v>994</v>
      </c>
      <c r="J139" s="32" t="s">
        <v>995</v>
      </c>
      <c r="K139" s="32">
        <v>46077</v>
      </c>
      <c r="L139" s="32">
        <v>485025</v>
      </c>
      <c r="M139" s="32">
        <v>485280</v>
      </c>
      <c r="N139" s="42"/>
      <c r="O139" s="32" t="s">
        <v>994</v>
      </c>
      <c r="P139" s="32">
        <v>934</v>
      </c>
      <c r="Q139" s="32" t="s">
        <v>706</v>
      </c>
      <c r="R139" s="32" t="s">
        <v>1390</v>
      </c>
      <c r="S139" s="32" t="s">
        <v>708</v>
      </c>
      <c r="T139" s="32" t="s">
        <v>997</v>
      </c>
      <c r="U139" s="32">
        <v>85614</v>
      </c>
      <c r="V139" s="32">
        <v>31.883975</v>
      </c>
      <c r="W139" s="32">
        <v>-111.005396</v>
      </c>
      <c r="X139" s="32">
        <v>2119</v>
      </c>
      <c r="Y139" s="32">
        <v>2026</v>
      </c>
      <c r="Z139" s="32">
        <v>2</v>
      </c>
      <c r="AA139" s="32">
        <v>3</v>
      </c>
      <c r="AB139" s="32" t="s">
        <v>510</v>
      </c>
      <c r="AC139" s="32" t="s">
        <v>998</v>
      </c>
      <c r="AD139" s="32" t="s">
        <v>1453</v>
      </c>
      <c r="AE139" s="32" t="s">
        <v>1454</v>
      </c>
      <c r="AF139" s="32">
        <v>304790570</v>
      </c>
      <c r="AG139" s="32" t="s">
        <v>1393</v>
      </c>
      <c r="AH139" s="32" t="s">
        <v>1003</v>
      </c>
      <c r="AI139" s="32" t="str">
        <f t="shared" si="4"/>
        <v>Charleston</v>
      </c>
      <c r="AJ139" s="32">
        <v>8160</v>
      </c>
      <c r="AK139" s="32" t="s">
        <v>1394</v>
      </c>
      <c r="AL139" s="32">
        <v>100</v>
      </c>
      <c r="AM139" s="32" t="s">
        <v>1806</v>
      </c>
      <c r="AN139" s="41">
        <f t="shared" si="5"/>
        <v>1</v>
      </c>
    </row>
    <row r="140" spans="1:40" x14ac:dyDescent="0.25">
      <c r="A140" s="32">
        <v>22605876</v>
      </c>
      <c r="B140" s="32" t="s">
        <v>1204</v>
      </c>
      <c r="C140" s="32" t="s">
        <v>1205</v>
      </c>
      <c r="D140" s="32" t="s">
        <v>1206</v>
      </c>
      <c r="E140" s="32" t="s">
        <v>993</v>
      </c>
      <c r="F140" s="32" t="s">
        <v>993</v>
      </c>
      <c r="G140" s="40">
        <v>46085</v>
      </c>
      <c r="H140" s="40">
        <v>46135</v>
      </c>
      <c r="I140" s="40">
        <v>46104</v>
      </c>
      <c r="J140" s="32" t="s">
        <v>37</v>
      </c>
      <c r="K140" s="32">
        <v>46148</v>
      </c>
      <c r="L140" s="32">
        <v>399900</v>
      </c>
      <c r="M140" s="32">
        <v>399900</v>
      </c>
      <c r="N140" s="32">
        <v>399900</v>
      </c>
      <c r="O140" s="32">
        <v>241.63</v>
      </c>
      <c r="P140" s="32">
        <v>30679</v>
      </c>
      <c r="Q140" s="32" t="s">
        <v>38</v>
      </c>
      <c r="R140" s="32" t="s">
        <v>676</v>
      </c>
      <c r="S140" s="32" t="s">
        <v>551</v>
      </c>
      <c r="T140" s="32" t="s">
        <v>997</v>
      </c>
      <c r="U140" s="32">
        <v>85623</v>
      </c>
      <c r="V140" s="32">
        <v>32.597881000000001</v>
      </c>
      <c r="W140" s="32">
        <v>-110.900111</v>
      </c>
      <c r="X140" s="32">
        <v>1655</v>
      </c>
      <c r="Y140" s="32">
        <v>2025</v>
      </c>
      <c r="Z140" s="32">
        <v>2</v>
      </c>
      <c r="AA140" s="32">
        <v>2</v>
      </c>
      <c r="AB140" s="32" t="s">
        <v>510</v>
      </c>
      <c r="AC140" s="32" t="s">
        <v>998</v>
      </c>
      <c r="AD140" s="32" t="s">
        <v>677</v>
      </c>
      <c r="AE140" s="32" t="s">
        <v>678</v>
      </c>
      <c r="AF140" s="32" t="s">
        <v>1455</v>
      </c>
      <c r="AG140" s="32" t="s">
        <v>1208</v>
      </c>
      <c r="AH140" s="32" t="s">
        <v>1003</v>
      </c>
      <c r="AI140" s="32" t="str">
        <f t="shared" si="4"/>
        <v>VIVA</v>
      </c>
      <c r="AJ140" s="32">
        <v>4279</v>
      </c>
      <c r="AK140" s="32" t="s">
        <v>554</v>
      </c>
      <c r="AL140" s="32">
        <v>10</v>
      </c>
      <c r="AM140" s="32" t="s">
        <v>1807</v>
      </c>
      <c r="AN140" s="41">
        <f t="shared" si="5"/>
        <v>3</v>
      </c>
    </row>
    <row r="141" spans="1:40" x14ac:dyDescent="0.25">
      <c r="A141" s="32">
        <v>22606003</v>
      </c>
      <c r="B141" s="32" t="s">
        <v>1204</v>
      </c>
      <c r="C141" s="32" t="s">
        <v>1205</v>
      </c>
      <c r="D141" s="32" t="s">
        <v>1206</v>
      </c>
      <c r="E141" s="32" t="s">
        <v>993</v>
      </c>
      <c r="F141" s="32" t="s">
        <v>993</v>
      </c>
      <c r="G141" s="40">
        <v>46086</v>
      </c>
      <c r="H141" s="40" t="s">
        <v>994</v>
      </c>
      <c r="I141" s="40">
        <v>46126</v>
      </c>
      <c r="J141" s="32" t="s">
        <v>1038</v>
      </c>
      <c r="K141" s="32">
        <v>46147</v>
      </c>
      <c r="L141" s="32">
        <v>589900</v>
      </c>
      <c r="M141" s="32">
        <v>589900</v>
      </c>
      <c r="O141" s="32" t="s">
        <v>994</v>
      </c>
      <c r="P141" s="32">
        <v>61618</v>
      </c>
      <c r="Q141" s="32" t="s">
        <v>48</v>
      </c>
      <c r="R141" s="32" t="s">
        <v>686</v>
      </c>
      <c r="S141" s="32" t="s">
        <v>551</v>
      </c>
      <c r="T141" s="32" t="s">
        <v>997</v>
      </c>
      <c r="U141" s="32">
        <v>85623</v>
      </c>
      <c r="V141" s="32">
        <v>32.600248000000001</v>
      </c>
      <c r="W141" s="32">
        <v>-110.908182</v>
      </c>
      <c r="X141" s="32">
        <v>1956</v>
      </c>
      <c r="Y141" s="32">
        <v>2025</v>
      </c>
      <c r="Z141" s="32">
        <v>2</v>
      </c>
      <c r="AA141" s="32">
        <v>3</v>
      </c>
      <c r="AB141" s="32" t="s">
        <v>510</v>
      </c>
      <c r="AC141" s="32" t="s">
        <v>998</v>
      </c>
      <c r="AD141" s="32" t="s">
        <v>1456</v>
      </c>
      <c r="AE141" s="32" t="s">
        <v>1457</v>
      </c>
      <c r="AF141" s="32" t="s">
        <v>1458</v>
      </c>
      <c r="AG141" s="32" t="s">
        <v>1459</v>
      </c>
      <c r="AH141" s="32" t="s">
        <v>1003</v>
      </c>
      <c r="AI141" s="32" t="str">
        <f t="shared" si="4"/>
        <v>Alora</v>
      </c>
      <c r="AJ141" s="32">
        <v>7051</v>
      </c>
      <c r="AK141" s="32" t="s">
        <v>554</v>
      </c>
      <c r="AL141" s="32">
        <v>36</v>
      </c>
      <c r="AM141" s="32" t="s">
        <v>1808</v>
      </c>
      <c r="AN141" s="41">
        <f t="shared" si="5"/>
        <v>2</v>
      </c>
    </row>
    <row r="142" spans="1:40" x14ac:dyDescent="0.25">
      <c r="A142" s="32">
        <v>22606005</v>
      </c>
      <c r="B142" s="32" t="s">
        <v>1204</v>
      </c>
      <c r="C142" s="32" t="s">
        <v>1205</v>
      </c>
      <c r="D142" s="32" t="s">
        <v>1206</v>
      </c>
      <c r="E142" s="32" t="s">
        <v>993</v>
      </c>
      <c r="F142" s="32" t="s">
        <v>993</v>
      </c>
      <c r="G142" s="40">
        <v>46086</v>
      </c>
      <c r="H142" s="40">
        <v>46143</v>
      </c>
      <c r="I142" s="40">
        <v>46126</v>
      </c>
      <c r="J142" s="32" t="s">
        <v>37</v>
      </c>
      <c r="K142" s="32">
        <v>46147</v>
      </c>
      <c r="L142" s="32">
        <v>529900</v>
      </c>
      <c r="M142" s="32">
        <v>529900</v>
      </c>
      <c r="N142" s="32">
        <v>509900</v>
      </c>
      <c r="O142" s="32">
        <v>245.26</v>
      </c>
      <c r="P142" s="32">
        <v>61701</v>
      </c>
      <c r="Q142" s="32" t="s">
        <v>48</v>
      </c>
      <c r="R142" s="32" t="s">
        <v>550</v>
      </c>
      <c r="S142" s="32" t="s">
        <v>551</v>
      </c>
      <c r="T142" s="32" t="s">
        <v>997</v>
      </c>
      <c r="U142" s="32">
        <v>85623</v>
      </c>
      <c r="V142" s="32">
        <v>32.598421999999999</v>
      </c>
      <c r="W142" s="32">
        <v>-110.907421</v>
      </c>
      <c r="X142" s="32">
        <v>2079</v>
      </c>
      <c r="Y142" s="32">
        <v>2026</v>
      </c>
      <c r="Z142" s="32">
        <v>2</v>
      </c>
      <c r="AA142" s="32">
        <v>3</v>
      </c>
      <c r="AB142" s="32" t="s">
        <v>510</v>
      </c>
      <c r="AC142" s="32" t="s">
        <v>998</v>
      </c>
      <c r="AD142" s="32" t="s">
        <v>552</v>
      </c>
      <c r="AE142" s="32" t="s">
        <v>553</v>
      </c>
      <c r="AF142" s="32" t="s">
        <v>1460</v>
      </c>
      <c r="AG142" s="32" t="s">
        <v>1208</v>
      </c>
      <c r="AH142" s="32" t="s">
        <v>1003</v>
      </c>
      <c r="AI142" s="32" t="str">
        <f t="shared" si="4"/>
        <v>Alora</v>
      </c>
      <c r="AJ142" s="32">
        <v>6808</v>
      </c>
      <c r="AK142" s="32" t="s">
        <v>554</v>
      </c>
      <c r="AL142" s="36">
        <v>34</v>
      </c>
      <c r="AM142" s="30" t="s">
        <v>1809</v>
      </c>
      <c r="AN142" s="41">
        <f t="shared" si="5"/>
        <v>3</v>
      </c>
    </row>
    <row r="143" spans="1:40" x14ac:dyDescent="0.25">
      <c r="A143" s="32">
        <v>22606007</v>
      </c>
      <c r="B143" s="32" t="s">
        <v>1204</v>
      </c>
      <c r="C143" s="32" t="s">
        <v>1205</v>
      </c>
      <c r="D143" s="32" t="s">
        <v>1206</v>
      </c>
      <c r="E143" s="32" t="s">
        <v>993</v>
      </c>
      <c r="F143" s="32" t="s">
        <v>993</v>
      </c>
      <c r="G143" s="40">
        <v>46086</v>
      </c>
      <c r="H143" s="40">
        <v>46168</v>
      </c>
      <c r="I143" s="40">
        <v>46126</v>
      </c>
      <c r="J143" s="32" t="s">
        <v>37</v>
      </c>
      <c r="K143" s="32">
        <v>46169</v>
      </c>
      <c r="L143" s="32">
        <v>584900</v>
      </c>
      <c r="M143" s="32">
        <v>584900</v>
      </c>
      <c r="N143" s="32">
        <v>563900</v>
      </c>
      <c r="O143" s="32">
        <v>274.81</v>
      </c>
      <c r="P143" s="32">
        <v>62084</v>
      </c>
      <c r="Q143" s="32" t="s">
        <v>48</v>
      </c>
      <c r="R143" s="32" t="s">
        <v>686</v>
      </c>
      <c r="S143" s="32" t="s">
        <v>551</v>
      </c>
      <c r="T143" s="32" t="s">
        <v>997</v>
      </c>
      <c r="U143" s="32">
        <v>85623</v>
      </c>
      <c r="V143" s="32">
        <v>32.602415000000001</v>
      </c>
      <c r="W143" s="32">
        <v>-110.904256</v>
      </c>
      <c r="X143" s="32">
        <v>2052</v>
      </c>
      <c r="Y143" s="32">
        <v>2025</v>
      </c>
      <c r="Z143" s="32">
        <v>2</v>
      </c>
      <c r="AA143" s="32">
        <v>3</v>
      </c>
      <c r="AB143" s="32" t="s">
        <v>510</v>
      </c>
      <c r="AC143" s="32" t="s">
        <v>998</v>
      </c>
      <c r="AD143" s="32" t="s">
        <v>687</v>
      </c>
      <c r="AE143" s="32" t="s">
        <v>688</v>
      </c>
      <c r="AF143" s="32" t="s">
        <v>1460</v>
      </c>
      <c r="AG143" s="32" t="s">
        <v>1208</v>
      </c>
      <c r="AH143" s="32" t="s">
        <v>1003</v>
      </c>
      <c r="AI143" s="32" t="str">
        <f t="shared" si="4"/>
        <v>Alora</v>
      </c>
      <c r="AJ143" s="32">
        <v>7150</v>
      </c>
      <c r="AK143" s="32" t="s">
        <v>554</v>
      </c>
      <c r="AL143" s="32">
        <v>36</v>
      </c>
      <c r="AM143" s="32" t="s">
        <v>1810</v>
      </c>
      <c r="AN143" s="41">
        <f t="shared" si="5"/>
        <v>3</v>
      </c>
    </row>
    <row r="144" spans="1:40" x14ac:dyDescent="0.25">
      <c r="A144" s="32">
        <v>22606419</v>
      </c>
      <c r="B144" s="32" t="s">
        <v>1025</v>
      </c>
      <c r="C144" s="32" t="s">
        <v>1026</v>
      </c>
      <c r="D144" s="32" t="s">
        <v>1027</v>
      </c>
      <c r="E144" s="32" t="s">
        <v>993</v>
      </c>
      <c r="F144" s="32" t="s">
        <v>993</v>
      </c>
      <c r="G144" s="40">
        <v>46091</v>
      </c>
      <c r="H144" s="40" t="s">
        <v>994</v>
      </c>
      <c r="I144" s="40" t="s">
        <v>994</v>
      </c>
      <c r="J144" s="32" t="s">
        <v>995</v>
      </c>
      <c r="K144" s="32">
        <v>46091</v>
      </c>
      <c r="L144" s="32">
        <v>357990</v>
      </c>
      <c r="M144" s="32">
        <v>350940</v>
      </c>
      <c r="N144" s="42"/>
      <c r="O144" s="32" t="s">
        <v>994</v>
      </c>
      <c r="P144" s="32">
        <v>13036</v>
      </c>
      <c r="Q144" s="32" t="s">
        <v>48</v>
      </c>
      <c r="R144" s="32" t="s">
        <v>1407</v>
      </c>
      <c r="S144" s="32" t="s">
        <v>45</v>
      </c>
      <c r="T144" s="32" t="s">
        <v>997</v>
      </c>
      <c r="U144" s="32">
        <v>85747</v>
      </c>
      <c r="V144" s="32">
        <v>32.112850999999999</v>
      </c>
      <c r="W144" s="32">
        <v>-110.714282</v>
      </c>
      <c r="X144" s="32">
        <v>1452</v>
      </c>
      <c r="Y144" s="32">
        <v>2026</v>
      </c>
      <c r="Z144" s="32">
        <v>3</v>
      </c>
      <c r="AA144" s="32">
        <v>2</v>
      </c>
      <c r="AB144" s="32" t="s">
        <v>510</v>
      </c>
      <c r="AC144" s="32" t="s">
        <v>998</v>
      </c>
      <c r="AD144" s="32" t="s">
        <v>1461</v>
      </c>
      <c r="AE144" s="32" t="s">
        <v>1462</v>
      </c>
      <c r="AF144" s="32" t="s">
        <v>1463</v>
      </c>
      <c r="AG144" s="32" t="s">
        <v>1033</v>
      </c>
      <c r="AH144" s="32" t="s">
        <v>1003</v>
      </c>
      <c r="AI144" s="32" t="str">
        <f t="shared" si="4"/>
        <v>Bristle C</v>
      </c>
      <c r="AJ144" s="32">
        <v>4987</v>
      </c>
      <c r="AK144" s="32" t="s">
        <v>1411</v>
      </c>
      <c r="AL144" s="36">
        <v>86</v>
      </c>
      <c r="AM144" s="30" t="s">
        <v>1811</v>
      </c>
      <c r="AN144" s="41">
        <f t="shared" si="5"/>
        <v>1</v>
      </c>
    </row>
    <row r="145" spans="1:40" x14ac:dyDescent="0.25">
      <c r="A145" s="32">
        <v>22606421</v>
      </c>
      <c r="B145" s="32" t="s">
        <v>1025</v>
      </c>
      <c r="C145" s="32" t="s">
        <v>1026</v>
      </c>
      <c r="D145" s="32" t="s">
        <v>1027</v>
      </c>
      <c r="E145" s="32" t="s">
        <v>993</v>
      </c>
      <c r="F145" s="32" t="s">
        <v>993</v>
      </c>
      <c r="G145" s="40">
        <v>46091</v>
      </c>
      <c r="H145" s="40">
        <v>46169</v>
      </c>
      <c r="I145" s="40">
        <v>46136</v>
      </c>
      <c r="J145" s="32" t="s">
        <v>37</v>
      </c>
      <c r="K145" s="32">
        <v>46169</v>
      </c>
      <c r="L145" s="32">
        <v>425990</v>
      </c>
      <c r="M145" s="32">
        <v>412940</v>
      </c>
      <c r="N145" s="32">
        <v>412940</v>
      </c>
      <c r="O145" s="32">
        <v>176.17</v>
      </c>
      <c r="P145" s="32">
        <v>7577</v>
      </c>
      <c r="Q145" s="32" t="s">
        <v>38</v>
      </c>
      <c r="R145" s="32" t="s">
        <v>1445</v>
      </c>
      <c r="S145" s="32" t="s">
        <v>45</v>
      </c>
      <c r="T145" s="32" t="s">
        <v>997</v>
      </c>
      <c r="U145" s="32">
        <v>85747</v>
      </c>
      <c r="V145" s="32">
        <v>32.112709000000002</v>
      </c>
      <c r="W145" s="32">
        <v>-110.714541</v>
      </c>
      <c r="X145" s="32">
        <v>2344</v>
      </c>
      <c r="Y145" s="32">
        <v>2026</v>
      </c>
      <c r="Z145" s="32">
        <v>4</v>
      </c>
      <c r="AA145" s="32">
        <v>3</v>
      </c>
      <c r="AB145" s="32" t="s">
        <v>510</v>
      </c>
      <c r="AC145" s="32" t="s">
        <v>1008</v>
      </c>
      <c r="AD145" s="32" t="s">
        <v>1464</v>
      </c>
      <c r="AE145" s="32" t="s">
        <v>1465</v>
      </c>
      <c r="AF145" s="32" t="s">
        <v>1466</v>
      </c>
      <c r="AG145" s="32" t="s">
        <v>1033</v>
      </c>
      <c r="AH145" s="32" t="s">
        <v>1003</v>
      </c>
      <c r="AI145" s="32" t="str">
        <f t="shared" si="4"/>
        <v>Dune B</v>
      </c>
      <c r="AJ145" s="32">
        <v>6198</v>
      </c>
      <c r="AK145" s="32" t="s">
        <v>1411</v>
      </c>
      <c r="AL145" s="32">
        <v>45</v>
      </c>
      <c r="AM145" s="32" t="s">
        <v>1812</v>
      </c>
      <c r="AN145" s="41">
        <f t="shared" si="5"/>
        <v>3</v>
      </c>
    </row>
    <row r="146" spans="1:40" x14ac:dyDescent="0.25">
      <c r="A146" s="32">
        <v>22606549</v>
      </c>
      <c r="B146" s="32" t="s">
        <v>1204</v>
      </c>
      <c r="C146" s="32" t="s">
        <v>1205</v>
      </c>
      <c r="D146" s="32" t="s">
        <v>1206</v>
      </c>
      <c r="E146" s="32" t="s">
        <v>993</v>
      </c>
      <c r="F146" s="32" t="s">
        <v>993</v>
      </c>
      <c r="G146" s="40">
        <v>46092</v>
      </c>
      <c r="H146" s="40">
        <v>46143</v>
      </c>
      <c r="I146" s="40">
        <v>46116</v>
      </c>
      <c r="J146" s="32" t="s">
        <v>37</v>
      </c>
      <c r="K146" s="32">
        <v>46148</v>
      </c>
      <c r="L146" s="32">
        <v>985767</v>
      </c>
      <c r="M146" s="32">
        <v>985767</v>
      </c>
      <c r="N146" s="32">
        <v>930000</v>
      </c>
      <c r="O146" s="32">
        <v>381.3</v>
      </c>
      <c r="P146" s="32">
        <v>36342</v>
      </c>
      <c r="Q146" s="32">
        <v>0</v>
      </c>
      <c r="R146" s="32" t="s">
        <v>55</v>
      </c>
      <c r="S146" s="32" t="s">
        <v>45</v>
      </c>
      <c r="T146" s="32" t="s">
        <v>997</v>
      </c>
      <c r="U146" s="32">
        <v>85739</v>
      </c>
      <c r="V146" s="32">
        <v>32.546185999999999</v>
      </c>
      <c r="W146" s="32">
        <v>-110.85210600000001</v>
      </c>
      <c r="X146" s="32">
        <v>2439</v>
      </c>
      <c r="Y146" s="32">
        <v>2026</v>
      </c>
      <c r="Z146" s="32">
        <v>2</v>
      </c>
      <c r="AA146" s="32">
        <v>3</v>
      </c>
      <c r="AB146" s="32" t="s">
        <v>510</v>
      </c>
      <c r="AC146" s="32" t="s">
        <v>998</v>
      </c>
      <c r="AD146" s="32" t="s">
        <v>511</v>
      </c>
      <c r="AE146" s="32" t="s">
        <v>512</v>
      </c>
      <c r="AF146" s="32" t="s">
        <v>1467</v>
      </c>
      <c r="AG146" s="32" t="s">
        <v>1208</v>
      </c>
      <c r="AH146" s="32" t="s">
        <v>1003</v>
      </c>
      <c r="AI146" s="32" t="s">
        <v>1468</v>
      </c>
      <c r="AJ146" s="32">
        <v>12000</v>
      </c>
      <c r="AK146" s="32" t="s">
        <v>40</v>
      </c>
      <c r="AL146" s="36">
        <v>19</v>
      </c>
      <c r="AM146" s="30" t="s">
        <v>1813</v>
      </c>
      <c r="AN146" s="41">
        <f t="shared" si="5"/>
        <v>3</v>
      </c>
    </row>
    <row r="147" spans="1:40" x14ac:dyDescent="0.25">
      <c r="A147" s="32">
        <v>22607096</v>
      </c>
      <c r="B147" s="32" t="s">
        <v>1025</v>
      </c>
      <c r="C147" s="32" t="s">
        <v>1026</v>
      </c>
      <c r="D147" s="32" t="s">
        <v>1027</v>
      </c>
      <c r="E147" s="32" t="s">
        <v>993</v>
      </c>
      <c r="F147" s="32" t="s">
        <v>993</v>
      </c>
      <c r="G147" s="40">
        <v>46098</v>
      </c>
      <c r="H147" s="40">
        <v>46149</v>
      </c>
      <c r="I147" s="40">
        <v>46107</v>
      </c>
      <c r="J147" s="32" t="s">
        <v>37</v>
      </c>
      <c r="K147" s="32">
        <v>46149</v>
      </c>
      <c r="L147" s="32">
        <v>412990</v>
      </c>
      <c r="M147" s="32">
        <v>410140</v>
      </c>
      <c r="N147" s="32">
        <v>410140</v>
      </c>
      <c r="O147" s="32">
        <v>194.84</v>
      </c>
      <c r="P147" s="32">
        <v>7589</v>
      </c>
      <c r="Q147" s="32" t="s">
        <v>38</v>
      </c>
      <c r="R147" s="32" t="s">
        <v>1445</v>
      </c>
      <c r="S147" s="32" t="s">
        <v>45</v>
      </c>
      <c r="T147" s="32" t="s">
        <v>997</v>
      </c>
      <c r="U147" s="32">
        <v>85747</v>
      </c>
      <c r="V147" s="32">
        <v>32.112994</v>
      </c>
      <c r="W147" s="32">
        <v>-110.71091199999999</v>
      </c>
      <c r="X147" s="32">
        <v>2105</v>
      </c>
      <c r="Y147" s="32">
        <v>2026</v>
      </c>
      <c r="Z147" s="32">
        <v>4</v>
      </c>
      <c r="AA147" s="32">
        <v>3</v>
      </c>
      <c r="AB147" s="32" t="s">
        <v>510</v>
      </c>
      <c r="AC147" s="32" t="s">
        <v>998</v>
      </c>
      <c r="AD147" s="32" t="s">
        <v>1469</v>
      </c>
      <c r="AE147" s="32" t="s">
        <v>1443</v>
      </c>
      <c r="AF147" s="32" t="s">
        <v>1470</v>
      </c>
      <c r="AG147" s="32" t="s">
        <v>1033</v>
      </c>
      <c r="AH147" s="32" t="s">
        <v>1003</v>
      </c>
      <c r="AI147" s="32" t="str">
        <f t="shared" ref="AI147:AI163" si="6">IFERROR(_xlfn.TEXTBEFORE(_xlfn.TEXTAFTER(AM147,"Construction|Model Name|"),";"),"")</f>
        <v>Bella NG A</v>
      </c>
      <c r="AJ147" s="32">
        <v>8497</v>
      </c>
      <c r="AK147" s="32" t="s">
        <v>1411</v>
      </c>
      <c r="AL147" s="36">
        <v>9</v>
      </c>
      <c r="AM147" s="30" t="s">
        <v>1814</v>
      </c>
      <c r="AN147" s="41">
        <f t="shared" si="5"/>
        <v>3</v>
      </c>
    </row>
    <row r="148" spans="1:40" x14ac:dyDescent="0.25">
      <c r="A148" s="32">
        <v>22607219</v>
      </c>
      <c r="B148" s="32" t="s">
        <v>1222</v>
      </c>
      <c r="C148" s="32" t="s">
        <v>1223</v>
      </c>
      <c r="D148" s="32" t="s">
        <v>1224</v>
      </c>
      <c r="E148" s="32" t="s">
        <v>993</v>
      </c>
      <c r="F148" s="32" t="s">
        <v>993</v>
      </c>
      <c r="G148" s="40">
        <v>46099</v>
      </c>
      <c r="H148" s="40">
        <v>46105</v>
      </c>
      <c r="I148" s="40">
        <v>46099</v>
      </c>
      <c r="J148" s="32" t="s">
        <v>37</v>
      </c>
      <c r="K148" s="32">
        <v>46105</v>
      </c>
      <c r="L148" s="32">
        <v>466711</v>
      </c>
      <c r="M148" s="32">
        <v>466711</v>
      </c>
      <c r="N148" s="32">
        <v>466711</v>
      </c>
      <c r="O148" s="32">
        <v>204.16</v>
      </c>
      <c r="P148" s="32">
        <v>13972</v>
      </c>
      <c r="Q148" s="32" t="s">
        <v>48</v>
      </c>
      <c r="R148" s="32" t="s">
        <v>1386</v>
      </c>
      <c r="S148" s="32" t="s">
        <v>1029</v>
      </c>
      <c r="T148" s="32" t="s">
        <v>997</v>
      </c>
      <c r="U148" s="32">
        <v>85641</v>
      </c>
      <c r="V148" s="32">
        <v>32.091538999999997</v>
      </c>
      <c r="W148" s="32">
        <v>-110.694391</v>
      </c>
      <c r="X148" s="32">
        <v>2286</v>
      </c>
      <c r="Y148" s="32">
        <v>2026</v>
      </c>
      <c r="Z148" s="32">
        <v>4</v>
      </c>
      <c r="AA148" s="32">
        <v>3</v>
      </c>
      <c r="AB148" s="32" t="s">
        <v>510</v>
      </c>
      <c r="AC148" s="32" t="s">
        <v>1008</v>
      </c>
      <c r="AD148" s="32" t="s">
        <v>1471</v>
      </c>
      <c r="AE148" s="32" t="s">
        <v>1472</v>
      </c>
      <c r="AF148" s="32" t="s">
        <v>1473</v>
      </c>
      <c r="AG148" s="32" t="s">
        <v>1229</v>
      </c>
      <c r="AH148" s="32" t="s">
        <v>1056</v>
      </c>
      <c r="AI148" s="32" t="str">
        <f t="shared" si="6"/>
        <v>Sienna</v>
      </c>
      <c r="AJ148" s="32">
        <v>5400</v>
      </c>
      <c r="AK148" s="32" t="s">
        <v>1044</v>
      </c>
      <c r="AL148" s="36">
        <v>0</v>
      </c>
      <c r="AM148" s="30" t="s">
        <v>1815</v>
      </c>
      <c r="AN148" s="41">
        <f t="shared" si="5"/>
        <v>3</v>
      </c>
    </row>
    <row r="149" spans="1:40" x14ac:dyDescent="0.25">
      <c r="A149" s="32">
        <v>22607774</v>
      </c>
      <c r="B149" s="32" t="s">
        <v>1025</v>
      </c>
      <c r="C149" s="32" t="s">
        <v>1026</v>
      </c>
      <c r="D149" s="32" t="s">
        <v>1027</v>
      </c>
      <c r="E149" s="32" t="s">
        <v>993</v>
      </c>
      <c r="F149" s="32" t="s">
        <v>993</v>
      </c>
      <c r="G149" s="40">
        <v>46105</v>
      </c>
      <c r="H149" s="40" t="s">
        <v>994</v>
      </c>
      <c r="I149" s="40">
        <v>46163</v>
      </c>
      <c r="J149" s="32" t="s">
        <v>1038</v>
      </c>
      <c r="K149" s="32">
        <v>46163</v>
      </c>
      <c r="L149" s="32">
        <v>359990</v>
      </c>
      <c r="M149" s="32">
        <v>349940</v>
      </c>
      <c r="O149" s="32" t="s">
        <v>994</v>
      </c>
      <c r="P149" s="32">
        <v>8786</v>
      </c>
      <c r="Q149" s="32" t="s">
        <v>38</v>
      </c>
      <c r="R149" s="32" t="s">
        <v>1213</v>
      </c>
      <c r="S149" s="32" t="s">
        <v>1029</v>
      </c>
      <c r="T149" s="32" t="s">
        <v>997</v>
      </c>
      <c r="U149" s="32">
        <v>85641</v>
      </c>
      <c r="V149" s="32">
        <v>32.096434000000002</v>
      </c>
      <c r="W149" s="32">
        <v>-110.692933</v>
      </c>
      <c r="X149" s="32">
        <v>1418</v>
      </c>
      <c r="Y149" s="32">
        <v>2026</v>
      </c>
      <c r="Z149" s="32">
        <v>3</v>
      </c>
      <c r="AA149" s="32">
        <v>2</v>
      </c>
      <c r="AB149" s="32" t="s">
        <v>510</v>
      </c>
      <c r="AC149" s="32" t="s">
        <v>998</v>
      </c>
      <c r="AD149" s="32" t="s">
        <v>1474</v>
      </c>
      <c r="AE149" s="32" t="s">
        <v>1239</v>
      </c>
      <c r="AF149" s="32" t="s">
        <v>1475</v>
      </c>
      <c r="AG149" s="32" t="s">
        <v>1033</v>
      </c>
      <c r="AH149" s="32" t="s">
        <v>1003</v>
      </c>
      <c r="AI149" s="32" t="str">
        <f t="shared" si="6"/>
        <v>Daisy A</v>
      </c>
      <c r="AJ149" s="32">
        <v>5726</v>
      </c>
      <c r="AK149" s="32" t="s">
        <v>1072</v>
      </c>
      <c r="AL149" s="32">
        <v>58</v>
      </c>
      <c r="AM149" s="32" t="s">
        <v>1816</v>
      </c>
      <c r="AN149" s="41">
        <f t="shared" si="5"/>
        <v>2</v>
      </c>
    </row>
    <row r="150" spans="1:40" x14ac:dyDescent="0.25">
      <c r="A150" s="32">
        <v>22607775</v>
      </c>
      <c r="B150" s="32" t="s">
        <v>1025</v>
      </c>
      <c r="C150" s="32" t="s">
        <v>1026</v>
      </c>
      <c r="D150" s="32" t="s">
        <v>1027</v>
      </c>
      <c r="E150" s="32" t="s">
        <v>993</v>
      </c>
      <c r="F150" s="32" t="s">
        <v>993</v>
      </c>
      <c r="G150" s="40">
        <v>46105</v>
      </c>
      <c r="H150" s="40" t="s">
        <v>994</v>
      </c>
      <c r="I150" s="40">
        <v>46118</v>
      </c>
      <c r="J150" s="32" t="s">
        <v>1038</v>
      </c>
      <c r="K150" s="32">
        <v>46118</v>
      </c>
      <c r="L150" s="32">
        <v>384940</v>
      </c>
      <c r="M150" s="32">
        <v>373940</v>
      </c>
      <c r="O150" s="32" t="s">
        <v>994</v>
      </c>
      <c r="P150" s="32">
        <v>8798</v>
      </c>
      <c r="Q150" s="32" t="s">
        <v>38</v>
      </c>
      <c r="R150" s="32" t="s">
        <v>1213</v>
      </c>
      <c r="S150" s="32" t="s">
        <v>1029</v>
      </c>
      <c r="T150" s="32" t="s">
        <v>997</v>
      </c>
      <c r="U150" s="32">
        <v>85641</v>
      </c>
      <c r="V150" s="32">
        <v>32.096555000000002</v>
      </c>
      <c r="W150" s="32">
        <v>-110.693387</v>
      </c>
      <c r="X150" s="32">
        <v>1888</v>
      </c>
      <c r="Y150" s="32">
        <v>2025</v>
      </c>
      <c r="Z150" s="32">
        <v>4</v>
      </c>
      <c r="AA150" s="32">
        <v>3</v>
      </c>
      <c r="AB150" s="32" t="s">
        <v>510</v>
      </c>
      <c r="AC150" s="32" t="s">
        <v>1008</v>
      </c>
      <c r="AD150" s="32" t="s">
        <v>1476</v>
      </c>
      <c r="AE150" s="32" t="s">
        <v>1140</v>
      </c>
      <c r="AF150" s="32" t="s">
        <v>1477</v>
      </c>
      <c r="AG150" s="32" t="s">
        <v>1033</v>
      </c>
      <c r="AH150" s="32" t="s">
        <v>1003</v>
      </c>
      <c r="AI150" s="32" t="str">
        <f t="shared" si="6"/>
        <v>Gwen A</v>
      </c>
      <c r="AJ150" s="32">
        <v>4950</v>
      </c>
      <c r="AK150" s="32" t="s">
        <v>1072</v>
      </c>
      <c r="AL150" s="36">
        <v>13</v>
      </c>
      <c r="AM150" s="30" t="s">
        <v>1817</v>
      </c>
      <c r="AN150" s="41">
        <f t="shared" si="5"/>
        <v>2</v>
      </c>
    </row>
    <row r="151" spans="1:40" x14ac:dyDescent="0.25">
      <c r="A151" s="32">
        <v>22607777</v>
      </c>
      <c r="B151" s="32" t="s">
        <v>1025</v>
      </c>
      <c r="C151" s="32" t="s">
        <v>1026</v>
      </c>
      <c r="D151" s="32" t="s">
        <v>1027</v>
      </c>
      <c r="E151" s="32" t="s">
        <v>993</v>
      </c>
      <c r="F151" s="32" t="s">
        <v>993</v>
      </c>
      <c r="G151" s="40">
        <v>46105</v>
      </c>
      <c r="H151" s="40">
        <v>46164</v>
      </c>
      <c r="I151" s="40">
        <v>46142</v>
      </c>
      <c r="J151" s="32" t="s">
        <v>37</v>
      </c>
      <c r="K151" s="32">
        <v>46164</v>
      </c>
      <c r="L151" s="32">
        <v>379940</v>
      </c>
      <c r="M151" s="32">
        <v>366940</v>
      </c>
      <c r="N151" s="32">
        <v>363850</v>
      </c>
      <c r="O151" s="32">
        <v>192.72</v>
      </c>
      <c r="P151" s="32">
        <v>8793</v>
      </c>
      <c r="Q151" s="32" t="s">
        <v>38</v>
      </c>
      <c r="R151" s="32" t="s">
        <v>1213</v>
      </c>
      <c r="S151" s="32" t="s">
        <v>1029</v>
      </c>
      <c r="T151" s="32" t="s">
        <v>997</v>
      </c>
      <c r="U151" s="32">
        <v>85641</v>
      </c>
      <c r="V151" s="32">
        <v>32.096114</v>
      </c>
      <c r="W151" s="32">
        <v>-110.69345300000001</v>
      </c>
      <c r="X151" s="32">
        <v>1888</v>
      </c>
      <c r="Y151" s="32">
        <v>2025</v>
      </c>
      <c r="Z151" s="32">
        <v>4</v>
      </c>
      <c r="AA151" s="32">
        <v>3</v>
      </c>
      <c r="AB151" s="32" t="s">
        <v>510</v>
      </c>
      <c r="AC151" s="32" t="s">
        <v>1008</v>
      </c>
      <c r="AD151" s="32" t="s">
        <v>1478</v>
      </c>
      <c r="AE151" s="32" t="s">
        <v>1140</v>
      </c>
      <c r="AF151" s="32" t="s">
        <v>1479</v>
      </c>
      <c r="AG151" s="32" t="s">
        <v>1033</v>
      </c>
      <c r="AH151" s="32" t="s">
        <v>1003</v>
      </c>
      <c r="AI151" s="32" t="str">
        <f t="shared" si="6"/>
        <v>Gwen B</v>
      </c>
      <c r="AJ151" s="32">
        <v>4950</v>
      </c>
      <c r="AK151" s="32" t="s">
        <v>1072</v>
      </c>
      <c r="AL151" s="36">
        <v>37</v>
      </c>
      <c r="AM151" s="30" t="s">
        <v>1818</v>
      </c>
      <c r="AN151" s="41">
        <f t="shared" si="5"/>
        <v>3</v>
      </c>
    </row>
    <row r="152" spans="1:40" x14ac:dyDescent="0.25">
      <c r="A152" s="32">
        <v>22607782</v>
      </c>
      <c r="B152" s="32" t="s">
        <v>1025</v>
      </c>
      <c r="C152" s="32" t="s">
        <v>1026</v>
      </c>
      <c r="D152" s="32" t="s">
        <v>1027</v>
      </c>
      <c r="E152" s="32" t="s">
        <v>993</v>
      </c>
      <c r="F152" s="32" t="s">
        <v>993</v>
      </c>
      <c r="G152" s="40">
        <v>46105</v>
      </c>
      <c r="H152" s="40">
        <v>46153</v>
      </c>
      <c r="I152" s="40">
        <v>46115</v>
      </c>
      <c r="J152" s="32" t="s">
        <v>37</v>
      </c>
      <c r="K152" s="32">
        <v>46153</v>
      </c>
      <c r="L152" s="32">
        <v>487990</v>
      </c>
      <c r="M152" s="32">
        <v>494990</v>
      </c>
      <c r="N152" s="32">
        <v>487990</v>
      </c>
      <c r="O152" s="32">
        <v>201.23</v>
      </c>
      <c r="P152" s="32">
        <v>8202</v>
      </c>
      <c r="Q152" s="32" t="s">
        <v>38</v>
      </c>
      <c r="R152" s="32" t="s">
        <v>1028</v>
      </c>
      <c r="S152" s="32" t="s">
        <v>1029</v>
      </c>
      <c r="T152" s="32" t="s">
        <v>997</v>
      </c>
      <c r="U152" s="32">
        <v>85641</v>
      </c>
      <c r="V152" s="32">
        <v>32.099764</v>
      </c>
      <c r="W152" s="32">
        <v>-110.71841999999999</v>
      </c>
      <c r="X152" s="32">
        <v>2425</v>
      </c>
      <c r="Y152" s="32">
        <v>2026</v>
      </c>
      <c r="Z152" s="32">
        <v>5</v>
      </c>
      <c r="AA152" s="32">
        <v>3</v>
      </c>
      <c r="AB152" s="32" t="s">
        <v>510</v>
      </c>
      <c r="AC152" s="32" t="s">
        <v>1008</v>
      </c>
      <c r="AD152" s="32" t="s">
        <v>1480</v>
      </c>
      <c r="AE152" s="32" t="s">
        <v>1202</v>
      </c>
      <c r="AF152" s="32" t="s">
        <v>1481</v>
      </c>
      <c r="AG152" s="32" t="s">
        <v>1033</v>
      </c>
      <c r="AH152" s="32" t="s">
        <v>1003</v>
      </c>
      <c r="AI152" s="32" t="str">
        <f t="shared" si="6"/>
        <v>Venture A</v>
      </c>
      <c r="AJ152" s="32">
        <v>7464</v>
      </c>
      <c r="AK152" s="32" t="s">
        <v>1034</v>
      </c>
      <c r="AL152" s="32">
        <v>10</v>
      </c>
      <c r="AM152" s="32" t="s">
        <v>1819</v>
      </c>
      <c r="AN152" s="41">
        <f t="shared" si="5"/>
        <v>3</v>
      </c>
    </row>
    <row r="153" spans="1:40" x14ac:dyDescent="0.25">
      <c r="A153" s="32">
        <v>22607783</v>
      </c>
      <c r="B153" s="32" t="s">
        <v>1025</v>
      </c>
      <c r="C153" s="32" t="s">
        <v>1026</v>
      </c>
      <c r="D153" s="32" t="s">
        <v>1027</v>
      </c>
      <c r="E153" s="32" t="s">
        <v>993</v>
      </c>
      <c r="F153" s="32" t="s">
        <v>993</v>
      </c>
      <c r="G153" s="40">
        <v>46105</v>
      </c>
      <c r="H153" s="40">
        <v>46162</v>
      </c>
      <c r="I153" s="40">
        <v>46126</v>
      </c>
      <c r="J153" s="32" t="s">
        <v>37</v>
      </c>
      <c r="K153" s="32">
        <v>46162</v>
      </c>
      <c r="L153" s="32">
        <v>498990</v>
      </c>
      <c r="M153" s="32">
        <v>489990</v>
      </c>
      <c r="N153" s="32">
        <v>489990</v>
      </c>
      <c r="O153" s="32">
        <v>202.06</v>
      </c>
      <c r="P153" s="32">
        <v>8201</v>
      </c>
      <c r="Q153" s="32" t="s">
        <v>38</v>
      </c>
      <c r="R153" s="32" t="s">
        <v>1028</v>
      </c>
      <c r="S153" s="32" t="s">
        <v>1029</v>
      </c>
      <c r="T153" s="32" t="s">
        <v>997</v>
      </c>
      <c r="U153" s="32">
        <v>85641</v>
      </c>
      <c r="V153" s="32">
        <v>32.099764</v>
      </c>
      <c r="W153" s="32">
        <v>-110.71841999999999</v>
      </c>
      <c r="X153" s="32">
        <v>2425</v>
      </c>
      <c r="Y153" s="32">
        <v>2026</v>
      </c>
      <c r="Z153" s="32">
        <v>5</v>
      </c>
      <c r="AA153" s="32">
        <v>3</v>
      </c>
      <c r="AB153" s="32" t="s">
        <v>510</v>
      </c>
      <c r="AC153" s="32" t="s">
        <v>1008</v>
      </c>
      <c r="AD153" s="32" t="s">
        <v>1482</v>
      </c>
      <c r="AE153" s="32" t="s">
        <v>1202</v>
      </c>
      <c r="AF153" s="32" t="s">
        <v>1483</v>
      </c>
      <c r="AG153" s="32" t="s">
        <v>1033</v>
      </c>
      <c r="AH153" s="32" t="s">
        <v>1003</v>
      </c>
      <c r="AI153" s="32" t="str">
        <f t="shared" si="6"/>
        <v>Venture C</v>
      </c>
      <c r="AJ153" s="32">
        <v>7221</v>
      </c>
      <c r="AK153" s="32" t="s">
        <v>1034</v>
      </c>
      <c r="AL153" s="36">
        <v>21</v>
      </c>
      <c r="AM153" s="30" t="s">
        <v>1820</v>
      </c>
      <c r="AN153" s="41">
        <f t="shared" si="5"/>
        <v>3</v>
      </c>
    </row>
    <row r="154" spans="1:40" x14ac:dyDescent="0.25">
      <c r="A154" s="32">
        <v>22608977</v>
      </c>
      <c r="B154" s="32" t="s">
        <v>1025</v>
      </c>
      <c r="C154" s="32" t="s">
        <v>1026</v>
      </c>
      <c r="D154" s="32" t="s">
        <v>1027</v>
      </c>
      <c r="E154" s="32" t="s">
        <v>993</v>
      </c>
      <c r="F154" s="32" t="s">
        <v>993</v>
      </c>
      <c r="G154" s="40">
        <v>46119</v>
      </c>
      <c r="H154" s="40" t="s">
        <v>994</v>
      </c>
      <c r="I154" s="40">
        <v>46174</v>
      </c>
      <c r="J154" s="32" t="s">
        <v>1038</v>
      </c>
      <c r="K154" s="32">
        <v>46174</v>
      </c>
      <c r="L154" s="32">
        <v>359940</v>
      </c>
      <c r="M154" s="32">
        <v>351940</v>
      </c>
      <c r="O154" s="32" t="s">
        <v>994</v>
      </c>
      <c r="P154" s="32">
        <v>8789</v>
      </c>
      <c r="Q154" s="32" t="s">
        <v>38</v>
      </c>
      <c r="R154" s="32" t="s">
        <v>1213</v>
      </c>
      <c r="S154" s="32" t="s">
        <v>1029</v>
      </c>
      <c r="T154" s="32" t="s">
        <v>997</v>
      </c>
      <c r="U154" s="32">
        <v>85641</v>
      </c>
      <c r="V154" s="32">
        <v>32.096069</v>
      </c>
      <c r="W154" s="32">
        <v>-110.69331699999999</v>
      </c>
      <c r="X154" s="32">
        <v>1679</v>
      </c>
      <c r="Y154" s="32">
        <v>2026</v>
      </c>
      <c r="Z154" s="32">
        <v>4</v>
      </c>
      <c r="AA154" s="32">
        <v>2</v>
      </c>
      <c r="AB154" s="32" t="s">
        <v>510</v>
      </c>
      <c r="AC154" s="32" t="s">
        <v>998</v>
      </c>
      <c r="AD154" s="32" t="s">
        <v>1484</v>
      </c>
      <c r="AE154" s="32" t="s">
        <v>1343</v>
      </c>
      <c r="AF154" s="32" t="s">
        <v>1485</v>
      </c>
      <c r="AG154" s="32" t="s">
        <v>1033</v>
      </c>
      <c r="AH154" s="32" t="s">
        <v>1003</v>
      </c>
      <c r="AI154" s="32" t="str">
        <f t="shared" si="6"/>
        <v>Dolly B</v>
      </c>
      <c r="AJ154" s="32">
        <v>4944</v>
      </c>
      <c r="AK154" s="32" t="s">
        <v>1072</v>
      </c>
      <c r="AL154" s="32">
        <v>55</v>
      </c>
      <c r="AM154" s="32" t="s">
        <v>1821</v>
      </c>
      <c r="AN154" s="41">
        <f t="shared" si="5"/>
        <v>2</v>
      </c>
    </row>
    <row r="155" spans="1:40" x14ac:dyDescent="0.25">
      <c r="A155" s="32">
        <v>22608978</v>
      </c>
      <c r="B155" s="32" t="s">
        <v>1025</v>
      </c>
      <c r="C155" s="32" t="s">
        <v>1026</v>
      </c>
      <c r="D155" s="32" t="s">
        <v>1027</v>
      </c>
      <c r="E155" s="32" t="s">
        <v>993</v>
      </c>
      <c r="F155" s="32" t="s">
        <v>993</v>
      </c>
      <c r="G155" s="40">
        <v>46119</v>
      </c>
      <c r="H155" s="40" t="s">
        <v>994</v>
      </c>
      <c r="I155" s="40">
        <v>46132</v>
      </c>
      <c r="J155" s="32" t="s">
        <v>1038</v>
      </c>
      <c r="K155" s="32">
        <v>46132</v>
      </c>
      <c r="L155" s="32">
        <v>449990</v>
      </c>
      <c r="M155" s="32">
        <v>454990</v>
      </c>
      <c r="O155" s="32" t="s">
        <v>994</v>
      </c>
      <c r="P155" s="32">
        <v>12965</v>
      </c>
      <c r="Q155" s="32" t="s">
        <v>48</v>
      </c>
      <c r="R155" s="32" t="s">
        <v>1486</v>
      </c>
      <c r="S155" s="32" t="s">
        <v>1029</v>
      </c>
      <c r="T155" s="32" t="s">
        <v>997</v>
      </c>
      <c r="U155" s="32">
        <v>85641</v>
      </c>
      <c r="V155" s="32">
        <v>32.099764</v>
      </c>
      <c r="W155" s="32">
        <v>-110.71841999999999</v>
      </c>
      <c r="X155" s="32">
        <v>2135</v>
      </c>
      <c r="Y155" s="32">
        <v>2026</v>
      </c>
      <c r="Z155" s="32">
        <v>4</v>
      </c>
      <c r="AA155" s="32">
        <v>2</v>
      </c>
      <c r="AB155" s="32" t="s">
        <v>510</v>
      </c>
      <c r="AC155" s="32" t="s">
        <v>998</v>
      </c>
      <c r="AD155" s="32" t="s">
        <v>1487</v>
      </c>
      <c r="AE155" s="32" t="s">
        <v>1129</v>
      </c>
      <c r="AF155" s="32" t="s">
        <v>1488</v>
      </c>
      <c r="AG155" s="32" t="s">
        <v>1033</v>
      </c>
      <c r="AH155" s="32" t="s">
        <v>1003</v>
      </c>
      <c r="AI155" s="32" t="str">
        <f t="shared" si="6"/>
        <v>Traverse B</v>
      </c>
      <c r="AJ155" s="32">
        <v>6984</v>
      </c>
      <c r="AK155" s="32" t="s">
        <v>1034</v>
      </c>
      <c r="AL155" s="36">
        <v>13</v>
      </c>
      <c r="AM155" s="30" t="s">
        <v>1822</v>
      </c>
      <c r="AN155" s="41">
        <f t="shared" si="5"/>
        <v>2</v>
      </c>
    </row>
    <row r="156" spans="1:40" x14ac:dyDescent="0.25">
      <c r="A156" s="32">
        <v>22608981</v>
      </c>
      <c r="B156" s="32" t="s">
        <v>1025</v>
      </c>
      <c r="C156" s="32" t="s">
        <v>1026</v>
      </c>
      <c r="D156" s="32" t="s">
        <v>1027</v>
      </c>
      <c r="E156" s="32" t="s">
        <v>993</v>
      </c>
      <c r="F156" s="32" t="s">
        <v>993</v>
      </c>
      <c r="G156" s="40">
        <v>46119</v>
      </c>
      <c r="H156" s="40" t="s">
        <v>994</v>
      </c>
      <c r="I156" s="40">
        <v>46139</v>
      </c>
      <c r="J156" s="32" t="s">
        <v>1038</v>
      </c>
      <c r="K156" s="32">
        <v>46139</v>
      </c>
      <c r="L156" s="32">
        <v>424990</v>
      </c>
      <c r="M156" s="32">
        <v>419990</v>
      </c>
      <c r="N156" s="42"/>
      <c r="O156" s="32" t="s">
        <v>994</v>
      </c>
      <c r="P156" s="32">
        <v>13136</v>
      </c>
      <c r="Q156" s="32" t="s">
        <v>48</v>
      </c>
      <c r="R156" s="32" t="s">
        <v>1430</v>
      </c>
      <c r="S156" s="32" t="s">
        <v>45</v>
      </c>
      <c r="T156" s="32" t="s">
        <v>997</v>
      </c>
      <c r="U156" s="32">
        <v>85747</v>
      </c>
      <c r="V156" s="32">
        <v>32.115478000000003</v>
      </c>
      <c r="W156" s="32">
        <v>-110.710252</v>
      </c>
      <c r="X156" s="32">
        <v>2105</v>
      </c>
      <c r="Y156" s="32">
        <v>2026</v>
      </c>
      <c r="Z156" s="32">
        <v>4</v>
      </c>
      <c r="AA156" s="32">
        <v>3</v>
      </c>
      <c r="AB156" s="32" t="s">
        <v>510</v>
      </c>
      <c r="AC156" s="32" t="s">
        <v>998</v>
      </c>
      <c r="AD156" s="32" t="s">
        <v>1489</v>
      </c>
      <c r="AE156" s="32" t="s">
        <v>1443</v>
      </c>
      <c r="AF156" s="32" t="s">
        <v>1490</v>
      </c>
      <c r="AG156" s="32" t="s">
        <v>1033</v>
      </c>
      <c r="AH156" s="32" t="s">
        <v>1003</v>
      </c>
      <c r="AI156" s="32" t="str">
        <f t="shared" si="6"/>
        <v>Bella NG B</v>
      </c>
      <c r="AJ156" s="32">
        <v>9189</v>
      </c>
      <c r="AK156" s="32" t="s">
        <v>1411</v>
      </c>
      <c r="AL156" s="37">
        <v>20</v>
      </c>
      <c r="AM156" s="31" t="s">
        <v>1823</v>
      </c>
      <c r="AN156" s="41">
        <f t="shared" si="5"/>
        <v>2</v>
      </c>
    </row>
    <row r="157" spans="1:40" x14ac:dyDescent="0.25">
      <c r="A157" s="32">
        <v>22608982</v>
      </c>
      <c r="B157" s="32" t="s">
        <v>1025</v>
      </c>
      <c r="C157" s="32" t="s">
        <v>1026</v>
      </c>
      <c r="D157" s="32" t="s">
        <v>1027</v>
      </c>
      <c r="E157" s="32" t="s">
        <v>993</v>
      </c>
      <c r="F157" s="32" t="s">
        <v>993</v>
      </c>
      <c r="G157" s="40">
        <v>46119</v>
      </c>
      <c r="H157" s="40" t="s">
        <v>994</v>
      </c>
      <c r="I157" s="40" t="s">
        <v>994</v>
      </c>
      <c r="J157" s="32" t="s">
        <v>995</v>
      </c>
      <c r="K157" s="32">
        <v>46171</v>
      </c>
      <c r="L157" s="32">
        <v>394940</v>
      </c>
      <c r="M157" s="32">
        <v>394940</v>
      </c>
      <c r="N157" s="42"/>
      <c r="O157" s="32" t="s">
        <v>994</v>
      </c>
      <c r="P157" s="32">
        <v>13033</v>
      </c>
      <c r="Q157" s="32" t="s">
        <v>48</v>
      </c>
      <c r="R157" s="32" t="s">
        <v>1407</v>
      </c>
      <c r="S157" s="32" t="s">
        <v>45</v>
      </c>
      <c r="T157" s="32" t="s">
        <v>997</v>
      </c>
      <c r="U157" s="32">
        <v>85747</v>
      </c>
      <c r="V157" s="32">
        <v>32.11636</v>
      </c>
      <c r="W157" s="32">
        <v>-110.711091</v>
      </c>
      <c r="X157" s="32">
        <v>2425</v>
      </c>
      <c r="Y157" s="32">
        <v>2026</v>
      </c>
      <c r="Z157" s="32">
        <v>6</v>
      </c>
      <c r="AA157" s="32">
        <v>3</v>
      </c>
      <c r="AB157" s="32" t="s">
        <v>510</v>
      </c>
      <c r="AC157" s="32" t="s">
        <v>1008</v>
      </c>
      <c r="AD157" s="32" t="s">
        <v>1491</v>
      </c>
      <c r="AE157" s="32" t="s">
        <v>1428</v>
      </c>
      <c r="AF157" s="32" t="s">
        <v>1492</v>
      </c>
      <c r="AG157" s="32" t="s">
        <v>1033</v>
      </c>
      <c r="AH157" s="32" t="s">
        <v>1003</v>
      </c>
      <c r="AI157" s="32" t="str">
        <f t="shared" si="6"/>
        <v>Jeffry B</v>
      </c>
      <c r="AJ157" s="32">
        <v>4840</v>
      </c>
      <c r="AK157" s="32" t="s">
        <v>1411</v>
      </c>
      <c r="AL157" s="32">
        <v>27</v>
      </c>
      <c r="AM157" s="32" t="s">
        <v>1824</v>
      </c>
      <c r="AN157" s="41">
        <f t="shared" si="5"/>
        <v>1</v>
      </c>
    </row>
    <row r="158" spans="1:40" x14ac:dyDescent="0.25">
      <c r="A158" s="32">
        <v>22609636</v>
      </c>
      <c r="B158" s="32" t="s">
        <v>1025</v>
      </c>
      <c r="C158" s="32" t="s">
        <v>1026</v>
      </c>
      <c r="D158" s="32" t="s">
        <v>1027</v>
      </c>
      <c r="E158" s="32" t="s">
        <v>993</v>
      </c>
      <c r="F158" s="32" t="s">
        <v>993</v>
      </c>
      <c r="G158" s="40">
        <v>46126</v>
      </c>
      <c r="H158" s="40" t="s">
        <v>994</v>
      </c>
      <c r="I158" s="40" t="s">
        <v>994</v>
      </c>
      <c r="J158" s="32" t="s">
        <v>995</v>
      </c>
      <c r="K158" s="32">
        <v>46126</v>
      </c>
      <c r="L158" s="32">
        <v>447990</v>
      </c>
      <c r="M158" s="32">
        <v>447990</v>
      </c>
      <c r="O158" s="32" t="s">
        <v>994</v>
      </c>
      <c r="P158" s="32">
        <v>8778</v>
      </c>
      <c r="Q158" s="32" t="s">
        <v>38</v>
      </c>
      <c r="R158" s="32" t="s">
        <v>1213</v>
      </c>
      <c r="S158" s="32" t="s">
        <v>1029</v>
      </c>
      <c r="T158" s="32" t="s">
        <v>997</v>
      </c>
      <c r="U158" s="32">
        <v>85641</v>
      </c>
      <c r="V158" s="32">
        <v>32.096350999999999</v>
      </c>
      <c r="W158" s="32">
        <v>-110.692635</v>
      </c>
      <c r="X158" s="32">
        <v>2624</v>
      </c>
      <c r="Y158" s="32">
        <v>2026</v>
      </c>
      <c r="Z158" s="32">
        <v>5</v>
      </c>
      <c r="AA158" s="32">
        <v>4</v>
      </c>
      <c r="AB158" s="32" t="s">
        <v>510</v>
      </c>
      <c r="AC158" s="32" t="s">
        <v>1008</v>
      </c>
      <c r="AD158" s="32" t="s">
        <v>1493</v>
      </c>
      <c r="AE158" s="32" t="s">
        <v>1494</v>
      </c>
      <c r="AF158" s="32" t="s">
        <v>1495</v>
      </c>
      <c r="AG158" s="32" t="s">
        <v>1033</v>
      </c>
      <c r="AH158" s="32" t="s">
        <v>1003</v>
      </c>
      <c r="AI158" s="32" t="str">
        <f t="shared" si="6"/>
        <v>Poppy A</v>
      </c>
      <c r="AJ158" s="32">
        <v>5621</v>
      </c>
      <c r="AK158" s="32" t="s">
        <v>1072</v>
      </c>
      <c r="AL158" s="32">
        <v>51</v>
      </c>
      <c r="AM158" s="32" t="s">
        <v>1825</v>
      </c>
      <c r="AN158" s="41">
        <f t="shared" si="5"/>
        <v>1</v>
      </c>
    </row>
    <row r="159" spans="1:40" x14ac:dyDescent="0.25">
      <c r="A159" s="32">
        <v>22609637</v>
      </c>
      <c r="B159" s="32" t="s">
        <v>1025</v>
      </c>
      <c r="C159" s="32" t="s">
        <v>1026</v>
      </c>
      <c r="D159" s="32" t="s">
        <v>1027</v>
      </c>
      <c r="E159" s="32" t="s">
        <v>993</v>
      </c>
      <c r="F159" s="32" t="s">
        <v>993</v>
      </c>
      <c r="G159" s="40">
        <v>46126</v>
      </c>
      <c r="H159" s="40" t="s">
        <v>994</v>
      </c>
      <c r="I159" s="40" t="s">
        <v>994</v>
      </c>
      <c r="J159" s="32" t="s">
        <v>995</v>
      </c>
      <c r="K159" s="32">
        <v>46126</v>
      </c>
      <c r="L159" s="32">
        <v>404990</v>
      </c>
      <c r="M159" s="32">
        <v>394940</v>
      </c>
      <c r="N159" s="42"/>
      <c r="O159" s="32" t="s">
        <v>994</v>
      </c>
      <c r="P159" s="32">
        <v>7584</v>
      </c>
      <c r="Q159" s="32" t="s">
        <v>38</v>
      </c>
      <c r="R159" s="32" t="s">
        <v>1445</v>
      </c>
      <c r="S159" s="32" t="s">
        <v>45</v>
      </c>
      <c r="T159" s="32" t="s">
        <v>997</v>
      </c>
      <c r="U159" s="32">
        <v>85747</v>
      </c>
      <c r="V159" s="32">
        <v>32.113132</v>
      </c>
      <c r="W159" s="32">
        <v>-110.712695</v>
      </c>
      <c r="X159" s="32">
        <v>1834</v>
      </c>
      <c r="Y159" s="32">
        <v>2026</v>
      </c>
      <c r="Z159" s="32">
        <v>3</v>
      </c>
      <c r="AA159" s="32">
        <v>2</v>
      </c>
      <c r="AB159" s="32" t="s">
        <v>510</v>
      </c>
      <c r="AC159" s="32" t="s">
        <v>998</v>
      </c>
      <c r="AD159" s="32" t="s">
        <v>1496</v>
      </c>
      <c r="AE159" s="32" t="s">
        <v>1497</v>
      </c>
      <c r="AF159" s="32" t="s">
        <v>1498</v>
      </c>
      <c r="AG159" s="32" t="s">
        <v>1033</v>
      </c>
      <c r="AH159" s="32" t="s">
        <v>1003</v>
      </c>
      <c r="AI159" s="32" t="str">
        <f t="shared" si="6"/>
        <v>Tanner B</v>
      </c>
      <c r="AJ159" s="32">
        <v>6404</v>
      </c>
      <c r="AK159" s="32" t="s">
        <v>1411</v>
      </c>
      <c r="AL159" s="32">
        <v>51</v>
      </c>
      <c r="AM159" s="32" t="s">
        <v>1826</v>
      </c>
      <c r="AN159" s="41">
        <f t="shared" si="5"/>
        <v>1</v>
      </c>
    </row>
    <row r="160" spans="1:40" x14ac:dyDescent="0.25">
      <c r="A160" s="32">
        <v>22609639</v>
      </c>
      <c r="B160" s="32" t="s">
        <v>1025</v>
      </c>
      <c r="C160" s="32" t="s">
        <v>1026</v>
      </c>
      <c r="D160" s="32" t="s">
        <v>1027</v>
      </c>
      <c r="E160" s="32" t="s">
        <v>993</v>
      </c>
      <c r="F160" s="32" t="s">
        <v>993</v>
      </c>
      <c r="G160" s="40">
        <v>46126</v>
      </c>
      <c r="H160" s="40" t="s">
        <v>994</v>
      </c>
      <c r="I160" s="40">
        <v>46161</v>
      </c>
      <c r="J160" s="32" t="s">
        <v>1038</v>
      </c>
      <c r="K160" s="32">
        <v>46161</v>
      </c>
      <c r="L160" s="32">
        <v>389990</v>
      </c>
      <c r="M160" s="32">
        <v>387440</v>
      </c>
      <c r="N160" s="42"/>
      <c r="O160" s="32" t="s">
        <v>994</v>
      </c>
      <c r="P160" s="32">
        <v>7578</v>
      </c>
      <c r="Q160" s="32" t="s">
        <v>38</v>
      </c>
      <c r="R160" s="32" t="s">
        <v>1445</v>
      </c>
      <c r="S160" s="32" t="s">
        <v>45</v>
      </c>
      <c r="T160" s="32" t="s">
        <v>997</v>
      </c>
      <c r="U160" s="32">
        <v>85747</v>
      </c>
      <c r="V160" s="32">
        <v>32.112721000000001</v>
      </c>
      <c r="W160" s="32">
        <v>-110.71352400000001</v>
      </c>
      <c r="X160" s="32">
        <v>1837</v>
      </c>
      <c r="Y160" s="32">
        <v>2026</v>
      </c>
      <c r="Z160" s="32">
        <v>4</v>
      </c>
      <c r="AA160" s="32">
        <v>2</v>
      </c>
      <c r="AB160" s="32" t="s">
        <v>510</v>
      </c>
      <c r="AC160" s="32" t="s">
        <v>998</v>
      </c>
      <c r="AD160" s="32" t="s">
        <v>1499</v>
      </c>
      <c r="AE160" s="32" t="s">
        <v>1500</v>
      </c>
      <c r="AF160" s="32" t="s">
        <v>1501</v>
      </c>
      <c r="AG160" s="32" t="s">
        <v>1033</v>
      </c>
      <c r="AH160" s="32" t="s">
        <v>1003</v>
      </c>
      <c r="AI160" s="32" t="str">
        <f t="shared" si="6"/>
        <v>Ironwood C</v>
      </c>
      <c r="AJ160" s="32">
        <v>6354</v>
      </c>
      <c r="AK160" s="32" t="s">
        <v>1411</v>
      </c>
      <c r="AL160" s="32">
        <v>35</v>
      </c>
      <c r="AM160" s="32" t="s">
        <v>1827</v>
      </c>
      <c r="AN160" s="41">
        <f t="shared" si="5"/>
        <v>2</v>
      </c>
    </row>
    <row r="161" spans="1:40" x14ac:dyDescent="0.25">
      <c r="A161" s="32">
        <v>22609688</v>
      </c>
      <c r="B161" s="32" t="s">
        <v>990</v>
      </c>
      <c r="C161" s="32" t="s">
        <v>991</v>
      </c>
      <c r="D161" s="32" t="s">
        <v>992</v>
      </c>
      <c r="E161" s="32" t="s">
        <v>993</v>
      </c>
      <c r="F161" s="32" t="s">
        <v>993</v>
      </c>
      <c r="G161" s="40">
        <v>46118</v>
      </c>
      <c r="H161" s="40" t="s">
        <v>994</v>
      </c>
      <c r="I161" s="40" t="s">
        <v>994</v>
      </c>
      <c r="J161" s="32" t="s">
        <v>995</v>
      </c>
      <c r="K161" s="32">
        <v>46126</v>
      </c>
      <c r="L161" s="32">
        <v>522200</v>
      </c>
      <c r="M161" s="32">
        <v>517200</v>
      </c>
      <c r="O161" s="32" t="s">
        <v>994</v>
      </c>
      <c r="P161" s="32">
        <v>13236</v>
      </c>
      <c r="Q161" s="32" t="s">
        <v>48</v>
      </c>
      <c r="R161" s="32" t="s">
        <v>1276</v>
      </c>
      <c r="S161" s="32" t="s">
        <v>45</v>
      </c>
      <c r="T161" s="32" t="s">
        <v>997</v>
      </c>
      <c r="U161" s="32">
        <v>85747</v>
      </c>
      <c r="V161" s="32">
        <v>32.112673999999998</v>
      </c>
      <c r="W161" s="32">
        <v>-110.70958899999999</v>
      </c>
      <c r="X161" s="32">
        <v>2552</v>
      </c>
      <c r="Y161" s="32">
        <v>2026</v>
      </c>
      <c r="Z161" s="32">
        <v>5</v>
      </c>
      <c r="AA161" s="32">
        <v>3</v>
      </c>
      <c r="AB161" s="32" t="s">
        <v>510</v>
      </c>
      <c r="AC161" s="32" t="s">
        <v>998</v>
      </c>
      <c r="AD161" s="32" t="s">
        <v>1502</v>
      </c>
      <c r="AE161" s="32" t="s">
        <v>1503</v>
      </c>
      <c r="AF161" s="32" t="s">
        <v>1504</v>
      </c>
      <c r="AG161" s="32" t="s">
        <v>1002</v>
      </c>
      <c r="AH161" s="32" t="s">
        <v>1003</v>
      </c>
      <c r="AI161" s="32" t="str">
        <f t="shared" si="6"/>
        <v/>
      </c>
      <c r="AJ161" s="32">
        <v>6875</v>
      </c>
      <c r="AK161" s="32" t="s">
        <v>1004</v>
      </c>
      <c r="AL161" s="36">
        <v>59</v>
      </c>
      <c r="AM161" s="30" t="s">
        <v>1828</v>
      </c>
      <c r="AN161" s="41">
        <f t="shared" si="5"/>
        <v>1</v>
      </c>
    </row>
    <row r="162" spans="1:40" x14ac:dyDescent="0.25">
      <c r="A162" s="32">
        <v>22609692</v>
      </c>
      <c r="B162" s="32" t="s">
        <v>990</v>
      </c>
      <c r="C162" s="32" t="s">
        <v>991</v>
      </c>
      <c r="D162" s="32" t="s">
        <v>992</v>
      </c>
      <c r="E162" s="32" t="s">
        <v>993</v>
      </c>
      <c r="F162" s="32" t="s">
        <v>993</v>
      </c>
      <c r="G162" s="40">
        <v>46107</v>
      </c>
      <c r="H162" s="40" t="s">
        <v>994</v>
      </c>
      <c r="I162" s="40">
        <v>46162</v>
      </c>
      <c r="J162" s="32" t="s">
        <v>1038</v>
      </c>
      <c r="K162" s="32">
        <v>46162</v>
      </c>
      <c r="L162" s="32">
        <v>487600</v>
      </c>
      <c r="M162" s="32">
        <v>482600</v>
      </c>
      <c r="O162" s="32" t="s">
        <v>994</v>
      </c>
      <c r="P162" s="32">
        <v>13284</v>
      </c>
      <c r="Q162" s="32" t="s">
        <v>48</v>
      </c>
      <c r="R162" s="32" t="s">
        <v>1276</v>
      </c>
      <c r="S162" s="32" t="s">
        <v>45</v>
      </c>
      <c r="T162" s="32" t="s">
        <v>997</v>
      </c>
      <c r="U162" s="32">
        <v>85747</v>
      </c>
      <c r="V162" s="32">
        <v>32.112515000000002</v>
      </c>
      <c r="W162" s="32">
        <v>-110.710278</v>
      </c>
      <c r="X162" s="32">
        <v>2158</v>
      </c>
      <c r="Y162" s="32">
        <v>2026</v>
      </c>
      <c r="Z162" s="32">
        <v>4</v>
      </c>
      <c r="AA162" s="32">
        <v>3</v>
      </c>
      <c r="AB162" s="32" t="s">
        <v>510</v>
      </c>
      <c r="AC162" s="32" t="s">
        <v>998</v>
      </c>
      <c r="AD162" s="32" t="s">
        <v>1505</v>
      </c>
      <c r="AE162" s="32" t="s">
        <v>1506</v>
      </c>
      <c r="AF162" s="32" t="s">
        <v>1507</v>
      </c>
      <c r="AG162" s="32" t="s">
        <v>1002</v>
      </c>
      <c r="AH162" s="32" t="s">
        <v>1003</v>
      </c>
      <c r="AI162" s="32" t="str">
        <f t="shared" si="6"/>
        <v/>
      </c>
      <c r="AJ162" s="32">
        <v>6875</v>
      </c>
      <c r="AK162" s="32" t="s">
        <v>1004</v>
      </c>
      <c r="AL162" s="36">
        <v>55</v>
      </c>
      <c r="AM162" s="30" t="s">
        <v>1829</v>
      </c>
      <c r="AN162" s="41">
        <f t="shared" si="5"/>
        <v>2</v>
      </c>
    </row>
    <row r="163" spans="1:40" x14ac:dyDescent="0.25">
      <c r="A163" s="32">
        <v>22609762</v>
      </c>
      <c r="B163" s="32" t="s">
        <v>1222</v>
      </c>
      <c r="C163" s="32" t="s">
        <v>1223</v>
      </c>
      <c r="D163" s="32" t="s">
        <v>1224</v>
      </c>
      <c r="E163" s="32" t="s">
        <v>993</v>
      </c>
      <c r="F163" s="32" t="s">
        <v>993</v>
      </c>
      <c r="G163" s="40">
        <v>46127</v>
      </c>
      <c r="H163" s="40">
        <v>46127</v>
      </c>
      <c r="I163" s="40">
        <v>46127</v>
      </c>
      <c r="J163" s="32" t="s">
        <v>37</v>
      </c>
      <c r="K163" s="32">
        <v>46127</v>
      </c>
      <c r="L163" s="32">
        <v>434113</v>
      </c>
      <c r="M163" s="32">
        <v>434113</v>
      </c>
      <c r="N163" s="32">
        <v>434113</v>
      </c>
      <c r="O163" s="32">
        <v>239.18</v>
      </c>
      <c r="P163" s="32">
        <v>13951</v>
      </c>
      <c r="Q163" s="32" t="s">
        <v>48</v>
      </c>
      <c r="R163" s="32" t="s">
        <v>1386</v>
      </c>
      <c r="S163" s="32" t="s">
        <v>1029</v>
      </c>
      <c r="T163" s="32" t="s">
        <v>997</v>
      </c>
      <c r="U163" s="32">
        <v>85641</v>
      </c>
      <c r="V163" s="32">
        <v>32.091991</v>
      </c>
      <c r="W163" s="32">
        <v>-110.694881</v>
      </c>
      <c r="X163" s="32">
        <v>1815</v>
      </c>
      <c r="Y163" s="32">
        <v>2026</v>
      </c>
      <c r="Z163" s="32">
        <v>4</v>
      </c>
      <c r="AA163" s="32">
        <v>2</v>
      </c>
      <c r="AB163" s="32" t="s">
        <v>510</v>
      </c>
      <c r="AC163" s="32" t="s">
        <v>998</v>
      </c>
      <c r="AD163" s="32" t="s">
        <v>1508</v>
      </c>
      <c r="AE163" s="32" t="s">
        <v>1509</v>
      </c>
      <c r="AF163" s="32" t="s">
        <v>1510</v>
      </c>
      <c r="AG163" s="32" t="s">
        <v>1229</v>
      </c>
      <c r="AH163" s="32" t="s">
        <v>1056</v>
      </c>
      <c r="AI163" s="32" t="str">
        <f t="shared" si="6"/>
        <v>Copper</v>
      </c>
      <c r="AJ163" s="32">
        <v>5180</v>
      </c>
      <c r="AK163" s="32" t="s">
        <v>1044</v>
      </c>
      <c r="AL163" s="36">
        <v>0</v>
      </c>
      <c r="AM163" s="30" t="s">
        <v>1830</v>
      </c>
      <c r="AN163" s="41">
        <f t="shared" si="5"/>
        <v>3</v>
      </c>
    </row>
    <row r="164" spans="1:40" x14ac:dyDescent="0.25">
      <c r="A164" s="32">
        <v>22609809</v>
      </c>
      <c r="B164" s="32" t="s">
        <v>1204</v>
      </c>
      <c r="C164" s="32" t="s">
        <v>1205</v>
      </c>
      <c r="D164" s="32" t="s">
        <v>1206</v>
      </c>
      <c r="E164" s="32" t="s">
        <v>993</v>
      </c>
      <c r="F164" s="32" t="s">
        <v>993</v>
      </c>
      <c r="G164" s="40">
        <v>46127</v>
      </c>
      <c r="H164" s="40" t="s">
        <v>994</v>
      </c>
      <c r="I164" s="40" t="s">
        <v>994</v>
      </c>
      <c r="J164" s="32" t="s">
        <v>995</v>
      </c>
      <c r="K164" s="32">
        <v>46127</v>
      </c>
      <c r="L164" s="32">
        <v>484900</v>
      </c>
      <c r="M164" s="32">
        <v>474900</v>
      </c>
      <c r="O164" s="32" t="s">
        <v>994</v>
      </c>
      <c r="P164" s="32">
        <v>30654</v>
      </c>
      <c r="Q164" s="32" t="s">
        <v>38</v>
      </c>
      <c r="R164" s="32" t="s">
        <v>676</v>
      </c>
      <c r="S164" s="32" t="s">
        <v>551</v>
      </c>
      <c r="T164" s="32" t="s">
        <v>997</v>
      </c>
      <c r="U164" s="32">
        <v>85623</v>
      </c>
      <c r="V164" s="32">
        <v>32.598267</v>
      </c>
      <c r="W164" s="32">
        <v>-110.899829</v>
      </c>
      <c r="X164" s="32">
        <v>1817</v>
      </c>
      <c r="Y164" s="32">
        <v>2026</v>
      </c>
      <c r="Z164" s="32">
        <v>2</v>
      </c>
      <c r="AA164" s="32">
        <v>3</v>
      </c>
      <c r="AB164" s="32" t="s">
        <v>510</v>
      </c>
      <c r="AC164" s="32" t="s">
        <v>998</v>
      </c>
      <c r="AD164" s="32" t="s">
        <v>1511</v>
      </c>
      <c r="AE164" s="32" t="s">
        <v>1512</v>
      </c>
      <c r="AF164" s="32" t="s">
        <v>1513</v>
      </c>
      <c r="AG164" s="32" t="s">
        <v>1208</v>
      </c>
      <c r="AH164" s="32" t="s">
        <v>1003</v>
      </c>
      <c r="AI164" s="32" t="s">
        <v>1514</v>
      </c>
      <c r="AJ164" s="32">
        <v>4275</v>
      </c>
      <c r="AK164" s="32" t="s">
        <v>554</v>
      </c>
      <c r="AL164" s="32">
        <v>50</v>
      </c>
      <c r="AM164" s="32" t="s">
        <v>1831</v>
      </c>
      <c r="AN164" s="41">
        <f t="shared" si="5"/>
        <v>1</v>
      </c>
    </row>
    <row r="165" spans="1:40" x14ac:dyDescent="0.25">
      <c r="A165" s="32">
        <v>22609966</v>
      </c>
      <c r="B165" s="32" t="s">
        <v>1222</v>
      </c>
      <c r="C165" s="32" t="s">
        <v>1223</v>
      </c>
      <c r="D165" s="32" t="s">
        <v>1224</v>
      </c>
      <c r="E165" s="32" t="s">
        <v>993</v>
      </c>
      <c r="F165" s="32" t="s">
        <v>993</v>
      </c>
      <c r="G165" s="40">
        <v>46128</v>
      </c>
      <c r="H165" s="40">
        <v>46128</v>
      </c>
      <c r="I165" s="40">
        <v>46128</v>
      </c>
      <c r="J165" s="32" t="s">
        <v>37</v>
      </c>
      <c r="K165" s="32">
        <v>46128</v>
      </c>
      <c r="L165" s="32">
        <v>427341</v>
      </c>
      <c r="M165" s="32">
        <v>427341</v>
      </c>
      <c r="N165" s="32">
        <v>427341</v>
      </c>
      <c r="O165" s="32">
        <v>254.52</v>
      </c>
      <c r="P165" s="32">
        <v>13975</v>
      </c>
      <c r="Q165" s="32" t="s">
        <v>48</v>
      </c>
      <c r="R165" s="32" t="s">
        <v>1386</v>
      </c>
      <c r="S165" s="32" t="s">
        <v>1029</v>
      </c>
      <c r="T165" s="32" t="s">
        <v>997</v>
      </c>
      <c r="U165" s="32">
        <v>85641</v>
      </c>
      <c r="V165" s="32">
        <v>32.091983999999997</v>
      </c>
      <c r="W165" s="32">
        <v>-110.694378</v>
      </c>
      <c r="X165" s="32">
        <v>1679</v>
      </c>
      <c r="Y165" s="32">
        <v>2026</v>
      </c>
      <c r="Z165" s="32">
        <v>3</v>
      </c>
      <c r="AA165" s="32">
        <v>2</v>
      </c>
      <c r="AB165" s="32" t="s">
        <v>510</v>
      </c>
      <c r="AC165" s="32" t="s">
        <v>998</v>
      </c>
      <c r="AD165" s="32" t="s">
        <v>1515</v>
      </c>
      <c r="AE165" s="32" t="s">
        <v>1516</v>
      </c>
      <c r="AF165" s="32" t="s">
        <v>1517</v>
      </c>
      <c r="AG165" s="32" t="s">
        <v>1229</v>
      </c>
      <c r="AH165" s="32" t="s">
        <v>1056</v>
      </c>
      <c r="AI165" s="32" t="str">
        <f t="shared" ref="AI165:AI197" si="7">IFERROR(_xlfn.TEXTBEFORE(_xlfn.TEXTAFTER(AM165,"Construction|Model Name|"),";"),"")</f>
        <v>Copper</v>
      </c>
      <c r="AJ165" s="32">
        <v>4950</v>
      </c>
      <c r="AK165" s="32" t="s">
        <v>1044</v>
      </c>
      <c r="AL165" s="32">
        <v>0</v>
      </c>
      <c r="AM165" s="32" t="s">
        <v>1832</v>
      </c>
      <c r="AN165" s="41">
        <f t="shared" si="5"/>
        <v>3</v>
      </c>
    </row>
    <row r="166" spans="1:40" x14ac:dyDescent="0.25">
      <c r="A166" s="32">
        <v>22610068</v>
      </c>
      <c r="B166" s="32" t="s">
        <v>1222</v>
      </c>
      <c r="C166" s="32" t="s">
        <v>1223</v>
      </c>
      <c r="D166" s="32" t="s">
        <v>1224</v>
      </c>
      <c r="E166" s="32" t="s">
        <v>993</v>
      </c>
      <c r="F166" s="32" t="s">
        <v>993</v>
      </c>
      <c r="G166" s="40">
        <v>46129</v>
      </c>
      <c r="H166" s="40">
        <v>46169</v>
      </c>
      <c r="I166" s="40">
        <v>46129</v>
      </c>
      <c r="J166" s="32" t="s">
        <v>37</v>
      </c>
      <c r="K166" s="32">
        <v>46169</v>
      </c>
      <c r="L166" s="32">
        <v>439814</v>
      </c>
      <c r="M166" s="32">
        <v>439814</v>
      </c>
      <c r="N166" s="32">
        <v>439814</v>
      </c>
      <c r="O166" s="32">
        <v>192.39</v>
      </c>
      <c r="P166" s="32">
        <v>14019</v>
      </c>
      <c r="Q166" s="32" t="s">
        <v>48</v>
      </c>
      <c r="R166" s="32" t="s">
        <v>1225</v>
      </c>
      <c r="S166" s="32" t="s">
        <v>1029</v>
      </c>
      <c r="T166" s="32" t="s">
        <v>997</v>
      </c>
      <c r="U166" s="32">
        <v>85641</v>
      </c>
      <c r="V166" s="32">
        <v>32.091211999999999</v>
      </c>
      <c r="W166" s="32">
        <v>-110.69347</v>
      </c>
      <c r="X166" s="32">
        <v>2286</v>
      </c>
      <c r="Y166" s="32">
        <v>2026</v>
      </c>
      <c r="Z166" s="32">
        <v>4</v>
      </c>
      <c r="AA166" s="32">
        <v>3</v>
      </c>
      <c r="AB166" s="32" t="s">
        <v>510</v>
      </c>
      <c r="AC166" s="32" t="s">
        <v>1008</v>
      </c>
      <c r="AD166" s="32" t="s">
        <v>1518</v>
      </c>
      <c r="AE166" s="32" t="s">
        <v>1519</v>
      </c>
      <c r="AF166" s="32" t="s">
        <v>1520</v>
      </c>
      <c r="AG166" s="32" t="s">
        <v>1229</v>
      </c>
      <c r="AH166" s="32" t="s">
        <v>1056</v>
      </c>
      <c r="AI166" s="32" t="str">
        <f t="shared" si="7"/>
        <v>Sienna</v>
      </c>
      <c r="AJ166" s="32">
        <v>4950</v>
      </c>
      <c r="AK166" s="32" t="s">
        <v>1044</v>
      </c>
      <c r="AL166" s="32">
        <v>0</v>
      </c>
      <c r="AM166" s="32" t="s">
        <v>1833</v>
      </c>
      <c r="AN166" s="41">
        <f t="shared" si="5"/>
        <v>3</v>
      </c>
    </row>
    <row r="167" spans="1:40" x14ac:dyDescent="0.25">
      <c r="A167" s="32">
        <v>22610070</v>
      </c>
      <c r="B167" s="32" t="s">
        <v>1222</v>
      </c>
      <c r="C167" s="32" t="s">
        <v>1223</v>
      </c>
      <c r="D167" s="32" t="s">
        <v>1224</v>
      </c>
      <c r="E167" s="32" t="s">
        <v>993</v>
      </c>
      <c r="F167" s="32" t="s">
        <v>993</v>
      </c>
      <c r="G167" s="40">
        <v>46129</v>
      </c>
      <c r="H167" s="40" t="s">
        <v>994</v>
      </c>
      <c r="I167" s="40">
        <v>46145</v>
      </c>
      <c r="J167" s="32" t="s">
        <v>1038</v>
      </c>
      <c r="K167" s="32">
        <v>46153</v>
      </c>
      <c r="L167" s="32">
        <v>419594</v>
      </c>
      <c r="M167" s="32">
        <v>409594</v>
      </c>
      <c r="O167" s="32" t="s">
        <v>994</v>
      </c>
      <c r="P167" s="32">
        <v>13961</v>
      </c>
      <c r="Q167" s="32" t="s">
        <v>48</v>
      </c>
      <c r="R167" s="32" t="s">
        <v>1225</v>
      </c>
      <c r="S167" s="32" t="s">
        <v>1029</v>
      </c>
      <c r="T167" s="32" t="s">
        <v>997</v>
      </c>
      <c r="U167" s="32">
        <v>85641</v>
      </c>
      <c r="V167" s="32">
        <v>32.09122</v>
      </c>
      <c r="W167" s="32">
        <v>-110.69446600000001</v>
      </c>
      <c r="X167" s="32">
        <v>1815</v>
      </c>
      <c r="Y167" s="32">
        <v>2026</v>
      </c>
      <c r="Z167" s="32">
        <v>3</v>
      </c>
      <c r="AA167" s="32">
        <v>2</v>
      </c>
      <c r="AB167" s="32" t="s">
        <v>510</v>
      </c>
      <c r="AC167" s="32" t="s">
        <v>998</v>
      </c>
      <c r="AD167" s="32" t="s">
        <v>1521</v>
      </c>
      <c r="AE167" s="32" t="s">
        <v>1522</v>
      </c>
      <c r="AF167" s="32" t="s">
        <v>1523</v>
      </c>
      <c r="AG167" s="32" t="s">
        <v>1229</v>
      </c>
      <c r="AH167" s="32" t="s">
        <v>1056</v>
      </c>
      <c r="AI167" s="32" t="str">
        <f t="shared" si="7"/>
        <v>Copper</v>
      </c>
      <c r="AJ167" s="32">
        <v>4950</v>
      </c>
      <c r="AK167" s="32" t="s">
        <v>1044</v>
      </c>
      <c r="AL167" s="32">
        <v>24</v>
      </c>
      <c r="AM167" s="32" t="s">
        <v>1834</v>
      </c>
      <c r="AN167" s="41">
        <f t="shared" si="5"/>
        <v>2</v>
      </c>
    </row>
    <row r="168" spans="1:40" x14ac:dyDescent="0.25">
      <c r="A168" s="32">
        <v>22610071</v>
      </c>
      <c r="B168" s="32" t="s">
        <v>1222</v>
      </c>
      <c r="C168" s="32" t="s">
        <v>1223</v>
      </c>
      <c r="D168" s="32" t="s">
        <v>1224</v>
      </c>
      <c r="E168" s="32" t="s">
        <v>993</v>
      </c>
      <c r="F168" s="32" t="s">
        <v>993</v>
      </c>
      <c r="G168" s="40">
        <v>46129</v>
      </c>
      <c r="H168" s="40" t="s">
        <v>994</v>
      </c>
      <c r="I168" s="40" t="s">
        <v>994</v>
      </c>
      <c r="J168" s="32" t="s">
        <v>995</v>
      </c>
      <c r="K168" s="32">
        <v>46129</v>
      </c>
      <c r="L168" s="32">
        <v>399594</v>
      </c>
      <c r="M168" s="32">
        <v>399594</v>
      </c>
      <c r="O168" s="32" t="s">
        <v>994</v>
      </c>
      <c r="P168" s="32">
        <v>13969</v>
      </c>
      <c r="Q168" s="32" t="s">
        <v>48</v>
      </c>
      <c r="R168" s="32" t="s">
        <v>1225</v>
      </c>
      <c r="S168" s="32" t="s">
        <v>1029</v>
      </c>
      <c r="T168" s="32" t="s">
        <v>997</v>
      </c>
      <c r="U168" s="32">
        <v>85641</v>
      </c>
      <c r="V168" s="32">
        <v>32.091219000000002</v>
      </c>
      <c r="W168" s="32">
        <v>-110.69432</v>
      </c>
      <c r="X168" s="32">
        <v>1815</v>
      </c>
      <c r="Y168" s="32">
        <v>2026</v>
      </c>
      <c r="Z168" s="32">
        <v>3</v>
      </c>
      <c r="AA168" s="32">
        <v>2</v>
      </c>
      <c r="AB168" s="32" t="s">
        <v>510</v>
      </c>
      <c r="AC168" s="32" t="s">
        <v>998</v>
      </c>
      <c r="AD168" s="32" t="s">
        <v>1524</v>
      </c>
      <c r="AE168" s="32" t="s">
        <v>1525</v>
      </c>
      <c r="AF168" s="32" t="s">
        <v>1526</v>
      </c>
      <c r="AG168" s="32" t="s">
        <v>1229</v>
      </c>
      <c r="AH168" s="32" t="s">
        <v>1056</v>
      </c>
      <c r="AI168" s="32" t="str">
        <f t="shared" si="7"/>
        <v>Copper</v>
      </c>
      <c r="AJ168" s="32">
        <v>4950</v>
      </c>
      <c r="AK168" s="32" t="s">
        <v>1044</v>
      </c>
      <c r="AL168" s="36">
        <v>48</v>
      </c>
      <c r="AM168" s="30" t="s">
        <v>1835</v>
      </c>
      <c r="AN168" s="41">
        <f t="shared" si="5"/>
        <v>1</v>
      </c>
    </row>
    <row r="169" spans="1:40" x14ac:dyDescent="0.25">
      <c r="A169" s="32">
        <v>22610268</v>
      </c>
      <c r="B169" s="32" t="s">
        <v>1222</v>
      </c>
      <c r="C169" s="32" t="s">
        <v>1223</v>
      </c>
      <c r="D169" s="32" t="s">
        <v>1224</v>
      </c>
      <c r="E169" s="32" t="s">
        <v>993</v>
      </c>
      <c r="F169" s="32" t="s">
        <v>993</v>
      </c>
      <c r="G169" s="40">
        <v>46132</v>
      </c>
      <c r="H169" s="40">
        <v>46160</v>
      </c>
      <c r="I169" s="40">
        <v>46141</v>
      </c>
      <c r="J169" s="32" t="s">
        <v>37</v>
      </c>
      <c r="K169" s="32">
        <v>46161</v>
      </c>
      <c r="L169" s="32">
        <v>478946</v>
      </c>
      <c r="M169" s="32">
        <v>458946</v>
      </c>
      <c r="N169" s="32">
        <v>458946</v>
      </c>
      <c r="O169" s="32">
        <v>200.76</v>
      </c>
      <c r="P169" s="32">
        <v>13982</v>
      </c>
      <c r="Q169" s="32" t="s">
        <v>48</v>
      </c>
      <c r="R169" s="32" t="s">
        <v>1386</v>
      </c>
      <c r="S169" s="32" t="s">
        <v>1029</v>
      </c>
      <c r="T169" s="32" t="s">
        <v>997</v>
      </c>
      <c r="U169" s="32">
        <v>85641</v>
      </c>
      <c r="V169" s="32">
        <v>32.091538</v>
      </c>
      <c r="W169" s="32">
        <v>-110.694245</v>
      </c>
      <c r="X169" s="32">
        <v>2286</v>
      </c>
      <c r="Y169" s="32">
        <v>2026</v>
      </c>
      <c r="Z169" s="32">
        <v>4</v>
      </c>
      <c r="AA169" s="32">
        <v>3</v>
      </c>
      <c r="AB169" s="32" t="s">
        <v>510</v>
      </c>
      <c r="AC169" s="32" t="s">
        <v>1008</v>
      </c>
      <c r="AD169" s="32" t="s">
        <v>1527</v>
      </c>
      <c r="AE169" s="32" t="s">
        <v>1528</v>
      </c>
      <c r="AF169" s="32" t="s">
        <v>1529</v>
      </c>
      <c r="AG169" s="32" t="s">
        <v>1229</v>
      </c>
      <c r="AH169" s="32" t="s">
        <v>1056</v>
      </c>
      <c r="AI169" s="32" t="str">
        <f t="shared" si="7"/>
        <v>Sienna</v>
      </c>
      <c r="AJ169" s="32">
        <v>5400</v>
      </c>
      <c r="AK169" s="32" t="s">
        <v>1044</v>
      </c>
      <c r="AL169" s="32">
        <v>9</v>
      </c>
      <c r="AM169" s="32" t="s">
        <v>1836</v>
      </c>
      <c r="AN169" s="41">
        <f t="shared" si="5"/>
        <v>3</v>
      </c>
    </row>
    <row r="170" spans="1:40" x14ac:dyDescent="0.25">
      <c r="A170" s="32">
        <v>22610269</v>
      </c>
      <c r="B170" s="32" t="s">
        <v>1222</v>
      </c>
      <c r="C170" s="32" t="s">
        <v>1223</v>
      </c>
      <c r="D170" s="32" t="s">
        <v>1224</v>
      </c>
      <c r="E170" s="32" t="s">
        <v>993</v>
      </c>
      <c r="F170" s="32" t="s">
        <v>993</v>
      </c>
      <c r="G170" s="40">
        <v>46132</v>
      </c>
      <c r="H170" s="40">
        <v>46171</v>
      </c>
      <c r="I170" s="40">
        <v>46150</v>
      </c>
      <c r="J170" s="32" t="s">
        <v>37</v>
      </c>
      <c r="K170" s="32">
        <v>46171</v>
      </c>
      <c r="L170" s="32">
        <v>399460</v>
      </c>
      <c r="M170" s="32">
        <v>399460</v>
      </c>
      <c r="N170" s="32">
        <v>399460</v>
      </c>
      <c r="O170" s="32">
        <v>230.24</v>
      </c>
      <c r="P170" s="32">
        <v>13953</v>
      </c>
      <c r="Q170" s="32" t="s">
        <v>48</v>
      </c>
      <c r="R170" s="32" t="s">
        <v>1225</v>
      </c>
      <c r="S170" s="32" t="s">
        <v>1029</v>
      </c>
      <c r="T170" s="32" t="s">
        <v>997</v>
      </c>
      <c r="U170" s="32">
        <v>85641</v>
      </c>
      <c r="V170" s="32">
        <v>32.091234</v>
      </c>
      <c r="W170" s="32">
        <v>-110.694638</v>
      </c>
      <c r="X170" s="32">
        <v>1735</v>
      </c>
      <c r="Y170" s="32">
        <v>2025</v>
      </c>
      <c r="Z170" s="32">
        <v>3</v>
      </c>
      <c r="AA170" s="32">
        <v>2</v>
      </c>
      <c r="AB170" s="32" t="s">
        <v>510</v>
      </c>
      <c r="AC170" s="32" t="s">
        <v>998</v>
      </c>
      <c r="AD170" s="32" t="s">
        <v>1530</v>
      </c>
      <c r="AE170" s="32" t="s">
        <v>1531</v>
      </c>
      <c r="AF170" s="32" t="s">
        <v>1532</v>
      </c>
      <c r="AG170" s="32" t="s">
        <v>1229</v>
      </c>
      <c r="AH170" s="32" t="s">
        <v>1056</v>
      </c>
      <c r="AI170" s="32" t="str">
        <f t="shared" si="7"/>
        <v>Brandy</v>
      </c>
      <c r="AJ170" s="32">
        <v>6578</v>
      </c>
      <c r="AK170" s="32" t="s">
        <v>1044</v>
      </c>
      <c r="AL170" s="36">
        <v>21</v>
      </c>
      <c r="AM170" s="30" t="s">
        <v>1837</v>
      </c>
      <c r="AN170" s="41">
        <f t="shared" si="5"/>
        <v>3</v>
      </c>
    </row>
    <row r="171" spans="1:40" x14ac:dyDescent="0.25">
      <c r="A171" s="32">
        <v>22610270</v>
      </c>
      <c r="B171" s="32" t="s">
        <v>1222</v>
      </c>
      <c r="C171" s="32" t="s">
        <v>1223</v>
      </c>
      <c r="D171" s="32" t="s">
        <v>1224</v>
      </c>
      <c r="E171" s="32" t="s">
        <v>993</v>
      </c>
      <c r="F171" s="32" t="s">
        <v>993</v>
      </c>
      <c r="G171" s="40">
        <v>46132</v>
      </c>
      <c r="H171" s="40" t="s">
        <v>994</v>
      </c>
      <c r="I171" s="40" t="s">
        <v>994</v>
      </c>
      <c r="J171" s="32" t="s">
        <v>995</v>
      </c>
      <c r="K171" s="32">
        <v>46132</v>
      </c>
      <c r="L171" s="32">
        <v>417663</v>
      </c>
      <c r="M171" s="32">
        <v>417663</v>
      </c>
      <c r="O171" s="32" t="s">
        <v>994</v>
      </c>
      <c r="P171" s="32">
        <v>13952</v>
      </c>
      <c r="Q171" s="32" t="s">
        <v>48</v>
      </c>
      <c r="R171" s="32" t="s">
        <v>1386</v>
      </c>
      <c r="S171" s="32" t="s">
        <v>1029</v>
      </c>
      <c r="T171" s="32" t="s">
        <v>997</v>
      </c>
      <c r="U171" s="32">
        <v>85641</v>
      </c>
      <c r="V171" s="32">
        <v>32.091549000000001</v>
      </c>
      <c r="W171" s="32">
        <v>-110.694717</v>
      </c>
      <c r="X171" s="32">
        <v>1679</v>
      </c>
      <c r="Y171" s="32">
        <v>2026</v>
      </c>
      <c r="Z171" s="32">
        <v>3</v>
      </c>
      <c r="AA171" s="32">
        <v>2</v>
      </c>
      <c r="AB171" s="32" t="s">
        <v>510</v>
      </c>
      <c r="AC171" s="32" t="s">
        <v>998</v>
      </c>
      <c r="AD171" s="32" t="s">
        <v>1533</v>
      </c>
      <c r="AE171" s="32" t="s">
        <v>1534</v>
      </c>
      <c r="AF171" s="32" t="s">
        <v>1535</v>
      </c>
      <c r="AG171" s="32" t="s">
        <v>1229</v>
      </c>
      <c r="AH171" s="32" t="s">
        <v>1056</v>
      </c>
      <c r="AI171" s="32" t="str">
        <f t="shared" si="7"/>
        <v>Copper</v>
      </c>
      <c r="AJ171" s="32">
        <v>7736</v>
      </c>
      <c r="AK171" s="32" t="s">
        <v>1044</v>
      </c>
      <c r="AL171" s="36">
        <v>45</v>
      </c>
      <c r="AM171" s="30" t="s">
        <v>1838</v>
      </c>
      <c r="AN171" s="41">
        <f t="shared" si="5"/>
        <v>1</v>
      </c>
    </row>
    <row r="172" spans="1:40" x14ac:dyDescent="0.25">
      <c r="A172" s="32">
        <v>22610271</v>
      </c>
      <c r="B172" s="32" t="s">
        <v>1222</v>
      </c>
      <c r="C172" s="32" t="s">
        <v>1223</v>
      </c>
      <c r="D172" s="32" t="s">
        <v>1224</v>
      </c>
      <c r="E172" s="32" t="s">
        <v>993</v>
      </c>
      <c r="F172" s="32" t="s">
        <v>993</v>
      </c>
      <c r="G172" s="40">
        <v>46132</v>
      </c>
      <c r="H172" s="40" t="s">
        <v>994</v>
      </c>
      <c r="I172" s="40" t="s">
        <v>994</v>
      </c>
      <c r="J172" s="32" t="s">
        <v>995</v>
      </c>
      <c r="K172" s="32">
        <v>46132</v>
      </c>
      <c r="L172" s="32">
        <v>398034</v>
      </c>
      <c r="M172" s="32">
        <v>399034</v>
      </c>
      <c r="O172" s="32" t="s">
        <v>994</v>
      </c>
      <c r="P172" s="32">
        <v>13962</v>
      </c>
      <c r="Q172" s="32" t="s">
        <v>48</v>
      </c>
      <c r="R172" s="32" t="s">
        <v>1386</v>
      </c>
      <c r="S172" s="32" t="s">
        <v>1029</v>
      </c>
      <c r="T172" s="32" t="s">
        <v>997</v>
      </c>
      <c r="U172" s="32">
        <v>85641</v>
      </c>
      <c r="V172" s="32">
        <v>32.091540999999999</v>
      </c>
      <c r="W172" s="32">
        <v>-110.694537</v>
      </c>
      <c r="X172" s="32">
        <v>1735</v>
      </c>
      <c r="Y172" s="32">
        <v>2025</v>
      </c>
      <c r="Z172" s="32">
        <v>3</v>
      </c>
      <c r="AA172" s="32">
        <v>2</v>
      </c>
      <c r="AB172" s="32" t="s">
        <v>510</v>
      </c>
      <c r="AC172" s="32" t="s">
        <v>998</v>
      </c>
      <c r="AD172" s="32" t="s">
        <v>1536</v>
      </c>
      <c r="AE172" s="32" t="s">
        <v>1537</v>
      </c>
      <c r="AF172" s="32" t="s">
        <v>1538</v>
      </c>
      <c r="AG172" s="32" t="s">
        <v>1229</v>
      </c>
      <c r="AH172" s="32" t="s">
        <v>1056</v>
      </c>
      <c r="AI172" s="32" t="str">
        <f t="shared" si="7"/>
        <v>Brandy</v>
      </c>
      <c r="AJ172" s="32">
        <v>5400</v>
      </c>
      <c r="AK172" s="32" t="s">
        <v>1044</v>
      </c>
      <c r="AL172" s="32">
        <v>45</v>
      </c>
      <c r="AM172" s="32" t="s">
        <v>1839</v>
      </c>
      <c r="AN172" s="41">
        <f t="shared" si="5"/>
        <v>1</v>
      </c>
    </row>
    <row r="173" spans="1:40" x14ac:dyDescent="0.25">
      <c r="A173" s="32">
        <v>22610469</v>
      </c>
      <c r="B173" s="32" t="s">
        <v>1076</v>
      </c>
      <c r="C173" s="32" t="s">
        <v>1077</v>
      </c>
      <c r="D173" s="32" t="s">
        <v>1078</v>
      </c>
      <c r="E173" s="32" t="s">
        <v>993</v>
      </c>
      <c r="F173" s="32" t="s">
        <v>993</v>
      </c>
      <c r="G173" s="40">
        <v>46134</v>
      </c>
      <c r="H173" s="40" t="s">
        <v>994</v>
      </c>
      <c r="I173" s="40" t="s">
        <v>994</v>
      </c>
      <c r="J173" s="32" t="s">
        <v>995</v>
      </c>
      <c r="K173" s="32">
        <v>46134</v>
      </c>
      <c r="L173" s="32">
        <v>473471</v>
      </c>
      <c r="M173" s="32">
        <v>443471</v>
      </c>
      <c r="O173" s="32" t="s">
        <v>994</v>
      </c>
      <c r="P173" s="32">
        <v>8021</v>
      </c>
      <c r="Q173" s="32" t="s">
        <v>38</v>
      </c>
      <c r="R173" s="32" t="s">
        <v>1085</v>
      </c>
      <c r="S173" s="32" t="s">
        <v>45</v>
      </c>
      <c r="T173" s="32" t="s">
        <v>997</v>
      </c>
      <c r="U173" s="32">
        <v>85747</v>
      </c>
      <c r="V173" s="32">
        <v>32.105930999999998</v>
      </c>
      <c r="W173" s="32">
        <v>-110.703158</v>
      </c>
      <c r="X173" s="32">
        <v>1604</v>
      </c>
      <c r="Y173" s="32">
        <v>2026</v>
      </c>
      <c r="Z173" s="32">
        <v>2</v>
      </c>
      <c r="AA173" s="32">
        <v>2</v>
      </c>
      <c r="AB173" s="32" t="s">
        <v>510</v>
      </c>
      <c r="AC173" s="32" t="s">
        <v>998</v>
      </c>
      <c r="AD173" s="32" t="s">
        <v>1539</v>
      </c>
      <c r="AE173" s="32" t="s">
        <v>1540</v>
      </c>
      <c r="AF173" s="32" t="s">
        <v>1541</v>
      </c>
      <c r="AG173" s="32" t="s">
        <v>1083</v>
      </c>
      <c r="AH173" s="32" t="s">
        <v>1003</v>
      </c>
      <c r="AI173" s="32" t="str">
        <f t="shared" si="7"/>
        <v>Hideaway</v>
      </c>
      <c r="AJ173" s="32">
        <v>6593</v>
      </c>
      <c r="AK173" s="32" t="s">
        <v>1084</v>
      </c>
      <c r="AL173" s="37">
        <v>43</v>
      </c>
      <c r="AM173" s="31" t="s">
        <v>1840</v>
      </c>
      <c r="AN173" s="41">
        <f t="shared" si="5"/>
        <v>1</v>
      </c>
    </row>
    <row r="174" spans="1:40" x14ac:dyDescent="0.25">
      <c r="A174" s="32">
        <v>22610483</v>
      </c>
      <c r="B174" s="32" t="s">
        <v>1076</v>
      </c>
      <c r="C174" s="32" t="s">
        <v>1077</v>
      </c>
      <c r="D174" s="32" t="s">
        <v>1078</v>
      </c>
      <c r="E174" s="32" t="s">
        <v>993</v>
      </c>
      <c r="F174" s="32" t="s">
        <v>993</v>
      </c>
      <c r="G174" s="40">
        <v>46134</v>
      </c>
      <c r="H174" s="40" t="s">
        <v>994</v>
      </c>
      <c r="I174" s="40" t="s">
        <v>994</v>
      </c>
      <c r="J174" s="32" t="s">
        <v>995</v>
      </c>
      <c r="K174" s="32">
        <v>46134</v>
      </c>
      <c r="L174" s="32">
        <v>610930</v>
      </c>
      <c r="M174" s="32">
        <v>573930</v>
      </c>
      <c r="O174" s="32" t="s">
        <v>994</v>
      </c>
      <c r="P174" s="32">
        <v>8273</v>
      </c>
      <c r="Q174" s="32" t="s">
        <v>38</v>
      </c>
      <c r="R174" s="32" t="s">
        <v>1085</v>
      </c>
      <c r="S174" s="32" t="s">
        <v>45</v>
      </c>
      <c r="T174" s="32" t="s">
        <v>997</v>
      </c>
      <c r="U174" s="32">
        <v>85747</v>
      </c>
      <c r="V174" s="32">
        <v>32.101064999999998</v>
      </c>
      <c r="W174" s="32">
        <v>-110.700091</v>
      </c>
      <c r="X174" s="32">
        <v>2153</v>
      </c>
      <c r="Y174" s="32">
        <v>2026</v>
      </c>
      <c r="Z174" s="32">
        <v>2</v>
      </c>
      <c r="AA174" s="32">
        <v>2</v>
      </c>
      <c r="AB174" s="32" t="s">
        <v>510</v>
      </c>
      <c r="AC174" s="32" t="s">
        <v>998</v>
      </c>
      <c r="AD174" s="32" t="s">
        <v>1542</v>
      </c>
      <c r="AE174" s="32" t="s">
        <v>1543</v>
      </c>
      <c r="AF174" s="32" t="s">
        <v>1544</v>
      </c>
      <c r="AG174" s="32" t="s">
        <v>1083</v>
      </c>
      <c r="AH174" s="32" t="s">
        <v>1003</v>
      </c>
      <c r="AI174" s="32" t="str">
        <f t="shared" si="7"/>
        <v>Pursuit</v>
      </c>
      <c r="AJ174" s="32">
        <v>8575</v>
      </c>
      <c r="AK174" s="32" t="s">
        <v>1084</v>
      </c>
      <c r="AL174" s="38">
        <v>43</v>
      </c>
      <c r="AM174" s="33" t="s">
        <v>1841</v>
      </c>
      <c r="AN174" s="41">
        <f t="shared" si="5"/>
        <v>1</v>
      </c>
    </row>
    <row r="175" spans="1:40" x14ac:dyDescent="0.25">
      <c r="A175" s="32">
        <v>22610488</v>
      </c>
      <c r="B175" s="32" t="s">
        <v>1076</v>
      </c>
      <c r="C175" s="32" t="s">
        <v>1077</v>
      </c>
      <c r="D175" s="32" t="s">
        <v>1078</v>
      </c>
      <c r="E175" s="32" t="s">
        <v>993</v>
      </c>
      <c r="F175" s="32" t="s">
        <v>993</v>
      </c>
      <c r="G175" s="40">
        <v>46134</v>
      </c>
      <c r="H175" s="40" t="s">
        <v>994</v>
      </c>
      <c r="I175" s="40" t="s">
        <v>994</v>
      </c>
      <c r="J175" s="32" t="s">
        <v>995</v>
      </c>
      <c r="K175" s="32">
        <v>46134</v>
      </c>
      <c r="L175" s="32">
        <v>586483</v>
      </c>
      <c r="M175" s="32">
        <v>549483</v>
      </c>
      <c r="O175" s="32" t="s">
        <v>994</v>
      </c>
      <c r="P175" s="32">
        <v>13461</v>
      </c>
      <c r="Q175" s="32" t="s">
        <v>48</v>
      </c>
      <c r="R175" s="32" t="s">
        <v>1114</v>
      </c>
      <c r="S175" s="32" t="s">
        <v>45</v>
      </c>
      <c r="T175" s="32" t="s">
        <v>997</v>
      </c>
      <c r="U175" s="32">
        <v>85747</v>
      </c>
      <c r="V175" s="32">
        <v>32.102207</v>
      </c>
      <c r="W175" s="32">
        <v>-110.704905</v>
      </c>
      <c r="X175" s="32">
        <v>2316</v>
      </c>
      <c r="Y175" s="32">
        <v>2026</v>
      </c>
      <c r="Z175" s="32">
        <v>3</v>
      </c>
      <c r="AA175" s="32">
        <v>2</v>
      </c>
      <c r="AB175" s="32" t="s">
        <v>510</v>
      </c>
      <c r="AC175" s="32" t="s">
        <v>998</v>
      </c>
      <c r="AD175" s="32" t="s">
        <v>1545</v>
      </c>
      <c r="AE175" s="32" t="s">
        <v>1546</v>
      </c>
      <c r="AF175" s="32" t="s">
        <v>1547</v>
      </c>
      <c r="AG175" s="32" t="s">
        <v>1083</v>
      </c>
      <c r="AH175" s="32" t="s">
        <v>1003</v>
      </c>
      <c r="AI175" s="32" t="str">
        <f t="shared" si="7"/>
        <v>Serenity</v>
      </c>
      <c r="AJ175" s="32">
        <v>7802</v>
      </c>
      <c r="AK175" s="32" t="s">
        <v>1084</v>
      </c>
      <c r="AL175" s="38">
        <v>43</v>
      </c>
      <c r="AM175" s="33" t="s">
        <v>1842</v>
      </c>
      <c r="AN175" s="41">
        <f t="shared" si="5"/>
        <v>1</v>
      </c>
    </row>
    <row r="176" spans="1:40" x14ac:dyDescent="0.25">
      <c r="A176" s="32">
        <v>22610582</v>
      </c>
      <c r="B176" s="32" t="s">
        <v>1076</v>
      </c>
      <c r="C176" s="32" t="s">
        <v>1077</v>
      </c>
      <c r="D176" s="32" t="s">
        <v>1078</v>
      </c>
      <c r="E176" s="32" t="s">
        <v>993</v>
      </c>
      <c r="F176" s="32" t="s">
        <v>993</v>
      </c>
      <c r="G176" s="40">
        <v>46134</v>
      </c>
      <c r="H176" s="40" t="s">
        <v>994</v>
      </c>
      <c r="I176" s="40" t="s">
        <v>994</v>
      </c>
      <c r="J176" s="32" t="s">
        <v>995</v>
      </c>
      <c r="K176" s="32">
        <v>46135</v>
      </c>
      <c r="L176" s="32">
        <v>492941</v>
      </c>
      <c r="M176" s="32">
        <v>481990</v>
      </c>
      <c r="O176" s="32" t="s">
        <v>994</v>
      </c>
      <c r="P176" s="32">
        <v>8061</v>
      </c>
      <c r="Q176" s="32" t="s">
        <v>38</v>
      </c>
      <c r="R176" s="32" t="s">
        <v>1085</v>
      </c>
      <c r="S176" s="32" t="s">
        <v>45</v>
      </c>
      <c r="T176" s="32" t="s">
        <v>997</v>
      </c>
      <c r="U176" s="32">
        <v>85747</v>
      </c>
      <c r="V176" s="32">
        <v>32.105207</v>
      </c>
      <c r="W176" s="32">
        <v>-110.702915</v>
      </c>
      <c r="X176" s="32">
        <v>1884</v>
      </c>
      <c r="Y176" s="32">
        <v>2026</v>
      </c>
      <c r="Z176" s="32">
        <v>2</v>
      </c>
      <c r="AA176" s="32">
        <v>2</v>
      </c>
      <c r="AB176" s="32" t="s">
        <v>510</v>
      </c>
      <c r="AC176" s="32" t="s">
        <v>998</v>
      </c>
      <c r="AD176" s="32" t="s">
        <v>1548</v>
      </c>
      <c r="AE176" s="32" t="s">
        <v>1549</v>
      </c>
      <c r="AF176" s="32" t="s">
        <v>1550</v>
      </c>
      <c r="AG176" s="32" t="s">
        <v>1083</v>
      </c>
      <c r="AH176" s="32" t="s">
        <v>1003</v>
      </c>
      <c r="AI176" s="32" t="str">
        <f t="shared" si="7"/>
        <v>Sanctuary</v>
      </c>
      <c r="AJ176" s="32">
        <v>6593</v>
      </c>
      <c r="AK176" s="32" t="s">
        <v>1084</v>
      </c>
      <c r="AL176" s="34">
        <v>43</v>
      </c>
      <c r="AM176" s="34" t="s">
        <v>1843</v>
      </c>
      <c r="AN176" s="41">
        <f t="shared" si="5"/>
        <v>1</v>
      </c>
    </row>
    <row r="177" spans="1:40" x14ac:dyDescent="0.25">
      <c r="A177" s="32">
        <v>22610937</v>
      </c>
      <c r="B177" s="32" t="s">
        <v>1025</v>
      </c>
      <c r="C177" s="32" t="s">
        <v>1026</v>
      </c>
      <c r="D177" s="32" t="s">
        <v>1027</v>
      </c>
      <c r="E177" s="32" t="s">
        <v>993</v>
      </c>
      <c r="F177" s="32" t="s">
        <v>993</v>
      </c>
      <c r="G177" s="40">
        <v>46140</v>
      </c>
      <c r="H177" s="40" t="s">
        <v>994</v>
      </c>
      <c r="I177" s="40" t="s">
        <v>994</v>
      </c>
      <c r="J177" s="32" t="s">
        <v>995</v>
      </c>
      <c r="K177" s="32">
        <v>46140</v>
      </c>
      <c r="L177" s="32">
        <v>329990</v>
      </c>
      <c r="M177" s="32">
        <v>331940</v>
      </c>
      <c r="N177" s="42"/>
      <c r="O177" s="32" t="s">
        <v>994</v>
      </c>
      <c r="P177" s="32">
        <v>13003</v>
      </c>
      <c r="Q177" s="32" t="s">
        <v>48</v>
      </c>
      <c r="R177" s="32" t="s">
        <v>1412</v>
      </c>
      <c r="S177" s="32" t="s">
        <v>45</v>
      </c>
      <c r="T177" s="32" t="s">
        <v>997</v>
      </c>
      <c r="U177" s="32">
        <v>85747</v>
      </c>
      <c r="V177" s="32">
        <v>32.113035000000004</v>
      </c>
      <c r="W177" s="32">
        <v>-110.71653000000001</v>
      </c>
      <c r="X177" s="32">
        <v>1283</v>
      </c>
      <c r="Y177" s="32">
        <v>2026</v>
      </c>
      <c r="Z177" s="32">
        <v>3</v>
      </c>
      <c r="AA177" s="32">
        <v>2</v>
      </c>
      <c r="AB177" s="32" t="s">
        <v>510</v>
      </c>
      <c r="AC177" s="32" t="s">
        <v>998</v>
      </c>
      <c r="AD177" s="32" t="s">
        <v>1551</v>
      </c>
      <c r="AE177" s="32" t="s">
        <v>1552</v>
      </c>
      <c r="AF177" s="32" t="s">
        <v>1553</v>
      </c>
      <c r="AG177" s="32" t="s">
        <v>1033</v>
      </c>
      <c r="AH177" s="32" t="s">
        <v>1003</v>
      </c>
      <c r="AI177" s="32" t="str">
        <f t="shared" si="7"/>
        <v>Archer B</v>
      </c>
      <c r="AJ177" s="32">
        <v>7409</v>
      </c>
      <c r="AK177" s="32" t="s">
        <v>1411</v>
      </c>
      <c r="AL177" s="34">
        <v>37</v>
      </c>
      <c r="AM177" s="34" t="s">
        <v>1844</v>
      </c>
      <c r="AN177" s="41">
        <f t="shared" si="5"/>
        <v>1</v>
      </c>
    </row>
    <row r="178" spans="1:40" x14ac:dyDescent="0.25">
      <c r="A178" s="32">
        <v>22610938</v>
      </c>
      <c r="B178" s="32" t="s">
        <v>1025</v>
      </c>
      <c r="C178" s="32" t="s">
        <v>1026</v>
      </c>
      <c r="D178" s="32" t="s">
        <v>1027</v>
      </c>
      <c r="E178" s="32" t="s">
        <v>993</v>
      </c>
      <c r="F178" s="32" t="s">
        <v>993</v>
      </c>
      <c r="G178" s="40">
        <v>46140</v>
      </c>
      <c r="H178" s="40" t="s">
        <v>994</v>
      </c>
      <c r="I178" s="40" t="s">
        <v>994</v>
      </c>
      <c r="J178" s="32" t="s">
        <v>995</v>
      </c>
      <c r="K178" s="32">
        <v>46140</v>
      </c>
      <c r="L178" s="32">
        <v>359990</v>
      </c>
      <c r="M178" s="32">
        <v>362990</v>
      </c>
      <c r="N178" s="42"/>
      <c r="O178" s="32" t="s">
        <v>994</v>
      </c>
      <c r="P178" s="32">
        <v>13040</v>
      </c>
      <c r="Q178" s="32" t="s">
        <v>48</v>
      </c>
      <c r="R178" s="32" t="s">
        <v>1407</v>
      </c>
      <c r="S178" s="32" t="s">
        <v>45</v>
      </c>
      <c r="T178" s="32" t="s">
        <v>997</v>
      </c>
      <c r="U178" s="32">
        <v>85747</v>
      </c>
      <c r="V178" s="32">
        <v>32.113644000000001</v>
      </c>
      <c r="W178" s="32">
        <v>-110.716328</v>
      </c>
      <c r="X178" s="32">
        <v>1631</v>
      </c>
      <c r="Y178" s="32">
        <v>2026</v>
      </c>
      <c r="Z178" s="32">
        <v>4</v>
      </c>
      <c r="AA178" s="32">
        <v>2</v>
      </c>
      <c r="AB178" s="32" t="s">
        <v>510</v>
      </c>
      <c r="AC178" s="32" t="s">
        <v>998</v>
      </c>
      <c r="AD178" s="32" t="s">
        <v>1554</v>
      </c>
      <c r="AE178" s="32" t="s">
        <v>1555</v>
      </c>
      <c r="AF178" s="32" t="s">
        <v>1556</v>
      </c>
      <c r="AG178" s="32" t="s">
        <v>1033</v>
      </c>
      <c r="AH178" s="32" t="s">
        <v>1003</v>
      </c>
      <c r="AI178" s="32" t="str">
        <f t="shared" si="7"/>
        <v>Carson B</v>
      </c>
      <c r="AJ178" s="32">
        <v>4840</v>
      </c>
      <c r="AK178" s="32" t="s">
        <v>1411</v>
      </c>
      <c r="AL178" s="38">
        <v>37</v>
      </c>
      <c r="AM178" s="33" t="s">
        <v>1845</v>
      </c>
      <c r="AN178" s="41">
        <f t="shared" si="5"/>
        <v>1</v>
      </c>
    </row>
    <row r="179" spans="1:40" x14ac:dyDescent="0.25">
      <c r="A179" s="32">
        <v>22610944</v>
      </c>
      <c r="B179" s="32" t="s">
        <v>1025</v>
      </c>
      <c r="C179" s="32" t="s">
        <v>1026</v>
      </c>
      <c r="D179" s="32" t="s">
        <v>1027</v>
      </c>
      <c r="E179" s="32" t="s">
        <v>993</v>
      </c>
      <c r="F179" s="32" t="s">
        <v>993</v>
      </c>
      <c r="G179" s="40">
        <v>46140</v>
      </c>
      <c r="H179" s="40" t="s">
        <v>994</v>
      </c>
      <c r="I179" s="40">
        <v>46153</v>
      </c>
      <c r="J179" s="32" t="s">
        <v>1038</v>
      </c>
      <c r="K179" s="32">
        <v>46153</v>
      </c>
      <c r="L179" s="32">
        <v>429990</v>
      </c>
      <c r="M179" s="32">
        <v>430990</v>
      </c>
      <c r="N179" s="42"/>
      <c r="O179" s="32" t="s">
        <v>994</v>
      </c>
      <c r="P179" s="32">
        <v>7566</v>
      </c>
      <c r="Q179" s="32" t="s">
        <v>38</v>
      </c>
      <c r="R179" s="32" t="s">
        <v>1445</v>
      </c>
      <c r="S179" s="32" t="s">
        <v>45</v>
      </c>
      <c r="T179" s="32" t="s">
        <v>997</v>
      </c>
      <c r="U179" s="32">
        <v>85747</v>
      </c>
      <c r="V179" s="32">
        <v>32.114257000000002</v>
      </c>
      <c r="W179" s="32">
        <v>-110.71529099999999</v>
      </c>
      <c r="X179" s="32">
        <v>2105</v>
      </c>
      <c r="Y179" s="32">
        <v>2026</v>
      </c>
      <c r="Z179" s="32">
        <v>4</v>
      </c>
      <c r="AA179" s="32">
        <v>3</v>
      </c>
      <c r="AB179" s="32" t="s">
        <v>510</v>
      </c>
      <c r="AC179" s="32" t="s">
        <v>998</v>
      </c>
      <c r="AD179" s="32" t="s">
        <v>1557</v>
      </c>
      <c r="AE179" s="32" t="s">
        <v>1558</v>
      </c>
      <c r="AF179" s="32" t="s">
        <v>1559</v>
      </c>
      <c r="AG179" s="32" t="s">
        <v>1033</v>
      </c>
      <c r="AH179" s="32" t="s">
        <v>1003</v>
      </c>
      <c r="AI179" s="32" t="str">
        <f t="shared" si="7"/>
        <v>Bella NG B</v>
      </c>
      <c r="AJ179" s="32">
        <v>6397</v>
      </c>
      <c r="AK179" s="32" t="s">
        <v>1411</v>
      </c>
      <c r="AL179" s="38">
        <v>13</v>
      </c>
      <c r="AM179" s="33" t="s">
        <v>1846</v>
      </c>
      <c r="AN179" s="41">
        <f t="shared" si="5"/>
        <v>2</v>
      </c>
    </row>
    <row r="180" spans="1:40" x14ac:dyDescent="0.25">
      <c r="A180" s="32">
        <v>22610947</v>
      </c>
      <c r="B180" s="32" t="s">
        <v>1025</v>
      </c>
      <c r="C180" s="32" t="s">
        <v>1026</v>
      </c>
      <c r="D180" s="32" t="s">
        <v>1027</v>
      </c>
      <c r="E180" s="32" t="s">
        <v>993</v>
      </c>
      <c r="F180" s="32" t="s">
        <v>993</v>
      </c>
      <c r="G180" s="40">
        <v>46140</v>
      </c>
      <c r="H180" s="40" t="s">
        <v>994</v>
      </c>
      <c r="I180" s="40" t="s">
        <v>994</v>
      </c>
      <c r="J180" s="32" t="s">
        <v>995</v>
      </c>
      <c r="K180" s="32">
        <v>46140</v>
      </c>
      <c r="L180" s="32">
        <v>452990</v>
      </c>
      <c r="M180" s="32">
        <v>459990</v>
      </c>
      <c r="O180" s="32" t="s">
        <v>994</v>
      </c>
      <c r="P180" s="32">
        <v>14071</v>
      </c>
      <c r="Q180" s="32" t="s">
        <v>48</v>
      </c>
      <c r="R180" s="32" t="s">
        <v>1560</v>
      </c>
      <c r="S180" s="32" t="s">
        <v>1029</v>
      </c>
      <c r="T180" s="32" t="s">
        <v>997</v>
      </c>
      <c r="U180" s="32">
        <v>85641</v>
      </c>
      <c r="V180" s="32">
        <v>32.095688000000003</v>
      </c>
      <c r="W180" s="32">
        <v>-110.693113</v>
      </c>
      <c r="X180" s="32">
        <v>2624</v>
      </c>
      <c r="Y180" s="32">
        <v>2026</v>
      </c>
      <c r="Z180" s="32">
        <v>5</v>
      </c>
      <c r="AA180" s="32">
        <v>4</v>
      </c>
      <c r="AB180" s="32" t="s">
        <v>510</v>
      </c>
      <c r="AC180" s="32" t="s">
        <v>1008</v>
      </c>
      <c r="AD180" s="32" t="s">
        <v>1561</v>
      </c>
      <c r="AE180" s="32" t="s">
        <v>1494</v>
      </c>
      <c r="AF180" s="32" t="s">
        <v>1562</v>
      </c>
      <c r="AG180" s="32" t="s">
        <v>1033</v>
      </c>
      <c r="AH180" s="32" t="s">
        <v>1003</v>
      </c>
      <c r="AI180" s="32" t="str">
        <f t="shared" si="7"/>
        <v>Poppy C</v>
      </c>
      <c r="AJ180" s="32">
        <v>5338</v>
      </c>
      <c r="AK180" s="32" t="s">
        <v>1072</v>
      </c>
      <c r="AL180" s="38">
        <v>37</v>
      </c>
      <c r="AM180" s="33" t="s">
        <v>1847</v>
      </c>
      <c r="AN180" s="41">
        <f t="shared" si="5"/>
        <v>1</v>
      </c>
    </row>
    <row r="181" spans="1:40" x14ac:dyDescent="0.25">
      <c r="A181" s="32">
        <v>22610950</v>
      </c>
      <c r="B181" s="32" t="s">
        <v>1025</v>
      </c>
      <c r="C181" s="32" t="s">
        <v>1026</v>
      </c>
      <c r="D181" s="32" t="s">
        <v>1027</v>
      </c>
      <c r="E181" s="32" t="s">
        <v>993</v>
      </c>
      <c r="F181" s="32" t="s">
        <v>993</v>
      </c>
      <c r="G181" s="40">
        <v>46140</v>
      </c>
      <c r="H181" s="40" t="s">
        <v>994</v>
      </c>
      <c r="I181" s="40">
        <v>46147</v>
      </c>
      <c r="J181" s="32" t="s">
        <v>1038</v>
      </c>
      <c r="K181" s="32">
        <v>46148</v>
      </c>
      <c r="L181" s="32">
        <v>389990</v>
      </c>
      <c r="M181" s="32">
        <v>389990</v>
      </c>
      <c r="O181" s="32" t="s">
        <v>994</v>
      </c>
      <c r="P181" s="32">
        <v>12957</v>
      </c>
      <c r="Q181" s="32" t="s">
        <v>48</v>
      </c>
      <c r="R181" s="32" t="s">
        <v>1486</v>
      </c>
      <c r="S181" s="32" t="s">
        <v>1029</v>
      </c>
      <c r="T181" s="32" t="s">
        <v>997</v>
      </c>
      <c r="U181" s="32">
        <v>85641</v>
      </c>
      <c r="V181" s="32">
        <v>32.099764</v>
      </c>
      <c r="W181" s="32">
        <v>-110.71841999999999</v>
      </c>
      <c r="X181" s="32">
        <v>1852</v>
      </c>
      <c r="Y181" s="32">
        <v>2026</v>
      </c>
      <c r="Z181" s="32">
        <v>4</v>
      </c>
      <c r="AA181" s="32">
        <v>2</v>
      </c>
      <c r="AB181" s="32" t="s">
        <v>510</v>
      </c>
      <c r="AC181" s="32" t="s">
        <v>998</v>
      </c>
      <c r="AD181" s="32" t="s">
        <v>1563</v>
      </c>
      <c r="AE181" s="32" t="s">
        <v>1564</v>
      </c>
      <c r="AF181" s="32" t="s">
        <v>1565</v>
      </c>
      <c r="AG181" s="32" t="s">
        <v>1033</v>
      </c>
      <c r="AH181" s="32" t="s">
        <v>1003</v>
      </c>
      <c r="AI181" s="32" t="str">
        <f t="shared" si="7"/>
        <v>Odyssey A</v>
      </c>
      <c r="AJ181" s="32">
        <v>6875</v>
      </c>
      <c r="AK181" s="32" t="s">
        <v>1034</v>
      </c>
      <c r="AL181" s="34">
        <v>8</v>
      </c>
      <c r="AM181" s="34" t="s">
        <v>1848</v>
      </c>
      <c r="AN181" s="41">
        <f t="shared" si="5"/>
        <v>2</v>
      </c>
    </row>
    <row r="182" spans="1:40" x14ac:dyDescent="0.25">
      <c r="A182" s="32">
        <v>22610952</v>
      </c>
      <c r="B182" s="32" t="s">
        <v>1025</v>
      </c>
      <c r="C182" s="32" t="s">
        <v>1026</v>
      </c>
      <c r="D182" s="32" t="s">
        <v>1027</v>
      </c>
      <c r="E182" s="32" t="s">
        <v>993</v>
      </c>
      <c r="F182" s="32" t="s">
        <v>993</v>
      </c>
      <c r="G182" s="40">
        <v>46140</v>
      </c>
      <c r="H182" s="40" t="s">
        <v>994</v>
      </c>
      <c r="I182" s="40">
        <v>46160</v>
      </c>
      <c r="J182" s="32" t="s">
        <v>1038</v>
      </c>
      <c r="K182" s="32">
        <v>46160</v>
      </c>
      <c r="L182" s="32">
        <v>399990</v>
      </c>
      <c r="M182" s="32">
        <v>394940</v>
      </c>
      <c r="O182" s="32" t="s">
        <v>994</v>
      </c>
      <c r="P182" s="32">
        <v>8148</v>
      </c>
      <c r="Q182" s="32" t="s">
        <v>38</v>
      </c>
      <c r="R182" s="32" t="s">
        <v>1028</v>
      </c>
      <c r="S182" s="32" t="s">
        <v>1029</v>
      </c>
      <c r="T182" s="32" t="s">
        <v>997</v>
      </c>
      <c r="U182" s="32">
        <v>85641</v>
      </c>
      <c r="V182" s="32">
        <v>32.099764</v>
      </c>
      <c r="W182" s="32">
        <v>-110.71841999999999</v>
      </c>
      <c r="X182" s="32">
        <v>1852</v>
      </c>
      <c r="Y182" s="32">
        <v>2026</v>
      </c>
      <c r="Z182" s="32">
        <v>4</v>
      </c>
      <c r="AA182" s="32">
        <v>2</v>
      </c>
      <c r="AB182" s="32" t="s">
        <v>510</v>
      </c>
      <c r="AC182" s="32" t="s">
        <v>998</v>
      </c>
      <c r="AD182" s="32" t="s">
        <v>1566</v>
      </c>
      <c r="AE182" s="32" t="s">
        <v>1567</v>
      </c>
      <c r="AF182" s="32" t="s">
        <v>1568</v>
      </c>
      <c r="AG182" s="32" t="s">
        <v>1033</v>
      </c>
      <c r="AH182" s="32" t="s">
        <v>1003</v>
      </c>
      <c r="AI182" s="32" t="str">
        <f t="shared" si="7"/>
        <v>Odyssey B</v>
      </c>
      <c r="AJ182" s="32">
        <v>6875</v>
      </c>
      <c r="AK182" s="32" t="s">
        <v>1034</v>
      </c>
      <c r="AL182" s="34">
        <v>20</v>
      </c>
      <c r="AM182" s="34" t="s">
        <v>1849</v>
      </c>
      <c r="AN182" s="41">
        <f t="shared" si="5"/>
        <v>2</v>
      </c>
    </row>
    <row r="183" spans="1:40" x14ac:dyDescent="0.25">
      <c r="A183" s="32">
        <v>22610953</v>
      </c>
      <c r="B183" s="32" t="s">
        <v>1025</v>
      </c>
      <c r="C183" s="32" t="s">
        <v>1026</v>
      </c>
      <c r="D183" s="32" t="s">
        <v>1027</v>
      </c>
      <c r="E183" s="32" t="s">
        <v>993</v>
      </c>
      <c r="F183" s="32" t="s">
        <v>993</v>
      </c>
      <c r="G183" s="40">
        <v>46140</v>
      </c>
      <c r="H183" s="40" t="s">
        <v>994</v>
      </c>
      <c r="I183" s="40" t="s">
        <v>994</v>
      </c>
      <c r="J183" s="32" t="s">
        <v>995</v>
      </c>
      <c r="K183" s="32">
        <v>46140</v>
      </c>
      <c r="L183" s="32">
        <v>454990</v>
      </c>
      <c r="M183" s="32">
        <v>455990</v>
      </c>
      <c r="O183" s="32" t="s">
        <v>994</v>
      </c>
      <c r="P183" s="32">
        <v>8184</v>
      </c>
      <c r="Q183" s="32" t="s">
        <v>38</v>
      </c>
      <c r="R183" s="32" t="s">
        <v>1028</v>
      </c>
      <c r="S183" s="32" t="s">
        <v>1029</v>
      </c>
      <c r="T183" s="32" t="s">
        <v>997</v>
      </c>
      <c r="U183" s="32">
        <v>85641</v>
      </c>
      <c r="V183" s="32">
        <v>32.099764</v>
      </c>
      <c r="W183" s="32">
        <v>-110.71841999999999</v>
      </c>
      <c r="X183" s="32">
        <v>2135</v>
      </c>
      <c r="Y183" s="32">
        <v>2026</v>
      </c>
      <c r="Z183" s="32">
        <v>4</v>
      </c>
      <c r="AA183" s="32">
        <v>2</v>
      </c>
      <c r="AB183" s="32" t="s">
        <v>510</v>
      </c>
      <c r="AC183" s="32" t="s">
        <v>998</v>
      </c>
      <c r="AD183" s="32" t="s">
        <v>1569</v>
      </c>
      <c r="AE183" s="32" t="s">
        <v>1129</v>
      </c>
      <c r="AF183" s="32" t="s">
        <v>1570</v>
      </c>
      <c r="AG183" s="32" t="s">
        <v>1033</v>
      </c>
      <c r="AH183" s="32" t="s">
        <v>1003</v>
      </c>
      <c r="AI183" s="32" t="str">
        <f t="shared" si="7"/>
        <v>Traverse B</v>
      </c>
      <c r="AJ183" s="32">
        <v>8115</v>
      </c>
      <c r="AK183" s="32" t="s">
        <v>1034</v>
      </c>
      <c r="AL183" s="34">
        <v>37</v>
      </c>
      <c r="AM183" s="34" t="s">
        <v>1850</v>
      </c>
      <c r="AN183" s="41">
        <f t="shared" si="5"/>
        <v>1</v>
      </c>
    </row>
    <row r="184" spans="1:40" x14ac:dyDescent="0.25">
      <c r="A184" s="32">
        <v>22610956</v>
      </c>
      <c r="B184" s="32" t="s">
        <v>1025</v>
      </c>
      <c r="C184" s="32" t="s">
        <v>1026</v>
      </c>
      <c r="D184" s="32" t="s">
        <v>1027</v>
      </c>
      <c r="E184" s="32" t="s">
        <v>993</v>
      </c>
      <c r="F184" s="32" t="s">
        <v>993</v>
      </c>
      <c r="G184" s="40">
        <v>46140</v>
      </c>
      <c r="H184" s="40" t="s">
        <v>994</v>
      </c>
      <c r="I184" s="40" t="s">
        <v>994</v>
      </c>
      <c r="J184" s="32" t="s">
        <v>995</v>
      </c>
      <c r="K184" s="32">
        <v>46140</v>
      </c>
      <c r="L184" s="32">
        <v>497990</v>
      </c>
      <c r="M184" s="32">
        <v>498940</v>
      </c>
      <c r="O184" s="32" t="s">
        <v>994</v>
      </c>
      <c r="P184" s="32">
        <v>8154</v>
      </c>
      <c r="Q184" s="32" t="s">
        <v>38</v>
      </c>
      <c r="R184" s="32" t="s">
        <v>1028</v>
      </c>
      <c r="S184" s="32" t="s">
        <v>1029</v>
      </c>
      <c r="T184" s="32" t="s">
        <v>997</v>
      </c>
      <c r="U184" s="32">
        <v>85641</v>
      </c>
      <c r="V184" s="32">
        <v>32.099764</v>
      </c>
      <c r="W184" s="32">
        <v>-110.71841999999999</v>
      </c>
      <c r="X184" s="32">
        <v>2425</v>
      </c>
      <c r="Y184" s="32">
        <v>2026</v>
      </c>
      <c r="Z184" s="32">
        <v>5</v>
      </c>
      <c r="AA184" s="32">
        <v>3</v>
      </c>
      <c r="AB184" s="32" t="s">
        <v>510</v>
      </c>
      <c r="AC184" s="32" t="s">
        <v>1008</v>
      </c>
      <c r="AD184" s="32" t="s">
        <v>1571</v>
      </c>
      <c r="AE184" s="32" t="s">
        <v>1202</v>
      </c>
      <c r="AF184" s="32" t="s">
        <v>1572</v>
      </c>
      <c r="AG184" s="32" t="s">
        <v>1033</v>
      </c>
      <c r="AH184" s="32" t="s">
        <v>1003</v>
      </c>
      <c r="AI184" s="32" t="str">
        <f t="shared" si="7"/>
        <v>Venture B</v>
      </c>
      <c r="AJ184" s="32">
        <v>8727</v>
      </c>
      <c r="AK184" s="32" t="s">
        <v>1034</v>
      </c>
      <c r="AL184" s="34">
        <v>37</v>
      </c>
      <c r="AM184" s="34" t="s">
        <v>1851</v>
      </c>
      <c r="AN184" s="41">
        <f t="shared" si="5"/>
        <v>1</v>
      </c>
    </row>
    <row r="185" spans="1:40" x14ac:dyDescent="0.25">
      <c r="A185" s="32">
        <v>22610957</v>
      </c>
      <c r="B185" s="32" t="s">
        <v>1025</v>
      </c>
      <c r="C185" s="32" t="s">
        <v>1026</v>
      </c>
      <c r="D185" s="32" t="s">
        <v>1027</v>
      </c>
      <c r="E185" s="32" t="s">
        <v>993</v>
      </c>
      <c r="F185" s="32" t="s">
        <v>993</v>
      </c>
      <c r="G185" s="40">
        <v>46140</v>
      </c>
      <c r="H185" s="40" t="s">
        <v>994</v>
      </c>
      <c r="I185" s="40">
        <v>46160</v>
      </c>
      <c r="J185" s="32" t="s">
        <v>1038</v>
      </c>
      <c r="K185" s="32">
        <v>46160</v>
      </c>
      <c r="L185" s="32">
        <v>452990</v>
      </c>
      <c r="M185" s="32">
        <v>457990</v>
      </c>
      <c r="O185" s="32" t="s">
        <v>994</v>
      </c>
      <c r="P185" s="32">
        <v>8190</v>
      </c>
      <c r="Q185" s="32" t="s">
        <v>38</v>
      </c>
      <c r="R185" s="32" t="s">
        <v>1028</v>
      </c>
      <c r="S185" s="32" t="s">
        <v>1029</v>
      </c>
      <c r="T185" s="32" t="s">
        <v>997</v>
      </c>
      <c r="U185" s="32">
        <v>85641</v>
      </c>
      <c r="V185" s="32">
        <v>32.099764</v>
      </c>
      <c r="W185" s="32">
        <v>-110.71841999999999</v>
      </c>
      <c r="X185" s="32">
        <v>2749</v>
      </c>
      <c r="Y185" s="32">
        <v>2026</v>
      </c>
      <c r="Z185" s="32">
        <v>5</v>
      </c>
      <c r="AA185" s="32">
        <v>4</v>
      </c>
      <c r="AB185" s="32" t="s">
        <v>510</v>
      </c>
      <c r="AC185" s="32" t="s">
        <v>1008</v>
      </c>
      <c r="AD185" s="32" t="s">
        <v>1573</v>
      </c>
      <c r="AE185" s="32" t="s">
        <v>1031</v>
      </c>
      <c r="AF185" s="32" t="s">
        <v>1574</v>
      </c>
      <c r="AG185" s="32" t="s">
        <v>1033</v>
      </c>
      <c r="AH185" s="32" t="s">
        <v>1003</v>
      </c>
      <c r="AI185" s="32" t="str">
        <f t="shared" si="7"/>
        <v>Wayfarer A</v>
      </c>
      <c r="AJ185" s="32">
        <v>8240</v>
      </c>
      <c r="AK185" s="32" t="s">
        <v>1034</v>
      </c>
      <c r="AL185" s="34">
        <v>20</v>
      </c>
      <c r="AM185" s="34" t="s">
        <v>1852</v>
      </c>
      <c r="AN185" s="41">
        <f t="shared" si="5"/>
        <v>2</v>
      </c>
    </row>
    <row r="186" spans="1:40" x14ac:dyDescent="0.25">
      <c r="A186" s="32">
        <v>22610960</v>
      </c>
      <c r="B186" s="32" t="s">
        <v>1025</v>
      </c>
      <c r="C186" s="32" t="s">
        <v>1026</v>
      </c>
      <c r="D186" s="32" t="s">
        <v>1027</v>
      </c>
      <c r="E186" s="32" t="s">
        <v>993</v>
      </c>
      <c r="F186" s="32" t="s">
        <v>993</v>
      </c>
      <c r="G186" s="40">
        <v>46140</v>
      </c>
      <c r="H186" s="40">
        <v>46171</v>
      </c>
      <c r="I186" s="40">
        <v>46153</v>
      </c>
      <c r="J186" s="32" t="s">
        <v>37</v>
      </c>
      <c r="K186" s="32">
        <v>46171</v>
      </c>
      <c r="L186" s="32">
        <v>449940</v>
      </c>
      <c r="M186" s="32">
        <v>448940</v>
      </c>
      <c r="N186" s="32">
        <v>448940</v>
      </c>
      <c r="O186" s="32">
        <v>163.31</v>
      </c>
      <c r="P186" s="32">
        <v>8196</v>
      </c>
      <c r="Q186" s="32" t="s">
        <v>38</v>
      </c>
      <c r="R186" s="32" t="s">
        <v>1028</v>
      </c>
      <c r="S186" s="32" t="s">
        <v>1029</v>
      </c>
      <c r="T186" s="32" t="s">
        <v>997</v>
      </c>
      <c r="U186" s="32">
        <v>85641</v>
      </c>
      <c r="V186" s="32">
        <v>32.099764</v>
      </c>
      <c r="W186" s="32">
        <v>-110.71841999999999</v>
      </c>
      <c r="X186" s="32">
        <v>2749</v>
      </c>
      <c r="Y186" s="32">
        <v>2026</v>
      </c>
      <c r="Z186" s="32">
        <v>5</v>
      </c>
      <c r="AA186" s="32">
        <v>4</v>
      </c>
      <c r="AB186" s="32" t="s">
        <v>510</v>
      </c>
      <c r="AC186" s="32" t="s">
        <v>1008</v>
      </c>
      <c r="AD186" s="32" t="s">
        <v>1575</v>
      </c>
      <c r="AE186" s="32" t="s">
        <v>1031</v>
      </c>
      <c r="AF186" s="32" t="s">
        <v>1576</v>
      </c>
      <c r="AG186" s="32" t="s">
        <v>1033</v>
      </c>
      <c r="AH186" s="32" t="s">
        <v>1003</v>
      </c>
      <c r="AI186" s="32" t="str">
        <f t="shared" si="7"/>
        <v>Wayfarer C</v>
      </c>
      <c r="AJ186" s="32">
        <v>8081</v>
      </c>
      <c r="AK186" s="32" t="s">
        <v>1034</v>
      </c>
      <c r="AL186" s="34">
        <v>13</v>
      </c>
      <c r="AM186" s="34" t="s">
        <v>1853</v>
      </c>
      <c r="AN186" s="41">
        <f t="shared" si="5"/>
        <v>3</v>
      </c>
    </row>
    <row r="187" spans="1:40" x14ac:dyDescent="0.25">
      <c r="A187" s="32">
        <v>22611094</v>
      </c>
      <c r="B187" s="32" t="s">
        <v>1222</v>
      </c>
      <c r="C187" s="32" t="s">
        <v>1223</v>
      </c>
      <c r="D187" s="32" t="s">
        <v>1224</v>
      </c>
      <c r="E187" s="32" t="s">
        <v>993</v>
      </c>
      <c r="F187" s="32" t="s">
        <v>993</v>
      </c>
      <c r="G187" s="40">
        <v>46141</v>
      </c>
      <c r="H187" s="40">
        <v>46170</v>
      </c>
      <c r="I187" s="40">
        <v>46147</v>
      </c>
      <c r="J187" s="32" t="s">
        <v>37</v>
      </c>
      <c r="K187" s="32">
        <v>46170</v>
      </c>
      <c r="L187" s="32">
        <v>463050</v>
      </c>
      <c r="M187" s="32">
        <v>463050</v>
      </c>
      <c r="N187" s="32">
        <v>463050</v>
      </c>
      <c r="O187" s="32">
        <v>202.56</v>
      </c>
      <c r="P187" s="32">
        <v>13967</v>
      </c>
      <c r="Q187" s="32" t="s">
        <v>48</v>
      </c>
      <c r="R187" s="32" t="s">
        <v>1386</v>
      </c>
      <c r="S187" s="32" t="s">
        <v>1029</v>
      </c>
      <c r="T187" s="32" t="s">
        <v>997</v>
      </c>
      <c r="U187" s="32">
        <v>85641</v>
      </c>
      <c r="V187" s="32">
        <v>32.091985000000001</v>
      </c>
      <c r="W187" s="32">
        <v>-110.694524</v>
      </c>
      <c r="X187" s="32">
        <v>2286</v>
      </c>
      <c r="Y187" s="32">
        <v>2026</v>
      </c>
      <c r="Z187" s="32">
        <v>4</v>
      </c>
      <c r="AA187" s="32">
        <v>3</v>
      </c>
      <c r="AB187" s="32" t="s">
        <v>510</v>
      </c>
      <c r="AC187" s="32" t="s">
        <v>1008</v>
      </c>
      <c r="AD187" s="32" t="s">
        <v>1577</v>
      </c>
      <c r="AE187" s="32" t="s">
        <v>1578</v>
      </c>
      <c r="AF187" s="32" t="s">
        <v>1579</v>
      </c>
      <c r="AG187" s="32" t="s">
        <v>1229</v>
      </c>
      <c r="AH187" s="32" t="s">
        <v>1056</v>
      </c>
      <c r="AI187" s="32" t="str">
        <f t="shared" si="7"/>
        <v>Sienna</v>
      </c>
      <c r="AJ187" s="32">
        <v>4950</v>
      </c>
      <c r="AK187" s="32" t="s">
        <v>1044</v>
      </c>
      <c r="AL187" s="38">
        <v>6</v>
      </c>
      <c r="AM187" s="33" t="s">
        <v>1854</v>
      </c>
      <c r="AN187" s="41">
        <f t="shared" si="5"/>
        <v>3</v>
      </c>
    </row>
    <row r="188" spans="1:40" x14ac:dyDescent="0.25">
      <c r="A188" s="32">
        <v>22611096</v>
      </c>
      <c r="B188" s="32" t="s">
        <v>1222</v>
      </c>
      <c r="C188" s="32" t="s">
        <v>1223</v>
      </c>
      <c r="D188" s="32" t="s">
        <v>1224</v>
      </c>
      <c r="E188" s="32" t="s">
        <v>993</v>
      </c>
      <c r="F188" s="32" t="s">
        <v>993</v>
      </c>
      <c r="G188" s="40">
        <v>46141</v>
      </c>
      <c r="H188" s="40" t="s">
        <v>994</v>
      </c>
      <c r="I188" s="40" t="s">
        <v>994</v>
      </c>
      <c r="J188" s="32" t="s">
        <v>995</v>
      </c>
      <c r="K188" s="32">
        <v>46141</v>
      </c>
      <c r="L188" s="32">
        <v>398119</v>
      </c>
      <c r="M188" s="32">
        <v>403119</v>
      </c>
      <c r="O188" s="32" t="s">
        <v>994</v>
      </c>
      <c r="P188" s="32">
        <v>13953</v>
      </c>
      <c r="Q188" s="32" t="s">
        <v>48</v>
      </c>
      <c r="R188" s="32" t="s">
        <v>1225</v>
      </c>
      <c r="S188" s="32" t="s">
        <v>1029</v>
      </c>
      <c r="T188" s="32" t="s">
        <v>997</v>
      </c>
      <c r="U188" s="32">
        <v>85641</v>
      </c>
      <c r="V188" s="32">
        <v>32.091234</v>
      </c>
      <c r="W188" s="32">
        <v>-110.694638</v>
      </c>
      <c r="X188" s="32">
        <v>1735</v>
      </c>
      <c r="Y188" s="32">
        <v>2026</v>
      </c>
      <c r="Z188" s="32">
        <v>3</v>
      </c>
      <c r="AA188" s="32">
        <v>2</v>
      </c>
      <c r="AB188" s="32" t="s">
        <v>510</v>
      </c>
      <c r="AC188" s="32" t="s">
        <v>998</v>
      </c>
      <c r="AD188" s="32" t="s">
        <v>1580</v>
      </c>
      <c r="AE188" s="32" t="s">
        <v>1531</v>
      </c>
      <c r="AF188" s="32" t="s">
        <v>1581</v>
      </c>
      <c r="AG188" s="32" t="s">
        <v>1229</v>
      </c>
      <c r="AH188" s="32" t="s">
        <v>1056</v>
      </c>
      <c r="AI188" s="32" t="str">
        <f t="shared" si="7"/>
        <v>Brandy</v>
      </c>
      <c r="AJ188" s="32">
        <v>5578</v>
      </c>
      <c r="AK188" s="32" t="s">
        <v>1044</v>
      </c>
      <c r="AL188" s="38">
        <v>36</v>
      </c>
      <c r="AM188" s="33" t="s">
        <v>1855</v>
      </c>
      <c r="AN188" s="41">
        <f t="shared" si="5"/>
        <v>1</v>
      </c>
    </row>
    <row r="189" spans="1:40" x14ac:dyDescent="0.25">
      <c r="A189" s="32">
        <v>22611174</v>
      </c>
      <c r="B189" s="32" t="s">
        <v>1025</v>
      </c>
      <c r="C189" s="32" t="s">
        <v>1026</v>
      </c>
      <c r="D189" s="32" t="s">
        <v>1027</v>
      </c>
      <c r="E189" s="32" t="s">
        <v>993</v>
      </c>
      <c r="F189" s="32" t="s">
        <v>993</v>
      </c>
      <c r="G189" s="40">
        <v>46131</v>
      </c>
      <c r="H189" s="40">
        <v>46157</v>
      </c>
      <c r="I189" s="40">
        <v>46132</v>
      </c>
      <c r="J189" s="32" t="s">
        <v>37</v>
      </c>
      <c r="K189" s="32">
        <v>46157</v>
      </c>
      <c r="L189" s="32">
        <v>466880</v>
      </c>
      <c r="M189" s="32">
        <v>466880</v>
      </c>
      <c r="N189" s="32">
        <v>466880</v>
      </c>
      <c r="O189" s="32">
        <v>169.84</v>
      </c>
      <c r="P189" s="32">
        <v>8207</v>
      </c>
      <c r="Q189" s="32">
        <v>0</v>
      </c>
      <c r="R189" s="32" t="s">
        <v>1028</v>
      </c>
      <c r="S189" s="32" t="s">
        <v>1029</v>
      </c>
      <c r="T189" s="32" t="s">
        <v>997</v>
      </c>
      <c r="U189" s="32">
        <v>85641</v>
      </c>
      <c r="V189" s="32">
        <v>32.099755999999999</v>
      </c>
      <c r="W189" s="32">
        <v>-110.71842100000001</v>
      </c>
      <c r="X189" s="32">
        <v>2749</v>
      </c>
      <c r="Y189" s="32">
        <v>2026</v>
      </c>
      <c r="Z189" s="32">
        <v>5</v>
      </c>
      <c r="AA189" s="32">
        <v>4</v>
      </c>
      <c r="AB189" s="32" t="s">
        <v>510</v>
      </c>
      <c r="AC189" s="32" t="s">
        <v>1008</v>
      </c>
      <c r="AD189" s="32" t="s">
        <v>1582</v>
      </c>
      <c r="AE189" s="32" t="s">
        <v>1031</v>
      </c>
      <c r="AF189" s="32" t="s">
        <v>1583</v>
      </c>
      <c r="AG189" s="32" t="s">
        <v>1033</v>
      </c>
      <c r="AH189" s="32" t="s">
        <v>1003</v>
      </c>
      <c r="AI189" s="32" t="str">
        <f t="shared" si="7"/>
        <v>Wayfarer A</v>
      </c>
      <c r="AJ189" s="32">
        <v>6875</v>
      </c>
      <c r="AK189" s="32" t="s">
        <v>1034</v>
      </c>
      <c r="AL189" s="34">
        <v>11</v>
      </c>
      <c r="AM189" s="34" t="s">
        <v>1856</v>
      </c>
      <c r="AN189" s="41">
        <f t="shared" si="5"/>
        <v>3</v>
      </c>
    </row>
    <row r="190" spans="1:40" x14ac:dyDescent="0.25">
      <c r="A190" s="32">
        <v>22611617</v>
      </c>
      <c r="B190" s="32" t="s">
        <v>1222</v>
      </c>
      <c r="C190" s="32" t="s">
        <v>1223</v>
      </c>
      <c r="D190" s="32" t="s">
        <v>1224</v>
      </c>
      <c r="E190" s="32" t="s">
        <v>993</v>
      </c>
      <c r="F190" s="32" t="s">
        <v>993</v>
      </c>
      <c r="G190" s="40">
        <v>46147</v>
      </c>
      <c r="H190" s="40">
        <v>46171</v>
      </c>
      <c r="I190" s="40">
        <v>46147</v>
      </c>
      <c r="J190" s="32" t="s">
        <v>37</v>
      </c>
      <c r="K190" s="32">
        <v>46171</v>
      </c>
      <c r="L190" s="32">
        <v>396863</v>
      </c>
      <c r="M190" s="32">
        <v>396863</v>
      </c>
      <c r="N190" s="32">
        <v>396863</v>
      </c>
      <c r="O190" s="32">
        <v>228.74</v>
      </c>
      <c r="P190" s="32">
        <v>13975</v>
      </c>
      <c r="Q190" s="32" t="s">
        <v>48</v>
      </c>
      <c r="R190" s="32" t="s">
        <v>1039</v>
      </c>
      <c r="S190" s="32" t="s">
        <v>1029</v>
      </c>
      <c r="T190" s="32" t="s">
        <v>997</v>
      </c>
      <c r="U190" s="32">
        <v>85641</v>
      </c>
      <c r="V190" s="32">
        <v>32.092489</v>
      </c>
      <c r="W190" s="32">
        <v>-110.694621</v>
      </c>
      <c r="X190" s="32">
        <v>1735</v>
      </c>
      <c r="Y190" s="32">
        <v>2026</v>
      </c>
      <c r="Z190" s="32">
        <v>3</v>
      </c>
      <c r="AA190" s="32">
        <v>2</v>
      </c>
      <c r="AB190" s="32" t="s">
        <v>510</v>
      </c>
      <c r="AC190" s="32" t="s">
        <v>998</v>
      </c>
      <c r="AD190" s="32" t="s">
        <v>1584</v>
      </c>
      <c r="AE190" s="32" t="s">
        <v>1585</v>
      </c>
      <c r="AF190" s="32" t="s">
        <v>1586</v>
      </c>
      <c r="AG190" s="32" t="s">
        <v>1229</v>
      </c>
      <c r="AH190" s="32" t="s">
        <v>1056</v>
      </c>
      <c r="AI190" s="32" t="str">
        <f t="shared" si="7"/>
        <v>Brandy</v>
      </c>
      <c r="AJ190" s="32">
        <v>5214</v>
      </c>
      <c r="AK190" s="32" t="s">
        <v>1044</v>
      </c>
      <c r="AL190" s="34">
        <v>0</v>
      </c>
      <c r="AM190" s="34" t="s">
        <v>1857</v>
      </c>
      <c r="AN190" s="41">
        <f t="shared" si="5"/>
        <v>3</v>
      </c>
    </row>
    <row r="191" spans="1:40" x14ac:dyDescent="0.25">
      <c r="A191" s="32">
        <v>22611621</v>
      </c>
      <c r="B191" s="32" t="s">
        <v>990</v>
      </c>
      <c r="C191" s="32" t="s">
        <v>991</v>
      </c>
      <c r="D191" s="32" t="s">
        <v>992</v>
      </c>
      <c r="E191" s="32" t="s">
        <v>993</v>
      </c>
      <c r="F191" s="32" t="s">
        <v>993</v>
      </c>
      <c r="G191" s="40">
        <v>46147</v>
      </c>
      <c r="H191" s="40">
        <v>46153</v>
      </c>
      <c r="I191" s="40">
        <v>46147</v>
      </c>
      <c r="J191" s="32" t="s">
        <v>37</v>
      </c>
      <c r="K191" s="32">
        <v>46171</v>
      </c>
      <c r="L191" s="32">
        <v>547500</v>
      </c>
      <c r="M191" s="32">
        <v>547500</v>
      </c>
      <c r="N191" s="32">
        <v>547500</v>
      </c>
      <c r="O191" s="32">
        <v>197.23</v>
      </c>
      <c r="P191" s="32">
        <v>13244</v>
      </c>
      <c r="Q191" s="32" t="s">
        <v>48</v>
      </c>
      <c r="R191" s="32" t="s">
        <v>1276</v>
      </c>
      <c r="S191" s="32" t="s">
        <v>45</v>
      </c>
      <c r="T191" s="32" t="s">
        <v>997</v>
      </c>
      <c r="U191" s="32">
        <v>85747</v>
      </c>
      <c r="V191" s="32">
        <v>32.114635</v>
      </c>
      <c r="W191" s="32">
        <v>-110.709486</v>
      </c>
      <c r="X191" s="32">
        <v>2776</v>
      </c>
      <c r="Y191" s="32">
        <v>2026</v>
      </c>
      <c r="Z191" s="32">
        <v>5</v>
      </c>
      <c r="AA191" s="32">
        <v>3</v>
      </c>
      <c r="AB191" s="32" t="s">
        <v>510</v>
      </c>
      <c r="AC191" s="32" t="s">
        <v>998</v>
      </c>
      <c r="AD191" s="32" t="s">
        <v>1587</v>
      </c>
      <c r="AE191" s="32" t="s">
        <v>1588</v>
      </c>
      <c r="AF191" s="32" t="s">
        <v>1589</v>
      </c>
      <c r="AG191" s="32" t="s">
        <v>1002</v>
      </c>
      <c r="AH191" s="32" t="s">
        <v>1003</v>
      </c>
      <c r="AI191" s="32" t="str">
        <f t="shared" si="7"/>
        <v/>
      </c>
      <c r="AJ191" s="32">
        <v>6875</v>
      </c>
      <c r="AK191" s="32" t="s">
        <v>1004</v>
      </c>
      <c r="AL191" s="34">
        <v>0</v>
      </c>
      <c r="AM191" s="34" t="s">
        <v>1858</v>
      </c>
      <c r="AN191" s="41">
        <f t="shared" si="5"/>
        <v>3</v>
      </c>
    </row>
    <row r="192" spans="1:40" x14ac:dyDescent="0.25">
      <c r="A192" s="32">
        <v>22611661</v>
      </c>
      <c r="B192" s="32" t="s">
        <v>1025</v>
      </c>
      <c r="C192" s="32" t="s">
        <v>1026</v>
      </c>
      <c r="D192" s="32" t="s">
        <v>1027</v>
      </c>
      <c r="E192" s="32" t="s">
        <v>993</v>
      </c>
      <c r="F192" s="32" t="s">
        <v>993</v>
      </c>
      <c r="G192" s="40">
        <v>46147</v>
      </c>
      <c r="H192" s="40" t="s">
        <v>994</v>
      </c>
      <c r="I192" s="40" t="s">
        <v>994</v>
      </c>
      <c r="J192" s="32" t="s">
        <v>995</v>
      </c>
      <c r="K192" s="32">
        <v>46147</v>
      </c>
      <c r="L192" s="32">
        <v>362990</v>
      </c>
      <c r="M192" s="32">
        <v>371640</v>
      </c>
      <c r="N192" s="42"/>
      <c r="O192" s="32" t="s">
        <v>994</v>
      </c>
      <c r="P192" s="32">
        <v>13021</v>
      </c>
      <c r="Q192" s="32" t="s">
        <v>48</v>
      </c>
      <c r="R192" s="32" t="s">
        <v>1412</v>
      </c>
      <c r="S192" s="32" t="s">
        <v>45</v>
      </c>
      <c r="T192" s="32" t="s">
        <v>997</v>
      </c>
      <c r="U192" s="32">
        <v>85747</v>
      </c>
      <c r="V192" s="32">
        <v>32.113878</v>
      </c>
      <c r="W192" s="32">
        <v>-110.715524</v>
      </c>
      <c r="X192" s="32">
        <v>1878</v>
      </c>
      <c r="Y192" s="32">
        <v>2026</v>
      </c>
      <c r="Z192" s="32">
        <v>4</v>
      </c>
      <c r="AA192" s="32">
        <v>3</v>
      </c>
      <c r="AB192" s="32" t="s">
        <v>510</v>
      </c>
      <c r="AC192" s="32" t="s">
        <v>1008</v>
      </c>
      <c r="AD192" s="32" t="s">
        <v>1590</v>
      </c>
      <c r="AE192" s="32" t="s">
        <v>1591</v>
      </c>
      <c r="AF192" s="32" t="s">
        <v>1592</v>
      </c>
      <c r="AG192" s="32" t="s">
        <v>1033</v>
      </c>
      <c r="AH192" s="32" t="s">
        <v>1003</v>
      </c>
      <c r="AI192" s="32" t="str">
        <f t="shared" si="7"/>
        <v>Clark B</v>
      </c>
      <c r="AJ192" s="32">
        <v>4800</v>
      </c>
      <c r="AK192" s="32" t="s">
        <v>1411</v>
      </c>
      <c r="AL192" s="38">
        <v>30</v>
      </c>
      <c r="AM192" s="33" t="s">
        <v>1859</v>
      </c>
      <c r="AN192" s="41">
        <f t="shared" si="5"/>
        <v>1</v>
      </c>
    </row>
    <row r="193" spans="1:40" x14ac:dyDescent="0.25">
      <c r="A193" s="32">
        <v>22611663</v>
      </c>
      <c r="B193" s="32" t="s">
        <v>1025</v>
      </c>
      <c r="C193" s="32" t="s">
        <v>1026</v>
      </c>
      <c r="D193" s="32" t="s">
        <v>1027</v>
      </c>
      <c r="E193" s="32" t="s">
        <v>993</v>
      </c>
      <c r="F193" s="32" t="s">
        <v>993</v>
      </c>
      <c r="G193" s="40">
        <v>46147</v>
      </c>
      <c r="H193" s="40" t="s">
        <v>994</v>
      </c>
      <c r="I193" s="40">
        <v>46160</v>
      </c>
      <c r="J193" s="32" t="s">
        <v>1038</v>
      </c>
      <c r="K193" s="32">
        <v>46160</v>
      </c>
      <c r="L193" s="32">
        <v>382990</v>
      </c>
      <c r="M193" s="32">
        <v>386990</v>
      </c>
      <c r="N193" s="42"/>
      <c r="O193" s="32" t="s">
        <v>994</v>
      </c>
      <c r="P193" s="32">
        <v>13009</v>
      </c>
      <c r="Q193" s="32" t="s">
        <v>48</v>
      </c>
      <c r="R193" s="32" t="s">
        <v>1412</v>
      </c>
      <c r="S193" s="32" t="s">
        <v>45</v>
      </c>
      <c r="T193" s="32" t="s">
        <v>997</v>
      </c>
      <c r="U193" s="32">
        <v>85747</v>
      </c>
      <c r="V193" s="32">
        <v>32.113641999999999</v>
      </c>
      <c r="W193" s="32">
        <v>-110.71544900000001</v>
      </c>
      <c r="X193" s="32">
        <v>2126</v>
      </c>
      <c r="Y193" s="32">
        <v>2026</v>
      </c>
      <c r="Z193" s="32">
        <v>5</v>
      </c>
      <c r="AA193" s="32">
        <v>3</v>
      </c>
      <c r="AB193" s="32" t="s">
        <v>510</v>
      </c>
      <c r="AC193" s="32" t="s">
        <v>1008</v>
      </c>
      <c r="AD193" s="32" t="s">
        <v>1593</v>
      </c>
      <c r="AE193" s="32" t="s">
        <v>1594</v>
      </c>
      <c r="AF193" s="32" t="s">
        <v>1595</v>
      </c>
      <c r="AG193" s="32" t="s">
        <v>1033</v>
      </c>
      <c r="AH193" s="32" t="s">
        <v>1003</v>
      </c>
      <c r="AI193" s="32" t="str">
        <f t="shared" si="7"/>
        <v>Etta A</v>
      </c>
      <c r="AJ193" s="32">
        <v>4800</v>
      </c>
      <c r="AK193" s="32" t="s">
        <v>1411</v>
      </c>
      <c r="AL193" s="34">
        <v>13</v>
      </c>
      <c r="AM193" s="34" t="s">
        <v>1860</v>
      </c>
      <c r="AN193" s="41">
        <f t="shared" si="5"/>
        <v>2</v>
      </c>
    </row>
    <row r="194" spans="1:40" x14ac:dyDescent="0.25">
      <c r="A194" s="32">
        <v>22611665</v>
      </c>
      <c r="B194" s="32" t="s">
        <v>1025</v>
      </c>
      <c r="C194" s="32" t="s">
        <v>1026</v>
      </c>
      <c r="D194" s="32" t="s">
        <v>1027</v>
      </c>
      <c r="E194" s="32" t="s">
        <v>993</v>
      </c>
      <c r="F194" s="32" t="s">
        <v>993</v>
      </c>
      <c r="G194" s="40">
        <v>46147</v>
      </c>
      <c r="H194" s="40" t="s">
        <v>994</v>
      </c>
      <c r="I194" s="40">
        <v>46160</v>
      </c>
      <c r="J194" s="32" t="s">
        <v>1038</v>
      </c>
      <c r="K194" s="32">
        <v>46160</v>
      </c>
      <c r="L194" s="32">
        <v>399990</v>
      </c>
      <c r="M194" s="32">
        <v>392190</v>
      </c>
      <c r="N194" s="42"/>
      <c r="O194" s="32" t="s">
        <v>994</v>
      </c>
      <c r="P194" s="32">
        <v>13015</v>
      </c>
      <c r="Q194" s="32" t="s">
        <v>48</v>
      </c>
      <c r="R194" s="32" t="s">
        <v>1412</v>
      </c>
      <c r="S194" s="32" t="s">
        <v>45</v>
      </c>
      <c r="T194" s="32" t="s">
        <v>997</v>
      </c>
      <c r="U194" s="32">
        <v>85747</v>
      </c>
      <c r="V194" s="32">
        <v>32.113278999999999</v>
      </c>
      <c r="W194" s="32">
        <v>-110.714901</v>
      </c>
      <c r="X194" s="32">
        <v>2425</v>
      </c>
      <c r="Y194" s="32">
        <v>2026</v>
      </c>
      <c r="Z194" s="32">
        <v>6</v>
      </c>
      <c r="AA194" s="32">
        <v>3</v>
      </c>
      <c r="AB194" s="32" t="s">
        <v>510</v>
      </c>
      <c r="AC194" s="32" t="s">
        <v>1008</v>
      </c>
      <c r="AD194" s="32" t="s">
        <v>1596</v>
      </c>
      <c r="AE194" s="32" t="s">
        <v>1597</v>
      </c>
      <c r="AF194" s="32" t="s">
        <v>1598</v>
      </c>
      <c r="AG194" s="32" t="s">
        <v>1033</v>
      </c>
      <c r="AH194" s="32" t="s">
        <v>1003</v>
      </c>
      <c r="AI194" s="32" t="str">
        <f t="shared" si="7"/>
        <v>Jeffry A</v>
      </c>
      <c r="AJ194" s="32">
        <v>4800</v>
      </c>
      <c r="AK194" s="32" t="s">
        <v>1411</v>
      </c>
      <c r="AL194" s="38">
        <v>13</v>
      </c>
      <c r="AM194" s="33" t="s">
        <v>1861</v>
      </c>
      <c r="AN194" s="41">
        <f t="shared" ref="AN194:AN219" si="8">IF(J194="A",1,IF(J194="P",2,IF(J194="C",3,"-")))</f>
        <v>2</v>
      </c>
    </row>
    <row r="195" spans="1:40" x14ac:dyDescent="0.25">
      <c r="A195" s="32">
        <v>22611667</v>
      </c>
      <c r="B195" s="32" t="s">
        <v>1025</v>
      </c>
      <c r="C195" s="32" t="s">
        <v>1026</v>
      </c>
      <c r="D195" s="32" t="s">
        <v>1027</v>
      </c>
      <c r="E195" s="32" t="s">
        <v>993</v>
      </c>
      <c r="F195" s="32" t="s">
        <v>993</v>
      </c>
      <c r="G195" s="40">
        <v>46147</v>
      </c>
      <c r="H195" s="40" t="s">
        <v>994</v>
      </c>
      <c r="I195" s="40">
        <v>46168</v>
      </c>
      <c r="J195" s="32" t="s">
        <v>1038</v>
      </c>
      <c r="K195" s="32">
        <v>46168</v>
      </c>
      <c r="L195" s="32">
        <v>362990</v>
      </c>
      <c r="M195" s="32">
        <v>363440</v>
      </c>
      <c r="N195" s="42"/>
      <c r="O195" s="32" t="s">
        <v>994</v>
      </c>
      <c r="P195" s="32">
        <v>7590</v>
      </c>
      <c r="Q195" s="32" t="s">
        <v>38</v>
      </c>
      <c r="R195" s="32" t="s">
        <v>1445</v>
      </c>
      <c r="S195" s="32" t="s">
        <v>45</v>
      </c>
      <c r="T195" s="32" t="s">
        <v>997</v>
      </c>
      <c r="U195" s="32">
        <v>85747</v>
      </c>
      <c r="V195" s="32">
        <v>32.113042</v>
      </c>
      <c r="W195" s="32">
        <v>-110.71525</v>
      </c>
      <c r="X195" s="32">
        <v>1746</v>
      </c>
      <c r="Y195" s="32">
        <v>2026</v>
      </c>
      <c r="Z195" s="32">
        <v>4</v>
      </c>
      <c r="AA195" s="32">
        <v>2</v>
      </c>
      <c r="AB195" s="32" t="s">
        <v>510</v>
      </c>
      <c r="AC195" s="32" t="s">
        <v>998</v>
      </c>
      <c r="AD195" s="32" t="s">
        <v>1599</v>
      </c>
      <c r="AE195" s="32" t="s">
        <v>1600</v>
      </c>
      <c r="AF195" s="32" t="s">
        <v>1601</v>
      </c>
      <c r="AG195" s="32" t="s">
        <v>1033</v>
      </c>
      <c r="AH195" s="32" t="s">
        <v>1003</v>
      </c>
      <c r="AI195" s="32" t="str">
        <f t="shared" si="7"/>
        <v>Arcadia B</v>
      </c>
      <c r="AJ195" s="32">
        <v>6020</v>
      </c>
      <c r="AK195" s="32" t="s">
        <v>1411</v>
      </c>
      <c r="AL195" s="34">
        <v>21</v>
      </c>
      <c r="AM195" s="34" t="s">
        <v>1862</v>
      </c>
      <c r="AN195" s="41">
        <f t="shared" si="8"/>
        <v>2</v>
      </c>
    </row>
    <row r="196" spans="1:40" x14ac:dyDescent="0.25">
      <c r="A196" s="32">
        <v>22611668</v>
      </c>
      <c r="B196" s="32" t="s">
        <v>1025</v>
      </c>
      <c r="C196" s="32" t="s">
        <v>1026</v>
      </c>
      <c r="D196" s="32" t="s">
        <v>1027</v>
      </c>
      <c r="E196" s="32" t="s">
        <v>993</v>
      </c>
      <c r="F196" s="32" t="s">
        <v>993</v>
      </c>
      <c r="G196" s="40">
        <v>46147</v>
      </c>
      <c r="H196" s="40" t="s">
        <v>994</v>
      </c>
      <c r="I196" s="40" t="s">
        <v>994</v>
      </c>
      <c r="J196" s="32" t="s">
        <v>995</v>
      </c>
      <c r="K196" s="32">
        <v>46147</v>
      </c>
      <c r="L196" s="32">
        <v>424990</v>
      </c>
      <c r="M196" s="32">
        <v>431940</v>
      </c>
      <c r="N196" s="42"/>
      <c r="O196" s="32" t="s">
        <v>994</v>
      </c>
      <c r="P196" s="32">
        <v>7565</v>
      </c>
      <c r="Q196" s="32" t="s">
        <v>38</v>
      </c>
      <c r="R196" s="32" t="s">
        <v>1445</v>
      </c>
      <c r="S196" s="32" t="s">
        <v>45</v>
      </c>
      <c r="T196" s="32" t="s">
        <v>997</v>
      </c>
      <c r="U196" s="32">
        <v>85747</v>
      </c>
      <c r="V196" s="32">
        <v>32.113332</v>
      </c>
      <c r="W196" s="32">
        <v>-110.716172</v>
      </c>
      <c r="X196" s="32">
        <v>2344</v>
      </c>
      <c r="Y196" s="32">
        <v>2026</v>
      </c>
      <c r="Z196" s="32">
        <v>4</v>
      </c>
      <c r="AA196" s="32">
        <v>3</v>
      </c>
      <c r="AB196" s="32" t="s">
        <v>510</v>
      </c>
      <c r="AC196" s="32" t="s">
        <v>1008</v>
      </c>
      <c r="AD196" s="32" t="s">
        <v>1602</v>
      </c>
      <c r="AE196" s="32" t="s">
        <v>1603</v>
      </c>
      <c r="AF196" s="32" t="s">
        <v>1604</v>
      </c>
      <c r="AG196" s="32" t="s">
        <v>1033</v>
      </c>
      <c r="AH196" s="32" t="s">
        <v>1003</v>
      </c>
      <c r="AI196" s="32" t="str">
        <f t="shared" si="7"/>
        <v>Dune A</v>
      </c>
      <c r="AJ196" s="32">
        <v>6015</v>
      </c>
      <c r="AK196" s="32" t="s">
        <v>1411</v>
      </c>
      <c r="AL196" s="39">
        <v>30</v>
      </c>
      <c r="AM196" s="35" t="s">
        <v>1863</v>
      </c>
      <c r="AN196" s="41">
        <f t="shared" si="8"/>
        <v>1</v>
      </c>
    </row>
    <row r="197" spans="1:40" x14ac:dyDescent="0.25">
      <c r="A197" s="32">
        <v>22611863</v>
      </c>
      <c r="B197" s="32" t="s">
        <v>1204</v>
      </c>
      <c r="C197" s="32" t="s">
        <v>1205</v>
      </c>
      <c r="D197" s="32" t="s">
        <v>1206</v>
      </c>
      <c r="E197" s="32" t="s">
        <v>993</v>
      </c>
      <c r="F197" s="32" t="s">
        <v>993</v>
      </c>
      <c r="G197" s="40">
        <v>46149</v>
      </c>
      <c r="H197" s="40" t="s">
        <v>994</v>
      </c>
      <c r="I197" s="40">
        <v>46175</v>
      </c>
      <c r="J197" s="32" t="s">
        <v>1038</v>
      </c>
      <c r="K197" s="32">
        <v>46177</v>
      </c>
      <c r="L197" s="32">
        <v>599900</v>
      </c>
      <c r="M197" s="32">
        <v>589900</v>
      </c>
      <c r="N197" s="42"/>
      <c r="O197" s="32" t="s">
        <v>994</v>
      </c>
      <c r="P197" s="32">
        <v>61987</v>
      </c>
      <c r="Q197" s="32" t="s">
        <v>48</v>
      </c>
      <c r="R197" s="32" t="s">
        <v>633</v>
      </c>
      <c r="S197" s="32" t="s">
        <v>551</v>
      </c>
      <c r="T197" s="32" t="s">
        <v>997</v>
      </c>
      <c r="U197" s="32">
        <v>85623</v>
      </c>
      <c r="V197" s="32">
        <v>32.600861000000002</v>
      </c>
      <c r="W197" s="32">
        <v>-110.90443399999999</v>
      </c>
      <c r="X197" s="32">
        <v>2079</v>
      </c>
      <c r="Y197" s="32">
        <v>2025</v>
      </c>
      <c r="Z197" s="32">
        <v>2</v>
      </c>
      <c r="AA197" s="32">
        <v>3</v>
      </c>
      <c r="AB197" s="32" t="s">
        <v>510</v>
      </c>
      <c r="AC197" s="32" t="s">
        <v>998</v>
      </c>
      <c r="AD197" s="32" t="s">
        <v>1605</v>
      </c>
      <c r="AE197" s="32" t="s">
        <v>1606</v>
      </c>
      <c r="AF197" s="32" t="s">
        <v>1607</v>
      </c>
      <c r="AG197" s="32" t="s">
        <v>1208</v>
      </c>
      <c r="AH197" s="32" t="s">
        <v>1003</v>
      </c>
      <c r="AI197" s="32" t="str">
        <f t="shared" si="7"/>
        <v>Alora</v>
      </c>
      <c r="AJ197" s="32">
        <v>8235</v>
      </c>
      <c r="AK197" s="32" t="s">
        <v>1411</v>
      </c>
      <c r="AL197" s="38">
        <v>25</v>
      </c>
      <c r="AM197" s="33" t="s">
        <v>1864</v>
      </c>
      <c r="AN197" s="41">
        <f t="shared" si="8"/>
        <v>2</v>
      </c>
    </row>
    <row r="198" spans="1:40" x14ac:dyDescent="0.25">
      <c r="A198" s="32">
        <v>22611865</v>
      </c>
      <c r="B198" s="32" t="s">
        <v>1204</v>
      </c>
      <c r="C198" s="32" t="s">
        <v>1205</v>
      </c>
      <c r="D198" s="32" t="s">
        <v>1206</v>
      </c>
      <c r="E198" s="32" t="s">
        <v>993</v>
      </c>
      <c r="F198" s="32" t="s">
        <v>993</v>
      </c>
      <c r="G198" s="40">
        <v>46150</v>
      </c>
      <c r="H198" s="40" t="s">
        <v>994</v>
      </c>
      <c r="I198" s="40" t="s">
        <v>994</v>
      </c>
      <c r="J198" s="32" t="s">
        <v>995</v>
      </c>
      <c r="K198" s="32">
        <v>46177</v>
      </c>
      <c r="L198" s="32">
        <v>651455</v>
      </c>
      <c r="M198" s="32">
        <v>651455</v>
      </c>
      <c r="O198" s="32" t="s">
        <v>994</v>
      </c>
      <c r="P198" s="32">
        <v>62103</v>
      </c>
      <c r="Q198" s="32" t="s">
        <v>48</v>
      </c>
      <c r="R198" s="32" t="s">
        <v>686</v>
      </c>
      <c r="S198" s="32" t="s">
        <v>551</v>
      </c>
      <c r="T198" s="32" t="s">
        <v>997</v>
      </c>
      <c r="U198" s="32">
        <v>85623</v>
      </c>
      <c r="V198" s="32">
        <v>32.602043999999999</v>
      </c>
      <c r="W198" s="32">
        <v>-110.903896</v>
      </c>
      <c r="X198" s="32">
        <v>2271</v>
      </c>
      <c r="Y198" s="32">
        <v>2026</v>
      </c>
      <c r="Z198" s="32">
        <v>2</v>
      </c>
      <c r="AA198" s="32">
        <v>3</v>
      </c>
      <c r="AB198" s="32" t="s">
        <v>510</v>
      </c>
      <c r="AC198" s="32" t="s">
        <v>998</v>
      </c>
      <c r="AD198" s="32" t="s">
        <v>1608</v>
      </c>
      <c r="AE198" s="32" t="s">
        <v>1609</v>
      </c>
      <c r="AF198" s="32" t="s">
        <v>1610</v>
      </c>
      <c r="AG198" s="32" t="s">
        <v>1459</v>
      </c>
      <c r="AH198" s="32" t="s">
        <v>1003</v>
      </c>
      <c r="AI198" s="32" t="s">
        <v>1611</v>
      </c>
      <c r="AJ198" s="32">
        <v>9435</v>
      </c>
      <c r="AK198" s="32" t="s">
        <v>554</v>
      </c>
      <c r="AL198" s="34">
        <v>19</v>
      </c>
      <c r="AM198" s="34" t="s">
        <v>1865</v>
      </c>
      <c r="AN198" s="41">
        <f t="shared" si="8"/>
        <v>1</v>
      </c>
    </row>
    <row r="199" spans="1:40" x14ac:dyDescent="0.25">
      <c r="A199" s="32">
        <v>22611866</v>
      </c>
      <c r="B199" s="32" t="s">
        <v>1204</v>
      </c>
      <c r="C199" s="32" t="s">
        <v>1205</v>
      </c>
      <c r="D199" s="32" t="s">
        <v>1206</v>
      </c>
      <c r="E199" s="32" t="s">
        <v>993</v>
      </c>
      <c r="F199" s="32" t="s">
        <v>993</v>
      </c>
      <c r="G199" s="40">
        <v>46149</v>
      </c>
      <c r="H199" s="40" t="s">
        <v>994</v>
      </c>
      <c r="I199" s="40" t="s">
        <v>994</v>
      </c>
      <c r="J199" s="32" t="s">
        <v>995</v>
      </c>
      <c r="K199" s="32">
        <v>46149</v>
      </c>
      <c r="L199" s="32">
        <v>582721</v>
      </c>
      <c r="M199" s="32">
        <v>582721</v>
      </c>
      <c r="O199" s="32" t="s">
        <v>994</v>
      </c>
      <c r="P199" s="32">
        <v>61663</v>
      </c>
      <c r="Q199" s="32" t="s">
        <v>48</v>
      </c>
      <c r="R199" s="32" t="s">
        <v>550</v>
      </c>
      <c r="S199" s="32" t="s">
        <v>551</v>
      </c>
      <c r="T199" s="32" t="s">
        <v>997</v>
      </c>
      <c r="U199" s="32">
        <v>85623</v>
      </c>
      <c r="V199" s="32">
        <v>32.598557</v>
      </c>
      <c r="W199" s="32">
        <v>-110.907786</v>
      </c>
      <c r="X199" s="32">
        <v>1956</v>
      </c>
      <c r="Y199" s="32">
        <v>2026</v>
      </c>
      <c r="Z199" s="32">
        <v>2</v>
      </c>
      <c r="AA199" s="32">
        <v>3</v>
      </c>
      <c r="AB199" s="32" t="s">
        <v>510</v>
      </c>
      <c r="AC199" s="32" t="s">
        <v>998</v>
      </c>
      <c r="AD199" s="32" t="s">
        <v>1612</v>
      </c>
      <c r="AE199" s="32" t="s">
        <v>1613</v>
      </c>
      <c r="AF199" s="32" t="s">
        <v>1614</v>
      </c>
      <c r="AG199" s="32" t="s">
        <v>1208</v>
      </c>
      <c r="AH199" s="32" t="s">
        <v>1003</v>
      </c>
      <c r="AI199" s="32" t="str">
        <f t="shared" ref="AI199:AI218" si="9">IFERROR(_xlfn.TEXTBEFORE(_xlfn.TEXTAFTER(AM199,"Construction|Model Name|"),";"),"")</f>
        <v>Alora</v>
      </c>
      <c r="AJ199" s="32">
        <v>7156</v>
      </c>
      <c r="AK199" s="32" t="s">
        <v>554</v>
      </c>
      <c r="AL199" s="34">
        <v>28</v>
      </c>
      <c r="AM199" s="34" t="s">
        <v>1866</v>
      </c>
      <c r="AN199" s="41">
        <f t="shared" si="8"/>
        <v>1</v>
      </c>
    </row>
    <row r="200" spans="1:40" x14ac:dyDescent="0.25">
      <c r="A200" s="32">
        <v>22612154</v>
      </c>
      <c r="B200" s="32" t="s">
        <v>1615</v>
      </c>
      <c r="C200" s="32" t="s">
        <v>1616</v>
      </c>
      <c r="D200" s="32" t="s">
        <v>1617</v>
      </c>
      <c r="E200" s="32" t="s">
        <v>993</v>
      </c>
      <c r="F200" s="32" t="s">
        <v>993</v>
      </c>
      <c r="G200" s="40">
        <v>46154</v>
      </c>
      <c r="H200" s="40" t="s">
        <v>994</v>
      </c>
      <c r="I200" s="40" t="s">
        <v>994</v>
      </c>
      <c r="J200" s="32" t="s">
        <v>995</v>
      </c>
      <c r="K200" s="32">
        <v>46153</v>
      </c>
      <c r="L200" s="32">
        <v>614403</v>
      </c>
      <c r="M200" s="32">
        <v>614403</v>
      </c>
      <c r="O200" s="32" t="s">
        <v>994</v>
      </c>
      <c r="P200" s="32">
        <v>1941</v>
      </c>
      <c r="Q200" s="32" t="s">
        <v>706</v>
      </c>
      <c r="R200" s="32" t="s">
        <v>1618</v>
      </c>
      <c r="S200" s="32" t="s">
        <v>708</v>
      </c>
      <c r="T200" s="32" t="s">
        <v>997</v>
      </c>
      <c r="U200" s="32">
        <v>85614</v>
      </c>
      <c r="V200" s="32">
        <v>31.898871</v>
      </c>
      <c r="W200" s="32">
        <v>-110.92809</v>
      </c>
      <c r="X200" s="32">
        <v>1760</v>
      </c>
      <c r="Y200" s="32">
        <v>2026</v>
      </c>
      <c r="Z200" s="32">
        <v>2</v>
      </c>
      <c r="AA200" s="32">
        <v>3</v>
      </c>
      <c r="AB200" s="32" t="s">
        <v>510</v>
      </c>
      <c r="AC200" s="32" t="s">
        <v>998</v>
      </c>
      <c r="AD200" s="32" t="s">
        <v>1619</v>
      </c>
      <c r="AE200" s="32" t="s">
        <v>1620</v>
      </c>
      <c r="AF200" s="32" t="s">
        <v>1621</v>
      </c>
      <c r="AG200" s="32" t="s">
        <v>1208</v>
      </c>
      <c r="AH200" s="32" t="s">
        <v>1003</v>
      </c>
      <c r="AI200" s="32" t="str">
        <f t="shared" si="9"/>
        <v>Agave</v>
      </c>
      <c r="AJ200" s="32">
        <v>8107</v>
      </c>
      <c r="AK200" s="32" t="s">
        <v>1622</v>
      </c>
      <c r="AL200" s="38">
        <v>23</v>
      </c>
      <c r="AM200" s="33" t="s">
        <v>1867</v>
      </c>
      <c r="AN200" s="41">
        <f t="shared" si="8"/>
        <v>1</v>
      </c>
    </row>
    <row r="201" spans="1:40" x14ac:dyDescent="0.25">
      <c r="A201" s="32">
        <v>22612181</v>
      </c>
      <c r="B201" s="32" t="s">
        <v>1615</v>
      </c>
      <c r="C201" s="32" t="s">
        <v>1616</v>
      </c>
      <c r="D201" s="32" t="s">
        <v>1617</v>
      </c>
      <c r="E201" s="32" t="s">
        <v>993</v>
      </c>
      <c r="F201" s="32" t="s">
        <v>993</v>
      </c>
      <c r="G201" s="40">
        <v>46153</v>
      </c>
      <c r="H201" s="40" t="s">
        <v>994</v>
      </c>
      <c r="I201" s="40" t="s">
        <v>994</v>
      </c>
      <c r="J201" s="32" t="s">
        <v>995</v>
      </c>
      <c r="K201" s="32">
        <v>46153</v>
      </c>
      <c r="L201" s="32">
        <v>494268</v>
      </c>
      <c r="M201" s="32">
        <v>494268</v>
      </c>
      <c r="O201" s="32" t="s">
        <v>994</v>
      </c>
      <c r="P201" s="32">
        <v>1864</v>
      </c>
      <c r="Q201" s="32" t="s">
        <v>706</v>
      </c>
      <c r="R201" s="32" t="s">
        <v>1623</v>
      </c>
      <c r="S201" s="32" t="s">
        <v>708</v>
      </c>
      <c r="T201" s="32" t="s">
        <v>997</v>
      </c>
      <c r="U201" s="32">
        <v>85614</v>
      </c>
      <c r="V201" s="32">
        <v>31.897220000000001</v>
      </c>
      <c r="W201" s="32">
        <v>-110.951274</v>
      </c>
      <c r="X201" s="32">
        <v>1808</v>
      </c>
      <c r="Y201" s="32">
        <v>2026</v>
      </c>
      <c r="Z201" s="32">
        <v>2</v>
      </c>
      <c r="AA201" s="32">
        <v>3</v>
      </c>
      <c r="AB201" s="32" t="s">
        <v>510</v>
      </c>
      <c r="AC201" s="32" t="s">
        <v>998</v>
      </c>
      <c r="AD201" s="32" t="s">
        <v>1624</v>
      </c>
      <c r="AE201" s="32" t="s">
        <v>1625</v>
      </c>
      <c r="AF201" s="32" t="s">
        <v>1626</v>
      </c>
      <c r="AG201" s="32" t="s">
        <v>1208</v>
      </c>
      <c r="AH201" s="32" t="s">
        <v>1003</v>
      </c>
      <c r="AI201" s="32" t="str">
        <f t="shared" si="9"/>
        <v>Agave</v>
      </c>
      <c r="AJ201" s="32">
        <v>6871</v>
      </c>
      <c r="AK201" s="32" t="s">
        <v>963</v>
      </c>
      <c r="AL201" s="34">
        <v>24</v>
      </c>
      <c r="AM201" s="34" t="s">
        <v>1868</v>
      </c>
      <c r="AN201" s="41">
        <f t="shared" si="8"/>
        <v>1</v>
      </c>
    </row>
    <row r="202" spans="1:40" x14ac:dyDescent="0.25">
      <c r="A202" s="32">
        <v>22612197</v>
      </c>
      <c r="B202" s="32" t="s">
        <v>1615</v>
      </c>
      <c r="C202" s="32" t="s">
        <v>1616</v>
      </c>
      <c r="D202" s="32" t="s">
        <v>1617</v>
      </c>
      <c r="E202" s="32" t="s">
        <v>993</v>
      </c>
      <c r="F202" s="32" t="s">
        <v>993</v>
      </c>
      <c r="G202" s="40">
        <v>46153</v>
      </c>
      <c r="H202" s="40" t="s">
        <v>994</v>
      </c>
      <c r="I202" s="40" t="s">
        <v>994</v>
      </c>
      <c r="J202" s="32" t="s">
        <v>995</v>
      </c>
      <c r="K202" s="32">
        <v>46153</v>
      </c>
      <c r="L202" s="32">
        <v>608657</v>
      </c>
      <c r="M202" s="32">
        <v>608657</v>
      </c>
      <c r="O202" s="32" t="s">
        <v>994</v>
      </c>
      <c r="P202" s="32">
        <v>1658</v>
      </c>
      <c r="Q202" s="32" t="s">
        <v>48</v>
      </c>
      <c r="R202" s="32" t="s">
        <v>960</v>
      </c>
      <c r="S202" s="32" t="s">
        <v>708</v>
      </c>
      <c r="T202" s="32" t="s">
        <v>997</v>
      </c>
      <c r="U202" s="32">
        <v>85614</v>
      </c>
      <c r="V202" s="32">
        <v>31.896242000000001</v>
      </c>
      <c r="W202" s="32">
        <v>-110.951143</v>
      </c>
      <c r="X202" s="32">
        <v>2353</v>
      </c>
      <c r="Y202" s="32">
        <v>2026</v>
      </c>
      <c r="Z202" s="32">
        <v>2</v>
      </c>
      <c r="AA202" s="32">
        <v>3</v>
      </c>
      <c r="AB202" s="32" t="s">
        <v>510</v>
      </c>
      <c r="AC202" s="32" t="s">
        <v>998</v>
      </c>
      <c r="AD202" s="32" t="s">
        <v>1627</v>
      </c>
      <c r="AE202" s="32" t="s">
        <v>1628</v>
      </c>
      <c r="AF202" s="32" t="s">
        <v>1629</v>
      </c>
      <c r="AG202" s="32" t="s">
        <v>1208</v>
      </c>
      <c r="AH202" s="32" t="s">
        <v>1003</v>
      </c>
      <c r="AI202" s="32" t="str">
        <f t="shared" si="9"/>
        <v>Vienta</v>
      </c>
      <c r="AJ202" s="32">
        <v>8506</v>
      </c>
      <c r="AK202" s="32" t="s">
        <v>963</v>
      </c>
      <c r="AL202" s="34">
        <v>24</v>
      </c>
      <c r="AM202" s="34" t="s">
        <v>1869</v>
      </c>
      <c r="AN202" s="41">
        <f t="shared" si="8"/>
        <v>1</v>
      </c>
    </row>
    <row r="203" spans="1:40" x14ac:dyDescent="0.25">
      <c r="A203" s="32">
        <v>22612289</v>
      </c>
      <c r="B203" s="32" t="s">
        <v>1035</v>
      </c>
      <c r="C203" s="32" t="s">
        <v>1036</v>
      </c>
      <c r="D203" s="32" t="s">
        <v>1037</v>
      </c>
      <c r="E203" s="32" t="s">
        <v>993</v>
      </c>
      <c r="F203" s="32" t="s">
        <v>993</v>
      </c>
      <c r="G203" s="40">
        <v>46154</v>
      </c>
      <c r="H203" s="40" t="s">
        <v>994</v>
      </c>
      <c r="I203" s="40" t="s">
        <v>994</v>
      </c>
      <c r="J203" s="32" t="s">
        <v>995</v>
      </c>
      <c r="K203" s="32">
        <v>46162</v>
      </c>
      <c r="L203" s="32">
        <v>440000</v>
      </c>
      <c r="M203" s="32">
        <v>424900</v>
      </c>
      <c r="O203" s="32" t="s">
        <v>994</v>
      </c>
      <c r="P203" s="32">
        <v>14107</v>
      </c>
      <c r="Q203" s="32" t="s">
        <v>48</v>
      </c>
      <c r="R203" s="32" t="s">
        <v>1039</v>
      </c>
      <c r="S203" s="32" t="s">
        <v>1029</v>
      </c>
      <c r="T203" s="32" t="s">
        <v>997</v>
      </c>
      <c r="U203" s="32">
        <v>85641</v>
      </c>
      <c r="V203" s="32">
        <v>32.090608000000003</v>
      </c>
      <c r="W203" s="32">
        <v>-110.691731</v>
      </c>
      <c r="X203" s="32">
        <v>1815</v>
      </c>
      <c r="Y203" s="32">
        <v>2026</v>
      </c>
      <c r="Z203" s="32">
        <v>4</v>
      </c>
      <c r="AA203" s="32">
        <v>2</v>
      </c>
      <c r="AB203" s="32" t="s">
        <v>510</v>
      </c>
      <c r="AC203" s="32" t="s">
        <v>998</v>
      </c>
      <c r="AD203" s="32" t="s">
        <v>1630</v>
      </c>
      <c r="AE203" s="32" t="s">
        <v>1065</v>
      </c>
      <c r="AF203" s="32" t="s">
        <v>1631</v>
      </c>
      <c r="AG203" s="32" t="s">
        <v>1043</v>
      </c>
      <c r="AH203" s="32" t="s">
        <v>1003</v>
      </c>
      <c r="AI203" s="32" t="str">
        <f t="shared" si="9"/>
        <v/>
      </c>
      <c r="AJ203" s="32">
        <v>5178</v>
      </c>
      <c r="AK203" s="32" t="s">
        <v>1044</v>
      </c>
      <c r="AL203" s="38">
        <v>23</v>
      </c>
      <c r="AM203" s="33" t="s">
        <v>1779</v>
      </c>
      <c r="AN203" s="41">
        <f t="shared" si="8"/>
        <v>1</v>
      </c>
    </row>
    <row r="204" spans="1:40" x14ac:dyDescent="0.25">
      <c r="A204" s="32">
        <v>22612577</v>
      </c>
      <c r="B204" s="32" t="s">
        <v>1076</v>
      </c>
      <c r="C204" s="32" t="s">
        <v>1077</v>
      </c>
      <c r="D204" s="32" t="s">
        <v>1078</v>
      </c>
      <c r="E204" s="32" t="s">
        <v>993</v>
      </c>
      <c r="F204" s="32" t="s">
        <v>993</v>
      </c>
      <c r="G204" s="40">
        <v>46157</v>
      </c>
      <c r="H204" s="40" t="s">
        <v>994</v>
      </c>
      <c r="I204" s="40" t="s">
        <v>994</v>
      </c>
      <c r="J204" s="32" t="s">
        <v>995</v>
      </c>
      <c r="K204" s="32">
        <v>46157</v>
      </c>
      <c r="L204" s="32">
        <v>463395</v>
      </c>
      <c r="M204" s="32">
        <v>463395</v>
      </c>
      <c r="O204" s="32" t="s">
        <v>994</v>
      </c>
      <c r="P204" s="32">
        <v>8053</v>
      </c>
      <c r="Q204" s="32" t="s">
        <v>38</v>
      </c>
      <c r="R204" s="32" t="s">
        <v>1085</v>
      </c>
      <c r="S204" s="32" t="s">
        <v>45</v>
      </c>
      <c r="T204" s="32" t="s">
        <v>997</v>
      </c>
      <c r="U204" s="32">
        <v>85747</v>
      </c>
      <c r="V204" s="32">
        <v>32.105347000000002</v>
      </c>
      <c r="W204" s="32">
        <v>-110.702983</v>
      </c>
      <c r="X204" s="32">
        <v>1604</v>
      </c>
      <c r="Y204" s="32">
        <v>2026</v>
      </c>
      <c r="Z204" s="32">
        <v>2</v>
      </c>
      <c r="AA204" s="32">
        <v>2</v>
      </c>
      <c r="AB204" s="32" t="s">
        <v>510</v>
      </c>
      <c r="AC204" s="32" t="s">
        <v>998</v>
      </c>
      <c r="AD204" s="32" t="s">
        <v>1632</v>
      </c>
      <c r="AE204" s="32" t="s">
        <v>1633</v>
      </c>
      <c r="AF204" s="32" t="s">
        <v>1634</v>
      </c>
      <c r="AG204" s="32" t="s">
        <v>1083</v>
      </c>
      <c r="AH204" s="32" t="s">
        <v>1003</v>
      </c>
      <c r="AI204" s="32" t="str">
        <f t="shared" si="9"/>
        <v>Hideaway</v>
      </c>
      <c r="AJ204" s="32">
        <v>6593</v>
      </c>
      <c r="AK204" s="32" t="s">
        <v>1084</v>
      </c>
      <c r="AL204" s="34">
        <v>20</v>
      </c>
      <c r="AM204" s="34" t="s">
        <v>1870</v>
      </c>
      <c r="AN204" s="41">
        <f t="shared" si="8"/>
        <v>1</v>
      </c>
    </row>
    <row r="205" spans="1:40" x14ac:dyDescent="0.25">
      <c r="A205" s="32">
        <v>22612680</v>
      </c>
      <c r="B205" s="32" t="s">
        <v>1035</v>
      </c>
      <c r="C205" s="32" t="s">
        <v>1036</v>
      </c>
      <c r="D205" s="32" t="s">
        <v>1037</v>
      </c>
      <c r="E205" s="32" t="s">
        <v>993</v>
      </c>
      <c r="F205" s="32" t="s">
        <v>993</v>
      </c>
      <c r="G205" s="40">
        <v>46158</v>
      </c>
      <c r="H205" s="40" t="s">
        <v>994</v>
      </c>
      <c r="I205" s="40">
        <v>46158</v>
      </c>
      <c r="J205" s="32" t="s">
        <v>1038</v>
      </c>
      <c r="K205" s="32">
        <v>46158</v>
      </c>
      <c r="L205" s="32">
        <v>455900</v>
      </c>
      <c r="M205" s="32">
        <v>455900</v>
      </c>
      <c r="N205" s="42"/>
      <c r="O205" s="32" t="s">
        <v>994</v>
      </c>
      <c r="P205" s="32">
        <v>848</v>
      </c>
      <c r="Q205" s="32" t="s">
        <v>706</v>
      </c>
      <c r="R205" s="32" t="s">
        <v>1635</v>
      </c>
      <c r="S205" s="32" t="s">
        <v>708</v>
      </c>
      <c r="T205" s="32" t="s">
        <v>997</v>
      </c>
      <c r="U205" s="32">
        <v>85614</v>
      </c>
      <c r="V205" s="32">
        <v>31.883085000000001</v>
      </c>
      <c r="W205" s="32">
        <v>-111.007676</v>
      </c>
      <c r="X205" s="32">
        <v>1863</v>
      </c>
      <c r="Y205" s="32">
        <v>2026</v>
      </c>
      <c r="Z205" s="32">
        <v>2</v>
      </c>
      <c r="AA205" s="32">
        <v>3</v>
      </c>
      <c r="AB205" s="32" t="s">
        <v>510</v>
      </c>
      <c r="AC205" s="32" t="s">
        <v>998</v>
      </c>
      <c r="AD205" s="32" t="s">
        <v>1636</v>
      </c>
      <c r="AE205" s="32" t="s">
        <v>1637</v>
      </c>
      <c r="AF205" s="32">
        <v>304790960</v>
      </c>
      <c r="AG205" s="32" t="s">
        <v>1393</v>
      </c>
      <c r="AH205" s="32" t="s">
        <v>1003</v>
      </c>
      <c r="AI205" s="32" t="str">
        <f t="shared" si="9"/>
        <v>York</v>
      </c>
      <c r="AJ205" s="32">
        <v>9520</v>
      </c>
      <c r="AK205" s="32" t="s">
        <v>1394</v>
      </c>
      <c r="AL205" s="34">
        <v>0</v>
      </c>
      <c r="AM205" s="34" t="s">
        <v>1871</v>
      </c>
      <c r="AN205" s="41">
        <f t="shared" si="8"/>
        <v>2</v>
      </c>
    </row>
    <row r="206" spans="1:40" x14ac:dyDescent="0.25">
      <c r="A206" s="32">
        <v>22612829</v>
      </c>
      <c r="B206" s="32" t="s">
        <v>1222</v>
      </c>
      <c r="C206" s="32" t="s">
        <v>1223</v>
      </c>
      <c r="D206" s="32" t="s">
        <v>1224</v>
      </c>
      <c r="E206" s="32" t="s">
        <v>993</v>
      </c>
      <c r="F206" s="32" t="s">
        <v>993</v>
      </c>
      <c r="G206" s="40">
        <v>46161</v>
      </c>
      <c r="H206" s="40">
        <v>46168</v>
      </c>
      <c r="I206" s="40">
        <v>46161</v>
      </c>
      <c r="J206" s="32" t="s">
        <v>37</v>
      </c>
      <c r="K206" s="32">
        <v>46169</v>
      </c>
      <c r="L206" s="32">
        <v>420000</v>
      </c>
      <c r="M206" s="32">
        <v>420000</v>
      </c>
      <c r="N206" s="32">
        <v>420000</v>
      </c>
      <c r="O206" s="32">
        <v>231.4</v>
      </c>
      <c r="P206" s="32">
        <v>13995</v>
      </c>
      <c r="Q206" s="32" t="s">
        <v>48</v>
      </c>
      <c r="R206" s="32" t="s">
        <v>1039</v>
      </c>
      <c r="S206" s="32" t="s">
        <v>1029</v>
      </c>
      <c r="T206" s="32" t="s">
        <v>997</v>
      </c>
      <c r="U206" s="32">
        <v>85641</v>
      </c>
      <c r="V206" s="32">
        <v>32.092426000000003</v>
      </c>
      <c r="W206" s="32">
        <v>-110.69431899999999</v>
      </c>
      <c r="X206" s="32">
        <v>1815</v>
      </c>
      <c r="Y206" s="32">
        <v>2026</v>
      </c>
      <c r="Z206" s="32">
        <v>4</v>
      </c>
      <c r="AA206" s="32">
        <v>2</v>
      </c>
      <c r="AB206" s="32" t="s">
        <v>510</v>
      </c>
      <c r="AC206" s="32" t="s">
        <v>998</v>
      </c>
      <c r="AD206" s="32" t="s">
        <v>1638</v>
      </c>
      <c r="AE206" s="32" t="s">
        <v>1639</v>
      </c>
      <c r="AF206" s="32" t="s">
        <v>1640</v>
      </c>
      <c r="AG206" s="32" t="s">
        <v>1229</v>
      </c>
      <c r="AH206" s="32" t="s">
        <v>1056</v>
      </c>
      <c r="AI206" s="32" t="str">
        <f t="shared" si="9"/>
        <v>Copper</v>
      </c>
      <c r="AJ206" s="32">
        <v>5214</v>
      </c>
      <c r="AK206" s="32" t="s">
        <v>1044</v>
      </c>
      <c r="AL206" s="34">
        <v>0</v>
      </c>
      <c r="AM206" s="34" t="s">
        <v>1872</v>
      </c>
      <c r="AN206" s="41">
        <f t="shared" si="8"/>
        <v>3</v>
      </c>
    </row>
    <row r="207" spans="1:40" x14ac:dyDescent="0.25">
      <c r="A207" s="32">
        <v>22612861</v>
      </c>
      <c r="B207" s="32" t="s">
        <v>1025</v>
      </c>
      <c r="C207" s="32" t="s">
        <v>1026</v>
      </c>
      <c r="D207" s="32" t="s">
        <v>1027</v>
      </c>
      <c r="E207" s="32" t="s">
        <v>993</v>
      </c>
      <c r="F207" s="32" t="s">
        <v>993</v>
      </c>
      <c r="G207" s="40">
        <v>46161</v>
      </c>
      <c r="H207" s="40" t="s">
        <v>994</v>
      </c>
      <c r="I207" s="40">
        <v>46174</v>
      </c>
      <c r="J207" s="32" t="s">
        <v>1038</v>
      </c>
      <c r="K207" s="32">
        <v>46174</v>
      </c>
      <c r="L207" s="32">
        <v>439990</v>
      </c>
      <c r="M207" s="32">
        <v>439990</v>
      </c>
      <c r="N207" s="42"/>
      <c r="O207" s="32" t="s">
        <v>994</v>
      </c>
      <c r="P207" s="32">
        <v>7547</v>
      </c>
      <c r="Q207" s="32" t="s">
        <v>38</v>
      </c>
      <c r="R207" s="32" t="s">
        <v>1445</v>
      </c>
      <c r="S207" s="32" t="s">
        <v>45</v>
      </c>
      <c r="T207" s="32" t="s">
        <v>997</v>
      </c>
      <c r="U207" s="32">
        <v>85747</v>
      </c>
      <c r="V207" s="32">
        <v>32.113211</v>
      </c>
      <c r="W207" s="32">
        <v>-110.714718</v>
      </c>
      <c r="X207" s="32">
        <v>2105</v>
      </c>
      <c r="Y207" s="32">
        <v>2026</v>
      </c>
      <c r="Z207" s="32">
        <v>4</v>
      </c>
      <c r="AA207" s="32">
        <v>3</v>
      </c>
      <c r="AB207" s="32" t="s">
        <v>510</v>
      </c>
      <c r="AC207" s="32" t="s">
        <v>998</v>
      </c>
      <c r="AD207" s="32" t="s">
        <v>1641</v>
      </c>
      <c r="AE207" s="32" t="s">
        <v>1558</v>
      </c>
      <c r="AF207" s="32" t="s">
        <v>1642</v>
      </c>
      <c r="AG207" s="32" t="s">
        <v>1033</v>
      </c>
      <c r="AH207" s="32" t="s">
        <v>1003</v>
      </c>
      <c r="AI207" s="32" t="str">
        <f t="shared" si="9"/>
        <v>Bella NG A</v>
      </c>
      <c r="AJ207" s="32">
        <v>5930</v>
      </c>
      <c r="AK207" s="32" t="s">
        <v>1411</v>
      </c>
      <c r="AL207" s="34">
        <v>13</v>
      </c>
      <c r="AM207" s="34" t="s">
        <v>1873</v>
      </c>
      <c r="AN207" s="41">
        <f t="shared" si="8"/>
        <v>2</v>
      </c>
    </row>
    <row r="208" spans="1:40" x14ac:dyDescent="0.25">
      <c r="A208" s="32">
        <v>22612862</v>
      </c>
      <c r="B208" s="32" t="s">
        <v>1025</v>
      </c>
      <c r="C208" s="32" t="s">
        <v>1026</v>
      </c>
      <c r="D208" s="32" t="s">
        <v>1027</v>
      </c>
      <c r="E208" s="32" t="s">
        <v>993</v>
      </c>
      <c r="F208" s="32" t="s">
        <v>993</v>
      </c>
      <c r="G208" s="40">
        <v>46161</v>
      </c>
      <c r="H208" s="40" t="s">
        <v>994</v>
      </c>
      <c r="I208" s="40" t="s">
        <v>994</v>
      </c>
      <c r="J208" s="32" t="s">
        <v>995</v>
      </c>
      <c r="K208" s="32">
        <v>46161</v>
      </c>
      <c r="L208" s="32">
        <v>429990</v>
      </c>
      <c r="M208" s="32">
        <v>435890</v>
      </c>
      <c r="N208" s="42"/>
      <c r="O208" s="32" t="s">
        <v>994</v>
      </c>
      <c r="P208" s="32">
        <v>7559</v>
      </c>
      <c r="Q208" s="32" t="s">
        <v>38</v>
      </c>
      <c r="R208" s="32" t="s">
        <v>1445</v>
      </c>
      <c r="S208" s="32" t="s">
        <v>45</v>
      </c>
      <c r="T208" s="32" t="s">
        <v>997</v>
      </c>
      <c r="U208" s="32">
        <v>85747</v>
      </c>
      <c r="V208" s="32">
        <v>32.113649000000002</v>
      </c>
      <c r="W208" s="32">
        <v>-110.710897</v>
      </c>
      <c r="X208" s="32">
        <v>2535</v>
      </c>
      <c r="Y208" s="32">
        <v>2026</v>
      </c>
      <c r="Z208" s="32">
        <v>4</v>
      </c>
      <c r="AA208" s="32">
        <v>3</v>
      </c>
      <c r="AB208" s="32" t="s">
        <v>510</v>
      </c>
      <c r="AC208" s="32" t="s">
        <v>1008</v>
      </c>
      <c r="AD208" s="32" t="s">
        <v>1643</v>
      </c>
      <c r="AE208" s="32" t="s">
        <v>1447</v>
      </c>
      <c r="AF208" s="32" t="s">
        <v>1644</v>
      </c>
      <c r="AG208" s="32" t="s">
        <v>1033</v>
      </c>
      <c r="AH208" s="32" t="s">
        <v>1003</v>
      </c>
      <c r="AI208" s="32" t="str">
        <f t="shared" si="9"/>
        <v>Mesa B</v>
      </c>
      <c r="AJ208" s="32">
        <v>6052</v>
      </c>
      <c r="AK208" s="32" t="s">
        <v>1411</v>
      </c>
      <c r="AL208" s="34">
        <v>16</v>
      </c>
      <c r="AM208" s="34" t="s">
        <v>1874</v>
      </c>
      <c r="AN208" s="41">
        <f t="shared" si="8"/>
        <v>1</v>
      </c>
    </row>
    <row r="209" spans="1:40" x14ac:dyDescent="0.25">
      <c r="A209" s="32">
        <v>22612864</v>
      </c>
      <c r="B209" s="32" t="s">
        <v>1025</v>
      </c>
      <c r="C209" s="32" t="s">
        <v>1026</v>
      </c>
      <c r="D209" s="32" t="s">
        <v>1027</v>
      </c>
      <c r="E209" s="32" t="s">
        <v>993</v>
      </c>
      <c r="F209" s="32" t="s">
        <v>993</v>
      </c>
      <c r="G209" s="40">
        <v>46161</v>
      </c>
      <c r="H209" s="40" t="s">
        <v>994</v>
      </c>
      <c r="I209" s="40" t="s">
        <v>994</v>
      </c>
      <c r="J209" s="32" t="s">
        <v>995</v>
      </c>
      <c r="K209" s="32">
        <v>46161</v>
      </c>
      <c r="L209" s="32">
        <v>389990</v>
      </c>
      <c r="M209" s="32">
        <v>389990</v>
      </c>
      <c r="N209" s="42"/>
      <c r="O209" s="32" t="s">
        <v>994</v>
      </c>
      <c r="P209" s="32">
        <v>13033</v>
      </c>
      <c r="Q209" s="32" t="s">
        <v>48</v>
      </c>
      <c r="R209" s="32" t="s">
        <v>1412</v>
      </c>
      <c r="S209" s="32" t="s">
        <v>45</v>
      </c>
      <c r="T209" s="32" t="s">
        <v>997</v>
      </c>
      <c r="U209" s="32">
        <v>85747</v>
      </c>
      <c r="V209" s="32">
        <v>32.113567000000003</v>
      </c>
      <c r="W209" s="32">
        <v>-110.71463799999999</v>
      </c>
      <c r="X209" s="32">
        <v>2126</v>
      </c>
      <c r="Y209" s="32">
        <v>2026</v>
      </c>
      <c r="Z209" s="32">
        <v>5</v>
      </c>
      <c r="AA209" s="32">
        <v>3</v>
      </c>
      <c r="AB209" s="32" t="s">
        <v>510</v>
      </c>
      <c r="AC209" s="32" t="s">
        <v>1008</v>
      </c>
      <c r="AD209" s="32" t="s">
        <v>1645</v>
      </c>
      <c r="AE209" s="32" t="s">
        <v>1594</v>
      </c>
      <c r="AF209" s="32" t="s">
        <v>1646</v>
      </c>
      <c r="AG209" s="32" t="s">
        <v>1033</v>
      </c>
      <c r="AH209" s="32" t="s">
        <v>1003</v>
      </c>
      <c r="AI209" s="32" t="str">
        <f t="shared" si="9"/>
        <v>Etta C</v>
      </c>
      <c r="AJ209" s="32">
        <v>4800</v>
      </c>
      <c r="AK209" s="32" t="s">
        <v>1411</v>
      </c>
      <c r="AL209" s="38">
        <v>16</v>
      </c>
      <c r="AM209" s="33" t="s">
        <v>1875</v>
      </c>
      <c r="AN209" s="41">
        <f t="shared" si="8"/>
        <v>1</v>
      </c>
    </row>
    <row r="210" spans="1:40" x14ac:dyDescent="0.25">
      <c r="A210" s="32">
        <v>22613036</v>
      </c>
      <c r="B210" s="32" t="s">
        <v>990</v>
      </c>
      <c r="C210" s="32" t="s">
        <v>991</v>
      </c>
      <c r="D210" s="32" t="s">
        <v>992</v>
      </c>
      <c r="E210" s="32" t="s">
        <v>993</v>
      </c>
      <c r="F210" s="32" t="s">
        <v>993</v>
      </c>
      <c r="G210" s="40">
        <v>46163</v>
      </c>
      <c r="H210" s="40" t="s">
        <v>994</v>
      </c>
      <c r="I210" s="40" t="s">
        <v>994</v>
      </c>
      <c r="J210" s="32" t="s">
        <v>995</v>
      </c>
      <c r="K210" s="32">
        <v>46163</v>
      </c>
      <c r="L210" s="32">
        <v>503900</v>
      </c>
      <c r="M210" s="32">
        <v>503900</v>
      </c>
      <c r="O210" s="32" t="s">
        <v>994</v>
      </c>
      <c r="P210" s="32">
        <v>13286</v>
      </c>
      <c r="Q210" s="32" t="s">
        <v>48</v>
      </c>
      <c r="R210" s="32" t="s">
        <v>1430</v>
      </c>
      <c r="S210" s="32" t="s">
        <v>45</v>
      </c>
      <c r="T210" s="32" t="s">
        <v>997</v>
      </c>
      <c r="U210" s="32">
        <v>85747</v>
      </c>
      <c r="V210" s="32">
        <v>32.111885999999998</v>
      </c>
      <c r="W210" s="32">
        <v>-110.706101</v>
      </c>
      <c r="X210" s="32">
        <v>2338</v>
      </c>
      <c r="Y210" s="32">
        <v>2026</v>
      </c>
      <c r="Z210" s="32">
        <v>4</v>
      </c>
      <c r="AA210" s="32">
        <v>3</v>
      </c>
      <c r="AB210" s="32" t="s">
        <v>510</v>
      </c>
      <c r="AC210" s="32" t="s">
        <v>998</v>
      </c>
      <c r="AD210" s="32" t="s">
        <v>1647</v>
      </c>
      <c r="AE210" s="32" t="s">
        <v>1648</v>
      </c>
      <c r="AF210" s="32" t="s">
        <v>1649</v>
      </c>
      <c r="AG210" s="32" t="s">
        <v>1002</v>
      </c>
      <c r="AH210" s="32" t="s">
        <v>1003</v>
      </c>
      <c r="AI210" s="32" t="str">
        <f t="shared" si="9"/>
        <v/>
      </c>
      <c r="AJ210" s="32">
        <v>6875</v>
      </c>
      <c r="AK210" s="32" t="s">
        <v>1004</v>
      </c>
      <c r="AL210" s="34">
        <v>14</v>
      </c>
      <c r="AM210" s="34" t="s">
        <v>1876</v>
      </c>
      <c r="AN210" s="41">
        <f t="shared" si="8"/>
        <v>1</v>
      </c>
    </row>
    <row r="211" spans="1:40" x14ac:dyDescent="0.25">
      <c r="A211" s="32">
        <v>22613361</v>
      </c>
      <c r="B211" s="32" t="s">
        <v>1025</v>
      </c>
      <c r="C211" s="32" t="s">
        <v>1026</v>
      </c>
      <c r="D211" s="32" t="s">
        <v>1027</v>
      </c>
      <c r="E211" s="32" t="s">
        <v>993</v>
      </c>
      <c r="F211" s="32" t="s">
        <v>993</v>
      </c>
      <c r="G211" s="40">
        <v>46168</v>
      </c>
      <c r="H211" s="40" t="s">
        <v>994</v>
      </c>
      <c r="I211" s="40" t="s">
        <v>994</v>
      </c>
      <c r="J211" s="32" t="s">
        <v>995</v>
      </c>
      <c r="K211" s="32">
        <v>46168</v>
      </c>
      <c r="L211" s="32">
        <v>392990</v>
      </c>
      <c r="M211" s="32">
        <v>391940</v>
      </c>
      <c r="O211" s="32" t="s">
        <v>994</v>
      </c>
      <c r="P211" s="32">
        <v>8774</v>
      </c>
      <c r="Q211" s="32" t="s">
        <v>38</v>
      </c>
      <c r="R211" s="32" t="s">
        <v>1213</v>
      </c>
      <c r="S211" s="32" t="s">
        <v>1029</v>
      </c>
      <c r="T211" s="32" t="s">
        <v>997</v>
      </c>
      <c r="U211" s="32">
        <v>85641</v>
      </c>
      <c r="V211" s="32">
        <v>32.096279000000003</v>
      </c>
      <c r="W211" s="32">
        <v>-110.692492</v>
      </c>
      <c r="X211" s="32">
        <v>1888</v>
      </c>
      <c r="Y211" s="32">
        <v>2026</v>
      </c>
      <c r="Z211" s="32">
        <v>4</v>
      </c>
      <c r="AA211" s="32">
        <v>3</v>
      </c>
      <c r="AB211" s="32" t="s">
        <v>510</v>
      </c>
      <c r="AC211" s="32" t="s">
        <v>1008</v>
      </c>
      <c r="AD211" s="32" t="s">
        <v>1650</v>
      </c>
      <c r="AE211" s="32" t="s">
        <v>1651</v>
      </c>
      <c r="AF211" s="32" t="s">
        <v>1652</v>
      </c>
      <c r="AG211" s="32" t="s">
        <v>1033</v>
      </c>
      <c r="AH211" s="32" t="s">
        <v>1003</v>
      </c>
      <c r="AI211" s="32" t="str">
        <f t="shared" si="9"/>
        <v>Gwen C</v>
      </c>
      <c r="AJ211" s="32">
        <v>5621</v>
      </c>
      <c r="AK211" s="32" t="s">
        <v>1072</v>
      </c>
      <c r="AL211" s="34">
        <v>9</v>
      </c>
      <c r="AM211" s="34" t="s">
        <v>1877</v>
      </c>
      <c r="AN211" s="41">
        <f t="shared" si="8"/>
        <v>1</v>
      </c>
    </row>
    <row r="212" spans="1:40" x14ac:dyDescent="0.25">
      <c r="A212" s="32">
        <v>22613363</v>
      </c>
      <c r="B212" s="32" t="s">
        <v>1025</v>
      </c>
      <c r="C212" s="32" t="s">
        <v>1026</v>
      </c>
      <c r="D212" s="32" t="s">
        <v>1027</v>
      </c>
      <c r="E212" s="32" t="s">
        <v>993</v>
      </c>
      <c r="F212" s="32" t="s">
        <v>993</v>
      </c>
      <c r="G212" s="40">
        <v>46168</v>
      </c>
      <c r="H212" s="40" t="s">
        <v>994</v>
      </c>
      <c r="I212" s="40" t="s">
        <v>994</v>
      </c>
      <c r="J212" s="32" t="s">
        <v>995</v>
      </c>
      <c r="K212" s="32">
        <v>46168</v>
      </c>
      <c r="L212" s="32">
        <v>459990</v>
      </c>
      <c r="M212" s="32">
        <v>459990</v>
      </c>
      <c r="O212" s="32" t="s">
        <v>994</v>
      </c>
      <c r="P212" s="32">
        <v>14079</v>
      </c>
      <c r="Q212" s="32" t="s">
        <v>48</v>
      </c>
      <c r="R212" s="32" t="s">
        <v>1560</v>
      </c>
      <c r="S212" s="32" t="s">
        <v>1029</v>
      </c>
      <c r="T212" s="32" t="s">
        <v>997</v>
      </c>
      <c r="U212" s="32">
        <v>85641</v>
      </c>
      <c r="V212" s="32">
        <v>32.095762000000001</v>
      </c>
      <c r="W212" s="32">
        <v>-110.692995</v>
      </c>
      <c r="X212" s="32">
        <v>2624</v>
      </c>
      <c r="Y212" s="32">
        <v>2026</v>
      </c>
      <c r="Z212" s="32">
        <v>5</v>
      </c>
      <c r="AA212" s="32">
        <v>4</v>
      </c>
      <c r="AB212" s="32" t="s">
        <v>510</v>
      </c>
      <c r="AC212" s="32" t="s">
        <v>1008</v>
      </c>
      <c r="AD212" s="32" t="s">
        <v>1653</v>
      </c>
      <c r="AE212" s="32" t="s">
        <v>1494</v>
      </c>
      <c r="AF212" s="32" t="s">
        <v>1654</v>
      </c>
      <c r="AG212" s="32" t="s">
        <v>1033</v>
      </c>
      <c r="AH212" s="32" t="s">
        <v>1003</v>
      </c>
      <c r="AI212" s="32" t="str">
        <f t="shared" si="9"/>
        <v>Poppy B</v>
      </c>
      <c r="AJ212" s="32">
        <v>5025</v>
      </c>
      <c r="AK212" s="32" t="s">
        <v>1072</v>
      </c>
      <c r="AL212" s="38">
        <v>9</v>
      </c>
      <c r="AM212" s="33" t="s">
        <v>1878</v>
      </c>
      <c r="AN212" s="41">
        <f t="shared" si="8"/>
        <v>1</v>
      </c>
    </row>
    <row r="213" spans="1:40" x14ac:dyDescent="0.25">
      <c r="A213" s="32">
        <v>22613365</v>
      </c>
      <c r="B213" s="32" t="s">
        <v>1025</v>
      </c>
      <c r="C213" s="32" t="s">
        <v>1026</v>
      </c>
      <c r="D213" s="32" t="s">
        <v>1027</v>
      </c>
      <c r="E213" s="32" t="s">
        <v>993</v>
      </c>
      <c r="F213" s="32" t="s">
        <v>993</v>
      </c>
      <c r="G213" s="40">
        <v>46168</v>
      </c>
      <c r="H213" s="40" t="s">
        <v>994</v>
      </c>
      <c r="I213" s="40" t="s">
        <v>994</v>
      </c>
      <c r="J213" s="32" t="s">
        <v>995</v>
      </c>
      <c r="K213" s="32">
        <v>46168</v>
      </c>
      <c r="L213" s="32">
        <v>404990</v>
      </c>
      <c r="M213" s="32">
        <v>404990</v>
      </c>
      <c r="O213" s="32" t="s">
        <v>994</v>
      </c>
      <c r="P213" s="32">
        <v>8178</v>
      </c>
      <c r="Q213" s="32" t="s">
        <v>38</v>
      </c>
      <c r="R213" s="32" t="s">
        <v>1028</v>
      </c>
      <c r="S213" s="32" t="s">
        <v>1029</v>
      </c>
      <c r="T213" s="32" t="s">
        <v>997</v>
      </c>
      <c r="U213" s="32">
        <v>85641</v>
      </c>
      <c r="V213" s="32">
        <v>32.099764</v>
      </c>
      <c r="W213" s="32">
        <v>-110.71841999999999</v>
      </c>
      <c r="X213" s="32">
        <v>1852</v>
      </c>
      <c r="Y213" s="32">
        <v>2026</v>
      </c>
      <c r="Z213" s="32">
        <v>4</v>
      </c>
      <c r="AA213" s="32">
        <v>2</v>
      </c>
      <c r="AB213" s="32" t="s">
        <v>510</v>
      </c>
      <c r="AC213" s="32" t="s">
        <v>998</v>
      </c>
      <c r="AD213" s="32" t="s">
        <v>1655</v>
      </c>
      <c r="AE213" s="32" t="s">
        <v>1564</v>
      </c>
      <c r="AF213" s="32" t="s">
        <v>1656</v>
      </c>
      <c r="AG213" s="32" t="s">
        <v>1033</v>
      </c>
      <c r="AH213" s="32" t="s">
        <v>1003</v>
      </c>
      <c r="AI213" s="32" t="str">
        <f t="shared" si="9"/>
        <v>Odyssey A</v>
      </c>
      <c r="AJ213" s="32">
        <v>7828</v>
      </c>
      <c r="AK213" s="32" t="s">
        <v>1034</v>
      </c>
      <c r="AL213" s="34">
        <v>9</v>
      </c>
      <c r="AM213" s="34" t="s">
        <v>1879</v>
      </c>
      <c r="AN213" s="41">
        <f t="shared" si="8"/>
        <v>1</v>
      </c>
    </row>
    <row r="214" spans="1:40" x14ac:dyDescent="0.25">
      <c r="A214" s="32">
        <v>22613367</v>
      </c>
      <c r="B214" s="32" t="s">
        <v>1025</v>
      </c>
      <c r="C214" s="32" t="s">
        <v>1026</v>
      </c>
      <c r="D214" s="32" t="s">
        <v>1027</v>
      </c>
      <c r="E214" s="32" t="s">
        <v>993</v>
      </c>
      <c r="F214" s="32" t="s">
        <v>993</v>
      </c>
      <c r="G214" s="40">
        <v>46168</v>
      </c>
      <c r="H214" s="40" t="s">
        <v>994</v>
      </c>
      <c r="I214" s="40" t="s">
        <v>994</v>
      </c>
      <c r="J214" s="32" t="s">
        <v>995</v>
      </c>
      <c r="K214" s="32">
        <v>46168</v>
      </c>
      <c r="L214" s="32">
        <v>474990</v>
      </c>
      <c r="M214" s="32">
        <v>473940</v>
      </c>
      <c r="O214" s="32" t="s">
        <v>994</v>
      </c>
      <c r="P214" s="32">
        <v>8160</v>
      </c>
      <c r="Q214" s="32" t="s">
        <v>38</v>
      </c>
      <c r="R214" s="32" t="s">
        <v>1028</v>
      </c>
      <c r="S214" s="32" t="s">
        <v>1029</v>
      </c>
      <c r="T214" s="32" t="s">
        <v>997</v>
      </c>
      <c r="U214" s="32">
        <v>85641</v>
      </c>
      <c r="V214" s="32">
        <v>32.099764</v>
      </c>
      <c r="W214" s="32">
        <v>-110.71841999999999</v>
      </c>
      <c r="X214" s="32">
        <v>2749</v>
      </c>
      <c r="Y214" s="32">
        <v>2026</v>
      </c>
      <c r="Z214" s="32">
        <v>5</v>
      </c>
      <c r="AA214" s="32">
        <v>4</v>
      </c>
      <c r="AB214" s="32" t="s">
        <v>510</v>
      </c>
      <c r="AC214" s="32" t="s">
        <v>1008</v>
      </c>
      <c r="AD214" s="32" t="s">
        <v>1657</v>
      </c>
      <c r="AE214" s="32" t="s">
        <v>1031</v>
      </c>
      <c r="AF214" s="32" t="s">
        <v>1658</v>
      </c>
      <c r="AG214" s="32" t="s">
        <v>1033</v>
      </c>
      <c r="AH214" s="32" t="s">
        <v>1003</v>
      </c>
      <c r="AI214" s="32" t="str">
        <f t="shared" si="9"/>
        <v>Wayfarer B</v>
      </c>
      <c r="AJ214" s="32">
        <v>8436</v>
      </c>
      <c r="AK214" s="32" t="s">
        <v>1034</v>
      </c>
      <c r="AL214" s="38">
        <v>9</v>
      </c>
      <c r="AM214" s="33" t="s">
        <v>1880</v>
      </c>
      <c r="AN214" s="41">
        <f t="shared" si="8"/>
        <v>1</v>
      </c>
    </row>
    <row r="215" spans="1:40" x14ac:dyDescent="0.25">
      <c r="A215" s="32">
        <v>22613372</v>
      </c>
      <c r="B215" s="32" t="s">
        <v>1025</v>
      </c>
      <c r="C215" s="32" t="s">
        <v>1026</v>
      </c>
      <c r="D215" s="32" t="s">
        <v>1027</v>
      </c>
      <c r="E215" s="32" t="s">
        <v>993</v>
      </c>
      <c r="F215" s="32" t="s">
        <v>993</v>
      </c>
      <c r="G215" s="40">
        <v>46168</v>
      </c>
      <c r="H215" s="40" t="s">
        <v>994</v>
      </c>
      <c r="I215" s="40" t="s">
        <v>994</v>
      </c>
      <c r="J215" s="32" t="s">
        <v>995</v>
      </c>
      <c r="K215" s="32">
        <v>46168</v>
      </c>
      <c r="L215" s="32">
        <v>399990</v>
      </c>
      <c r="M215" s="32">
        <v>399990</v>
      </c>
      <c r="N215" s="42"/>
      <c r="O215" s="32" t="s">
        <v>994</v>
      </c>
      <c r="P215" s="32">
        <v>13038</v>
      </c>
      <c r="Q215" s="32" t="s">
        <v>48</v>
      </c>
      <c r="R215" s="32" t="s">
        <v>1412</v>
      </c>
      <c r="S215" s="32" t="s">
        <v>45</v>
      </c>
      <c r="T215" s="32" t="s">
        <v>997</v>
      </c>
      <c r="U215" s="32">
        <v>85747</v>
      </c>
      <c r="V215" s="32">
        <v>32.113219999999998</v>
      </c>
      <c r="W215" s="32">
        <v>-110.714417</v>
      </c>
      <c r="X215" s="32">
        <v>2425</v>
      </c>
      <c r="Y215" s="32">
        <v>2026</v>
      </c>
      <c r="Z215" s="32">
        <v>6</v>
      </c>
      <c r="AA215" s="32">
        <v>3</v>
      </c>
      <c r="AB215" s="32" t="s">
        <v>510</v>
      </c>
      <c r="AC215" s="32" t="s">
        <v>1008</v>
      </c>
      <c r="AD215" s="32" t="s">
        <v>1659</v>
      </c>
      <c r="AE215" s="32" t="s">
        <v>1597</v>
      </c>
      <c r="AF215" s="32" t="s">
        <v>1660</v>
      </c>
      <c r="AG215" s="32" t="s">
        <v>1033</v>
      </c>
      <c r="AH215" s="32" t="s">
        <v>1003</v>
      </c>
      <c r="AI215" s="32" t="str">
        <f t="shared" si="9"/>
        <v>Jeffry A</v>
      </c>
      <c r="AJ215" s="32">
        <v>4880</v>
      </c>
      <c r="AK215" s="32" t="s">
        <v>1411</v>
      </c>
      <c r="AL215" s="39">
        <v>9</v>
      </c>
      <c r="AM215" s="35" t="s">
        <v>1881</v>
      </c>
      <c r="AN215" s="41">
        <f t="shared" si="8"/>
        <v>1</v>
      </c>
    </row>
    <row r="216" spans="1:40" x14ac:dyDescent="0.25">
      <c r="A216" s="32">
        <v>22613373</v>
      </c>
      <c r="B216" s="32" t="s">
        <v>1025</v>
      </c>
      <c r="C216" s="32" t="s">
        <v>1026</v>
      </c>
      <c r="D216" s="32" t="s">
        <v>1027</v>
      </c>
      <c r="E216" s="32" t="s">
        <v>993</v>
      </c>
      <c r="F216" s="32" t="s">
        <v>993</v>
      </c>
      <c r="G216" s="40">
        <v>46168</v>
      </c>
      <c r="H216" s="40" t="s">
        <v>994</v>
      </c>
      <c r="I216" s="40" t="s">
        <v>994</v>
      </c>
      <c r="J216" s="32" t="s">
        <v>995</v>
      </c>
      <c r="K216" s="32">
        <v>46168</v>
      </c>
      <c r="L216" s="32">
        <v>394990</v>
      </c>
      <c r="M216" s="32">
        <v>394990</v>
      </c>
      <c r="N216" s="42"/>
      <c r="O216" s="32" t="s">
        <v>994</v>
      </c>
      <c r="P216" s="32">
        <v>7571</v>
      </c>
      <c r="Q216" s="32" t="s">
        <v>38</v>
      </c>
      <c r="R216" s="32" t="s">
        <v>1445</v>
      </c>
      <c r="S216" s="32" t="s">
        <v>45</v>
      </c>
      <c r="T216" s="32" t="s">
        <v>997</v>
      </c>
      <c r="U216" s="32">
        <v>85747</v>
      </c>
      <c r="V216" s="32">
        <v>32.113368999999999</v>
      </c>
      <c r="W216" s="32">
        <v>-110.710973</v>
      </c>
      <c r="X216" s="32">
        <v>1837</v>
      </c>
      <c r="Y216" s="32">
        <v>2026</v>
      </c>
      <c r="Z216" s="32">
        <v>4</v>
      </c>
      <c r="AA216" s="32">
        <v>2</v>
      </c>
      <c r="AB216" s="32" t="s">
        <v>510</v>
      </c>
      <c r="AC216" s="32" t="s">
        <v>998</v>
      </c>
      <c r="AD216" s="32" t="s">
        <v>1661</v>
      </c>
      <c r="AE216" s="32" t="s">
        <v>1500</v>
      </c>
      <c r="AF216" s="32" t="s">
        <v>1662</v>
      </c>
      <c r="AG216" s="32" t="s">
        <v>1033</v>
      </c>
      <c r="AH216" s="32" t="s">
        <v>1003</v>
      </c>
      <c r="AI216" s="32" t="str">
        <f t="shared" si="9"/>
        <v>Ironwood C</v>
      </c>
      <c r="AJ216" s="32">
        <v>6064</v>
      </c>
      <c r="AK216" s="32" t="s">
        <v>1411</v>
      </c>
      <c r="AL216" s="34">
        <v>9</v>
      </c>
      <c r="AM216" s="34" t="s">
        <v>1882</v>
      </c>
      <c r="AN216" s="41">
        <f t="shared" si="8"/>
        <v>1</v>
      </c>
    </row>
    <row r="217" spans="1:40" x14ac:dyDescent="0.25">
      <c r="A217" s="32">
        <v>22613437</v>
      </c>
      <c r="B217" s="32" t="s">
        <v>1076</v>
      </c>
      <c r="C217" s="32" t="s">
        <v>1077</v>
      </c>
      <c r="D217" s="32" t="s">
        <v>1078</v>
      </c>
      <c r="E217" s="32" t="s">
        <v>993</v>
      </c>
      <c r="F217" s="32" t="s">
        <v>993</v>
      </c>
      <c r="G217" s="40">
        <v>46169</v>
      </c>
      <c r="H217" s="40" t="s">
        <v>994</v>
      </c>
      <c r="I217" s="40" t="s">
        <v>994</v>
      </c>
      <c r="J217" s="32" t="s">
        <v>995</v>
      </c>
      <c r="K217" s="32">
        <v>46169</v>
      </c>
      <c r="L217" s="32">
        <v>505456</v>
      </c>
      <c r="M217" s="32">
        <v>505456</v>
      </c>
      <c r="O217" s="32" t="s">
        <v>994</v>
      </c>
      <c r="P217" s="32">
        <v>7940</v>
      </c>
      <c r="Q217" s="32" t="s">
        <v>38</v>
      </c>
      <c r="R217" s="32" t="s">
        <v>1085</v>
      </c>
      <c r="S217" s="32" t="s">
        <v>45</v>
      </c>
      <c r="T217" s="32" t="s">
        <v>997</v>
      </c>
      <c r="U217" s="32">
        <v>85747</v>
      </c>
      <c r="V217" s="32">
        <v>32.107185999999999</v>
      </c>
      <c r="W217" s="32">
        <v>-110.70439500000001</v>
      </c>
      <c r="X217" s="32">
        <v>2015</v>
      </c>
      <c r="Y217" s="32">
        <v>2026</v>
      </c>
      <c r="Z217" s="32">
        <v>2</v>
      </c>
      <c r="AA217" s="32">
        <v>2</v>
      </c>
      <c r="AB217" s="32" t="s">
        <v>510</v>
      </c>
      <c r="AC217" s="32" t="s">
        <v>998</v>
      </c>
      <c r="AD217" s="32" t="s">
        <v>1663</v>
      </c>
      <c r="AE217" s="32" t="s">
        <v>1664</v>
      </c>
      <c r="AF217" s="32" t="s">
        <v>1665</v>
      </c>
      <c r="AG217" s="32" t="s">
        <v>1083</v>
      </c>
      <c r="AH217" s="32" t="s">
        <v>1003</v>
      </c>
      <c r="AI217" s="32" t="str">
        <f t="shared" si="9"/>
        <v>Preserve</v>
      </c>
      <c r="AJ217" s="32">
        <v>7263</v>
      </c>
      <c r="AK217" s="32" t="s">
        <v>1084</v>
      </c>
      <c r="AL217" s="39">
        <v>8</v>
      </c>
      <c r="AM217" s="35" t="s">
        <v>1883</v>
      </c>
      <c r="AN217" s="41">
        <f t="shared" si="8"/>
        <v>1</v>
      </c>
    </row>
    <row r="218" spans="1:40" x14ac:dyDescent="0.25">
      <c r="A218" s="32">
        <v>22613450</v>
      </c>
      <c r="B218" s="32" t="s">
        <v>1204</v>
      </c>
      <c r="C218" s="32" t="s">
        <v>1205</v>
      </c>
      <c r="D218" s="32" t="s">
        <v>1206</v>
      </c>
      <c r="E218" s="32" t="s">
        <v>993</v>
      </c>
      <c r="F218" s="32" t="s">
        <v>993</v>
      </c>
      <c r="G218" s="40">
        <v>46170</v>
      </c>
      <c r="H218" s="40" t="s">
        <v>994</v>
      </c>
      <c r="I218" s="40" t="s">
        <v>994</v>
      </c>
      <c r="J218" s="32" t="s">
        <v>995</v>
      </c>
      <c r="K218" s="32">
        <v>46169</v>
      </c>
      <c r="L218" s="32">
        <v>861407</v>
      </c>
      <c r="M218" s="32">
        <v>861407</v>
      </c>
      <c r="O218" s="32" t="s">
        <v>994</v>
      </c>
      <c r="P218" s="32">
        <v>61689</v>
      </c>
      <c r="Q218" s="32" t="s">
        <v>48</v>
      </c>
      <c r="R218" s="32" t="s">
        <v>686</v>
      </c>
      <c r="S218" s="32" t="s">
        <v>551</v>
      </c>
      <c r="T218" s="32" t="s">
        <v>997</v>
      </c>
      <c r="U218" s="32">
        <v>85623</v>
      </c>
      <c r="V218" s="32">
        <v>32.59966</v>
      </c>
      <c r="W218" s="32">
        <v>-110.907512</v>
      </c>
      <c r="X218" s="32">
        <v>2715</v>
      </c>
      <c r="Y218" s="32">
        <v>2025</v>
      </c>
      <c r="Z218" s="32">
        <v>2</v>
      </c>
      <c r="AA218" s="32">
        <v>3</v>
      </c>
      <c r="AB218" s="32" t="s">
        <v>510</v>
      </c>
      <c r="AC218" s="32" t="s">
        <v>998</v>
      </c>
      <c r="AD218" s="32" t="s">
        <v>1666</v>
      </c>
      <c r="AE218" s="32" t="s">
        <v>1667</v>
      </c>
      <c r="AF218" s="32" t="s">
        <v>1668</v>
      </c>
      <c r="AG218" s="32" t="s">
        <v>1208</v>
      </c>
      <c r="AH218" s="32" t="s">
        <v>1003</v>
      </c>
      <c r="AI218" s="32" t="str">
        <f t="shared" si="9"/>
        <v>Solstice</v>
      </c>
      <c r="AJ218" s="32">
        <v>8496</v>
      </c>
      <c r="AK218" s="32" t="s">
        <v>554</v>
      </c>
      <c r="AL218" s="39">
        <v>7</v>
      </c>
      <c r="AM218" s="35" t="s">
        <v>1884</v>
      </c>
      <c r="AN218" s="41">
        <f t="shared" si="8"/>
        <v>1</v>
      </c>
    </row>
    <row r="219" spans="1:40" x14ac:dyDescent="0.25">
      <c r="A219" s="32">
        <v>22613508</v>
      </c>
      <c r="B219" s="32" t="s">
        <v>1204</v>
      </c>
      <c r="C219" s="32" t="s">
        <v>1205</v>
      </c>
      <c r="D219" s="32" t="s">
        <v>1206</v>
      </c>
      <c r="E219" s="32" t="s">
        <v>993</v>
      </c>
      <c r="F219" s="32" t="s">
        <v>993</v>
      </c>
      <c r="G219" s="40">
        <v>46171</v>
      </c>
      <c r="H219" s="40" t="s">
        <v>994</v>
      </c>
      <c r="I219" s="40" t="s">
        <v>994</v>
      </c>
      <c r="J219" s="32" t="s">
        <v>995</v>
      </c>
      <c r="K219" s="32">
        <v>46170</v>
      </c>
      <c r="L219" s="32">
        <v>819649</v>
      </c>
      <c r="M219" s="32">
        <v>799000</v>
      </c>
      <c r="O219" s="32" t="s">
        <v>994</v>
      </c>
      <c r="P219" s="32">
        <v>66101</v>
      </c>
      <c r="Q219" s="32" t="s">
        <v>48</v>
      </c>
      <c r="R219" s="32" t="s">
        <v>1669</v>
      </c>
      <c r="S219" s="32" t="s">
        <v>45</v>
      </c>
      <c r="T219" s="32" t="s">
        <v>997</v>
      </c>
      <c r="U219" s="32">
        <v>85739</v>
      </c>
      <c r="V219" s="32">
        <v>32.54842</v>
      </c>
      <c r="W219" s="32">
        <v>-110.860049</v>
      </c>
      <c r="X219" s="32">
        <v>2353</v>
      </c>
      <c r="Y219" s="32">
        <v>2026</v>
      </c>
      <c r="Z219" s="32">
        <v>2</v>
      </c>
      <c r="AA219" s="32">
        <v>3</v>
      </c>
      <c r="AB219" s="32" t="s">
        <v>510</v>
      </c>
      <c r="AC219" s="32" t="s">
        <v>998</v>
      </c>
      <c r="AD219" s="32" t="s">
        <v>1670</v>
      </c>
      <c r="AE219" s="32" t="s">
        <v>1671</v>
      </c>
      <c r="AF219" s="32" t="s">
        <v>1672</v>
      </c>
      <c r="AG219" s="32" t="s">
        <v>1208</v>
      </c>
      <c r="AH219" s="32" t="s">
        <v>1003</v>
      </c>
      <c r="AI219" s="32" t="s">
        <v>1209</v>
      </c>
      <c r="AJ219" s="32">
        <v>13068</v>
      </c>
      <c r="AK219" s="32" t="s">
        <v>40</v>
      </c>
      <c r="AL219" s="38">
        <v>6</v>
      </c>
      <c r="AM219" s="33" t="s">
        <v>1885</v>
      </c>
      <c r="AN219" s="41">
        <f t="shared" si="8"/>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4EE5B-5DDF-46BC-B148-A3162F8E4791}">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Resale</vt:lpstr>
      <vt:lpstr>New</vt:lpstr>
      <vt:lpstr>Market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Treese</dc:creator>
  <cp:lastModifiedBy>Austin Treese</cp:lastModifiedBy>
  <dcterms:created xsi:type="dcterms:W3CDTF">2026-06-18T18:07:26Z</dcterms:created>
  <dcterms:modified xsi:type="dcterms:W3CDTF">2026-06-20T22:14:45Z</dcterms:modified>
</cp:coreProperties>
</file>